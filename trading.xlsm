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r:id="rId15"/>
    <sheet name="KATE" sheetId="5" state="hidden" r:id="rId16"/>
    <sheet name="NWL" sheetId="46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MRO!$W$1:$AC$70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ONCS" localSheetId="32">ONCS!$W$1:$AC$68</definedName>
    <definedName name="hp?s_SCTY" localSheetId="20">SCTY!$W$1:$AC$68</definedName>
    <definedName name="hp?s_SWKS" localSheetId="11">SWKS!$W$1:$AC$70</definedName>
    <definedName name="hp?s_TKR" localSheetId="31">TKR!$W$1:$AC$70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ONCS" localSheetId="32">ONCS!$T$32:$U$47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F9" i="46"/>
  <c r="G9" i="46"/>
  <c r="H9" i="46"/>
  <c r="F10" i="46"/>
  <c r="G10" i="46"/>
  <c r="H10" i="46"/>
  <c r="H8" i="46"/>
  <c r="G8" i="46"/>
  <c r="F8" i="46"/>
  <c r="F22" i="40"/>
  <c r="H22" i="40"/>
  <c r="G22" i="40"/>
  <c r="F23" i="34"/>
  <c r="H23" i="34"/>
  <c r="G23" i="34"/>
  <c r="F20" i="49"/>
  <c r="G20" i="49"/>
  <c r="H20" i="49"/>
  <c r="G130" i="38" l="1"/>
  <c r="H130" i="38"/>
  <c r="D130" i="38"/>
  <c r="E130" i="38"/>
  <c r="K130" i="38"/>
  <c r="L130" i="38" s="1"/>
  <c r="O130" i="38" s="1"/>
  <c r="M130" i="38"/>
  <c r="N130" i="38"/>
  <c r="F78" i="25"/>
  <c r="C78" i="25"/>
  <c r="D128" i="38" l="1"/>
  <c r="E128" i="38"/>
  <c r="D129" i="38"/>
  <c r="E129" i="38"/>
  <c r="G128" i="38"/>
  <c r="H128" i="38"/>
  <c r="G129" i="38"/>
  <c r="H129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3" i="38"/>
  <c r="K128" i="38"/>
  <c r="O128" i="38"/>
  <c r="M128" i="38"/>
  <c r="N128" i="38"/>
  <c r="K129" i="38"/>
  <c r="O129" i="38" s="1"/>
  <c r="M129" i="38"/>
  <c r="N129" i="38" s="1"/>
  <c r="H120" i="25"/>
  <c r="G120" i="25"/>
  <c r="F75" i="25"/>
  <c r="F74" i="25"/>
  <c r="F114" i="17"/>
  <c r="H114" i="17"/>
  <c r="G114" i="17"/>
  <c r="K32" i="17"/>
  <c r="K31" i="17"/>
  <c r="F21" i="40"/>
  <c r="H21" i="40"/>
  <c r="G21" i="40"/>
  <c r="K3" i="40"/>
  <c r="M10" i="3"/>
  <c r="K10" i="3"/>
  <c r="H10" i="3"/>
  <c r="F10" i="3"/>
  <c r="C10" i="3"/>
  <c r="D117" i="38" l="1"/>
  <c r="D118" i="38"/>
  <c r="D119" i="38"/>
  <c r="D120" i="38"/>
  <c r="D121" i="38"/>
  <c r="D122" i="38"/>
  <c r="D123" i="38"/>
  <c r="D124" i="38"/>
  <c r="D125" i="38"/>
  <c r="D126" i="38"/>
  <c r="D127" i="38"/>
  <c r="F69" i="10" l="1"/>
  <c r="H69" i="10"/>
  <c r="G69" i="10"/>
  <c r="F19" i="49"/>
  <c r="G19" i="49"/>
  <c r="H19" i="49"/>
  <c r="M2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M61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G127" i="38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F56" i="7"/>
  <c r="C56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11" i="41"/>
  <c r="C11" i="41"/>
  <c r="H119" i="25"/>
  <c r="G119" i="25"/>
  <c r="F73" i="25"/>
  <c r="F81" i="7"/>
  <c r="H81" i="7"/>
  <c r="G81" i="7"/>
  <c r="K19" i="7"/>
  <c r="H118" i="25"/>
  <c r="G118" i="25"/>
  <c r="K38" i="25"/>
  <c r="F21" i="41" l="1"/>
  <c r="H21" i="41"/>
  <c r="G21" i="41"/>
  <c r="F22" i="18"/>
  <c r="G22" i="18"/>
  <c r="H22" i="18"/>
  <c r="F23" i="18"/>
  <c r="G23" i="18"/>
  <c r="H23" i="18"/>
  <c r="F24" i="18"/>
  <c r="G24" i="18"/>
  <c r="H24" i="18"/>
  <c r="F25" i="18"/>
  <c r="G25" i="18"/>
  <c r="H25" i="18"/>
  <c r="F26" i="18"/>
  <c r="G26" i="18"/>
  <c r="H26" i="18"/>
  <c r="F27" i="18"/>
  <c r="G27" i="18"/>
  <c r="H27" i="18"/>
  <c r="F28" i="18"/>
  <c r="G28" i="18"/>
  <c r="H28" i="18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H21" i="18"/>
  <c r="G21" i="18"/>
  <c r="F21" i="18"/>
  <c r="F78" i="17"/>
  <c r="C78" i="17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H117" i="25"/>
  <c r="G117" i="25"/>
  <c r="K37" i="25"/>
  <c r="F72" i="25"/>
  <c r="F80" i="7"/>
  <c r="H80" i="7"/>
  <c r="G80" i="7"/>
  <c r="F51" i="7"/>
  <c r="F50" i="7"/>
  <c r="G126" i="38"/>
  <c r="H126" i="38"/>
  <c r="E126" i="38"/>
  <c r="K126" i="38"/>
  <c r="O126" i="38" s="1"/>
  <c r="M126" i="38"/>
  <c r="N126" i="38" s="1"/>
  <c r="K16" i="7" l="1"/>
  <c r="G125" i="38" l="1"/>
  <c r="H125" i="38"/>
  <c r="E125" i="38"/>
  <c r="K125" i="38"/>
  <c r="M125" i="38"/>
  <c r="N125" i="38"/>
  <c r="H116" i="25"/>
  <c r="G116" i="25"/>
  <c r="K36" i="25"/>
  <c r="F71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F11" i="34" s="1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M118" i="38"/>
  <c r="N118" i="38" s="1"/>
  <c r="H115" i="25"/>
  <c r="G115" i="25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165" i="1" l="1"/>
  <c r="F111" i="17"/>
  <c r="G111" i="17"/>
  <c r="H111" i="17"/>
  <c r="F72" i="17"/>
  <c r="K117" i="38"/>
  <c r="M117" i="38"/>
  <c r="N117" i="38" s="1"/>
  <c r="H117" i="38"/>
  <c r="E117" i="38"/>
  <c r="O117" i="38" l="1"/>
  <c r="K8" i="39"/>
  <c r="H8" i="39"/>
  <c r="H78" i="25"/>
  <c r="H19" i="5"/>
  <c r="K19" i="5"/>
  <c r="H16" i="16"/>
  <c r="K16" i="16"/>
  <c r="D116" i="38"/>
  <c r="H116" i="38"/>
  <c r="E116" i="38"/>
  <c r="K116" i="38"/>
  <c r="M116" i="38"/>
  <c r="N116" i="38" s="1"/>
  <c r="H11" i="41"/>
  <c r="K11" i="41"/>
  <c r="M11" i="41"/>
  <c r="K2" i="41"/>
  <c r="H78" i="7"/>
  <c r="G78" i="7"/>
  <c r="H77" i="7"/>
  <c r="G77" i="7"/>
  <c r="K18" i="7"/>
  <c r="H114" i="25"/>
  <c r="G114" i="25"/>
  <c r="K35" i="25"/>
  <c r="K2" i="40"/>
  <c r="H11" i="32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O116" i="38" l="1"/>
  <c r="D115" i="38"/>
  <c r="E115" i="38"/>
  <c r="K115" i="38"/>
  <c r="M115" i="38"/>
  <c r="N115" i="38"/>
  <c r="H115" i="38"/>
  <c r="O115" i="38" l="1"/>
  <c r="K114" i="38"/>
  <c r="O114" i="38" s="1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M113" i="38"/>
  <c r="N113" i="38" s="1"/>
  <c r="O113" i="38" l="1"/>
  <c r="G110" i="38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D109" i="38"/>
  <c r="G109" i="38"/>
  <c r="H109" i="38"/>
  <c r="E109" i="38"/>
  <c r="K109" i="38"/>
  <c r="M109" i="38"/>
  <c r="N109" i="38" s="1"/>
  <c r="O109" i="38" l="1"/>
  <c r="K108" i="38"/>
  <c r="O108" i="38" s="1"/>
  <c r="M108" i="38"/>
  <c r="N108" i="38" s="1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D105" i="38"/>
  <c r="E105" i="38"/>
  <c r="G105" i="38"/>
  <c r="H105" i="38"/>
  <c r="K105" i="38"/>
  <c r="M105" i="38"/>
  <c r="N105" i="38" s="1"/>
  <c r="O105" i="38" l="1"/>
  <c r="G104" i="38"/>
  <c r="H104" i="38"/>
  <c r="D104" i="38"/>
  <c r="E104" i="38"/>
  <c r="K104" i="38"/>
  <c r="M104" i="38"/>
  <c r="N104" i="38" s="1"/>
  <c r="O104" i="38" l="1"/>
  <c r="K103" i="38"/>
  <c r="M103" i="38"/>
  <c r="N103" i="38" s="1"/>
  <c r="D103" i="38"/>
  <c r="G103" i="38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M102" i="38"/>
  <c r="N102" i="38"/>
  <c r="D102" i="38"/>
  <c r="G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2" i="46"/>
  <c r="Q5" i="46" s="1"/>
  <c r="F5" i="46"/>
  <c r="K5" i="46"/>
  <c r="Q5" i="45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H112" i="25"/>
  <c r="G112" i="25"/>
  <c r="F68" i="25"/>
  <c r="Q8" i="46" l="1"/>
  <c r="Q8" i="43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G94" i="38"/>
  <c r="G95" i="38"/>
  <c r="G96" i="38"/>
  <c r="G97" i="38"/>
  <c r="G98" i="38"/>
  <c r="K98" i="38"/>
  <c r="M98" i="38"/>
  <c r="N98" i="38" s="1"/>
  <c r="E98" i="38"/>
  <c r="H98" i="38"/>
  <c r="O98" i="38" l="1"/>
  <c r="H110" i="25"/>
  <c r="G110" i="25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H109" i="25"/>
  <c r="G109" i="25"/>
  <c r="F66" i="25"/>
  <c r="F65" i="25"/>
  <c r="K96" i="38"/>
  <c r="M96" i="38"/>
  <c r="N96" i="38" s="1"/>
  <c r="O96" i="38" l="1"/>
  <c r="H95" i="38"/>
  <c r="E95" i="38"/>
  <c r="K95" i="38"/>
  <c r="M95" i="38"/>
  <c r="N95" i="38" s="1"/>
  <c r="H108" i="25"/>
  <c r="G108" i="25"/>
  <c r="F64" i="25"/>
  <c r="O95" i="38" l="1"/>
  <c r="H94" i="38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M93" i="38"/>
  <c r="N93" i="38" s="1"/>
  <c r="O93" i="38" l="1"/>
  <c r="K92" i="38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98" i="25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16" i="39"/>
  <c r="G16" i="39"/>
  <c r="H97" i="25"/>
  <c r="H47" i="4"/>
  <c r="H46" i="4"/>
  <c r="H23" i="8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F28" i="10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G79" i="38" l="1"/>
  <c r="H79" i="38"/>
  <c r="E79" i="38"/>
  <c r="K79" i="38"/>
  <c r="M79" i="38"/>
  <c r="N79" i="38" s="1"/>
  <c r="O79" i="38" l="1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K8" i="18"/>
  <c r="E77" i="38"/>
  <c r="G77" i="38"/>
  <c r="H77" i="38"/>
  <c r="K77" i="38"/>
  <c r="M77" i="38"/>
  <c r="N77" i="38" s="1"/>
  <c r="O77" i="38" l="1"/>
  <c r="F18" i="18"/>
  <c r="C18" i="18"/>
  <c r="K7" i="18"/>
  <c r="H42" i="4"/>
  <c r="G42" i="4"/>
  <c r="I42" i="4"/>
  <c r="F23" i="4"/>
  <c r="G76" i="38"/>
  <c r="H76" i="38"/>
  <c r="E76" i="38"/>
  <c r="K76" i="38"/>
  <c r="M76" i="38"/>
  <c r="N76" i="38" s="1"/>
  <c r="O76" i="38" l="1"/>
  <c r="I41" i="4" l="1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K73" i="38" l="1"/>
  <c r="M73" i="38"/>
  <c r="N73" i="38" s="1"/>
  <c r="H73" i="38"/>
  <c r="E73" i="38"/>
  <c r="F4" i="39"/>
  <c r="K4" i="39"/>
  <c r="H40" i="4"/>
  <c r="G40" i="4"/>
  <c r="F21" i="4"/>
  <c r="K13" i="4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K3" i="24" l="1"/>
  <c r="F7" i="24"/>
  <c r="K24" i="25"/>
  <c r="K17" i="17"/>
  <c r="K10" i="16"/>
  <c r="K9" i="16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H30" i="4"/>
  <c r="K10" i="4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K52" i="38"/>
  <c r="M52" i="38"/>
  <c r="N52" i="38" s="1"/>
  <c r="E52" i="38"/>
  <c r="O52" i="38" l="1"/>
  <c r="Q2" i="38"/>
  <c r="N169" i="1" s="1"/>
  <c r="K51" i="38"/>
  <c r="M51" i="38"/>
  <c r="N51" i="38" s="1"/>
  <c r="E51" i="38"/>
  <c r="O51" i="38" l="1"/>
  <c r="C23" i="13"/>
  <c r="K50" i="38" l="1"/>
  <c r="E50" i="38"/>
  <c r="M50" i="38"/>
  <c r="N50" i="38" s="1"/>
  <c r="K8" i="4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K136" i="1" l="1"/>
  <c r="F136" i="1"/>
  <c r="N136" i="1" s="1"/>
  <c r="O136" i="1" s="1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K78" i="25" s="1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33" l="1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0" l="1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2" i="3"/>
  <c r="Q3" i="3"/>
  <c r="Q6" i="3" s="1"/>
  <c r="Q8" i="3" l="1"/>
  <c r="Q7" i="3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<sst xmlns="http://schemas.openxmlformats.org/spreadsheetml/2006/main" count="2901" uniqueCount="484">
  <si>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</si>
  <si>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</si>
  <si>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</si>
  <si>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</si>
  <si>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</si>
  <si>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</si>
  <si>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</si>
  <si>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</si>
  <si>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</si>
  <si>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</si>
  <si>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</si>
  <si>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</si>
  <si>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</si>
  <si>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</si>
  <si>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</si>
  <si>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</si>
  <si>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</si>
  <si>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</si>
  <si>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</si>
  <si>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</si>
  <si>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</si>
  <si>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</si>
  <si>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</si>
  <si>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</si>
  <si>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</si>
  <si>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</si>
  <si>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</si>
  <si>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</si>
  <si>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</si>
  <si>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</si>
  <si>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</si>
  <si>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</si>
  <si>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</si>
  <si>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</si>
  <si>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</si>
  <si>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</si>
  <si>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</si>
  <si>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</si>
  <si>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</si>
  <si>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</si>
  <si>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</si>
  <si>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</si>
  <si>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</si>
  <si>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</si>
  <si>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</si>
  <si>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</si>
  <si>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</si>
  <si>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</si>
  <si>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</si>
  <si>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</si>
  <si>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</si>
  <si>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</si>
  <si>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</si>
  <si>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</si>
  <si>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</si>
  <si>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</si>
  <si>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</si>
  <si>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</si>
  <si>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</si>
  <si>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</si>
  <si>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</si>
  <si>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</si>
  <si>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</si>
  <si>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</si>
  <si>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</si>
  <si>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</si>
  <si>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</si>
  <si>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</si>
  <si>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</si>
  <si>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</si>
  <si>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</si>
  <si>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</si>
  <si>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</si>
  <si>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</si>
  <si>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</si>
  <si>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</si>
  <si>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</si>
  <si>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</si>
  <si>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</si>
  <si>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</si>
  <si>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</si>
  <si>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</si>
  <si>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</si>
  <si>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</si>
  <si>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</si>
  <si>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</si>
  <si>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</si>
  <si>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</si>
  <si>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</si>
  <si>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</si>
  <si>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</si>
  <si>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</si>
  <si>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</si>
  <si>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</si>
  <si>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</si>
  <si>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</si>
  <si>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</si>
  <si>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</si>
  <si>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</si>
  <si>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</si>
  <si>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</si>
  <si>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</si>
  <si>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</si>
  <si>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</si>
  <si>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</si>
  <si>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</si>
  <si>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</si>
  <si>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</si>
  <si>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</si>
  <si>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</si>
  <si>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</si>
  <si>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</si>
  <si>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</si>
  <si>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</si>
  <si>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</si>
  <si>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</si>
  <si>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</si>
  <si>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</si>
  <si>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</si>
  <si>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</si>
  <si>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</si>
  <si>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</si>
  <si>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</si>
  <si>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</si>
  <si>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</si>
  <si>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</si>
  <si>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</si>
  <si>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</si>
  <si>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</si>
  <si>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</si>
  <si>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</si>
  <si>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</si>
  <si>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</si>
  <si>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</si>
  <si>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</si>
  <si>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</si>
  <si>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</si>
  <si>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</si>
  <si>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</si>
  <si>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</si>
  <si>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</si>
  <si>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</si>
  <si>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</si>
  <si>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</si>
  <si>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</si>
  <si>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</si>
  <si>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</si>
  <si>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</si>
  <si>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</si>
  <si>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</si>
  <si>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</si>
  <si>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</si>
  <si>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</si>
  <si>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</si>
  <si>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</si>
  <si>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</si>
  <si>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</si>
  <si>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</si>
  <si>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</si>
  <si>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</si>
  <si>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</si>
  <si>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</si>
  <si>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</si>
  <si>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</si>
  <si>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</si>
  <si>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</si>
  <si>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</si>
  <si>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</si>
  <si>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</si>
  <si>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</si>
  <si>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</si>
  <si>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</si>
  <si>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</si>
  <si>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</si>
  <si>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</si>
  <si>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</si>
  <si>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</si>
  <si>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</si>
  <si>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</si>
  <si>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</si>
  <si>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</si>
  <si>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</si>
  <si>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</si>
  <si>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</si>
  <si>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</si>
  <si>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</si>
  <si>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</si>
  <si>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</si>
  <si>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</si>
  <si>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</si>
  <si>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</si>
  <si>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</si>
  <si>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</si>
  <si>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</si>
  <si>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</si>
  <si>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</si>
  <si>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</si>
  <si>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</si>
  <si>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</si>
  <si>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</si>
  <si>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</si>
  <si>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</si>
  <si>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</si>
  <si>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</si>
  <si>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</si>
  <si>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</si>
  <si>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</si>
  <si>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</si>
  <si>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</si>
  <si>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</si>
  <si>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</si>
  <si>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</si>
  <si>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</si>
  <si>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</si>
  <si>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</si>
  <si>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</si>
  <si>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</si>
  <si>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</si>
  <si>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</si>
  <si>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</si>
  <si>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</si>
  <si>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</si>
  <si>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</si>
  <si>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</si>
  <si>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</si>
  <si>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</si>
  <si>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</si>
  <si>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</si>
  <si>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</si>
  <si>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</si>
  <si>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</si>
  <si>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</si>
  <si>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</si>
  <si>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</si>
  <si>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</si>
  <si>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</si>
  <si>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</si>
  <si>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</si>
  <si>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</si>
  <si>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</si>
  <si>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</si>
  <si>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</si>
  <si>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</si>
  <si>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</si>
  <si>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</si>
  <si>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</si>
  <si>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</si>
  <si>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</si>
  <si>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</si>
  <si>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</si>
  <si>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</si>
  <si>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</si>
  <si>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</si>
  <si>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</si>
  <si>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</si>
  <si>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</si>
  <si>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</si>
  <si>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</si>
  <si>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</si>
  <si>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</si>
  <si>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</si>
  <si>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</si>
  <si>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</si>
  <si>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</si>
  <si>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</si>
  <si>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</si>
  <si>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</si>
  <si>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</si>
  <si>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</si>
  <si>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er, e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</si>
  <si>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</si>
  <si>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</si>
  <si>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</si>
  <si>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</si>
  <si>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</si>
  <si>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</si>
  <si>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</si>
  <si>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</si>
  <si>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</si>
  <si>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</si>
  <si>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Feb 23 - Feb 29 (Est.)</t>
  </si>
  <si>
    <t>Mar 10 - Mar 14 (Est.)</t>
  </si>
  <si>
    <t>Mar 3 - Mar 7 (Est.)</t>
  </si>
  <si>
    <t>23-Feb-16FTR Earnings announcement</t>
  </si>
  <si>
    <t>19-Apr-16INTC Earnings announcement</t>
  </si>
  <si>
    <t>24.87 - 35.59</t>
  </si>
  <si>
    <t>32.41 - 79.00</t>
  </si>
  <si>
    <t>15.10 - 35.75</t>
  </si>
  <si>
    <t>22.22 - 43.56</t>
  </si>
  <si>
    <t>37.40 - 197.35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</si>
  <si>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</si>
  <si>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</si>
  <si>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</si>
  <si>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</si>
  <si>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</si>
  <si>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</si>
  <si>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</si>
  <si>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</si>
  <si>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</si>
  <si>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32.50 - 57.90</t>
  </si>
  <si>
    <t>0.15 Dividend</t>
  </si>
  <si>
    <t>Apr 20 - Apr 25 (Est.)</t>
  </si>
  <si>
    <t>117.10 - 143.65</t>
  </si>
  <si>
    <t>54.12 - 72.51</t>
  </si>
  <si>
    <t>1.36 - 8.40</t>
  </si>
  <si>
    <t>May 3 - May 9 (Est.)</t>
  </si>
  <si>
    <t>Apr 21 - Apr 25 (Est.)</t>
  </si>
  <si>
    <t>27-Apr-16IP Earnings announcement</t>
  </si>
  <si>
    <t>3-Mar-16AVGO Earnings announcement</t>
  </si>
  <si>
    <t>0.71 Dividend</t>
  </si>
  <si>
    <t>242.07 - 480.18</t>
  </si>
  <si>
    <t>0.135 Dividend</t>
  </si>
  <si>
    <t>6.52 - 31.53</t>
  </si>
  <si>
    <t>Apr 29 - May 3 (Est.)</t>
  </si>
  <si>
    <t>11.53 - 23.51</t>
  </si>
  <si>
    <t>1-Mar-16KATE Earnings announcement</t>
  </si>
  <si>
    <t>16.31 - 63.79</t>
  </si>
  <si>
    <t>86.25 - 122.08</t>
  </si>
  <si>
    <t>4.00 - 45.18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</si>
  <si>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</si>
  <si>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</si>
  <si>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</si>
  <si>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</si>
  <si>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</si>
  <si>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</si>
  <si>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</si>
  <si>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77.99 x 100</t>
  </si>
  <si>
    <t>1.84B</t>
  </si>
  <si>
    <t>18-Feb  7.38</t>
  </si>
  <si>
    <t>16-18-Feb  10.97</t>
  </si>
  <si>
    <t>sell 3800 7.38+</t>
  </si>
  <si>
    <t>buy 1660 10.97-</t>
  </si>
  <si>
    <t>6.65 x 1000</t>
  </si>
  <si>
    <t>6.72 x 800</t>
  </si>
  <si>
    <t>May 4 - May 9 (Est.)</t>
  </si>
  <si>
    <t>6.52 - 6.88</t>
  </si>
  <si>
    <t>4.56B</t>
  </si>
  <si>
    <t>0.20 (2.97%)</t>
  </si>
  <si>
    <t>12.22 x 200</t>
  </si>
  <si>
    <t>13.85 x 700</t>
  </si>
  <si>
    <t>12.21 - 12.89</t>
  </si>
  <si>
    <t>4.35B</t>
  </si>
  <si>
    <t>11.11 x 1000</t>
  </si>
  <si>
    <t>11.17 x 500</t>
  </si>
  <si>
    <t>10.95 - 11.39</t>
  </si>
  <si>
    <t>9.31 - 31.91</t>
  </si>
  <si>
    <t>11.58B</t>
  </si>
  <si>
    <t>28.76 x 200</t>
  </si>
  <si>
    <t>28.81 x 200</t>
  </si>
  <si>
    <t>28.71 - 29.33</t>
  </si>
  <si>
    <t>135.63B</t>
  </si>
  <si>
    <t>1.04 (3.62%)</t>
  </si>
  <si>
    <t>42.16 x 300</t>
  </si>
  <si>
    <t>42.49 x 400</t>
  </si>
  <si>
    <t>40.25 - 42.34</t>
  </si>
  <si>
    <t>13.32B</t>
  </si>
  <si>
    <t>1.00 (2.36%)</t>
  </si>
  <si>
    <t>71.22 x 100</t>
  </si>
  <si>
    <t>74.05 - 75.50</t>
  </si>
  <si>
    <t>64.51 - 111.76</t>
  </si>
  <si>
    <t>22.36B</t>
  </si>
  <si>
    <t>2.36 (3.15%)</t>
  </si>
  <si>
    <t>56.91 x 400</t>
  </si>
  <si>
    <t>60.51 x 100</t>
  </si>
  <si>
    <t>56.22 - 57.13</t>
  </si>
  <si>
    <t>46.23 - 70.04</t>
  </si>
  <si>
    <t>44.74B</t>
  </si>
  <si>
    <t>1.05 (1.84%)</t>
  </si>
  <si>
    <t>7.87 x 900</t>
  </si>
  <si>
    <t>8.01 x 100</t>
  </si>
  <si>
    <t>7.84 - 8.09</t>
  </si>
  <si>
    <t>6.14 - 15.78</t>
  </si>
  <si>
    <t>10.31B</t>
  </si>
  <si>
    <t>0.12 (1.52%)</t>
  </si>
  <si>
    <t>15.64 x 700</t>
  </si>
  <si>
    <t>17.07 x 800</t>
  </si>
  <si>
    <t>16.41 - 17.04</t>
  </si>
  <si>
    <t>2.17B</t>
  </si>
  <si>
    <t>52.58 x 100</t>
  </si>
  <si>
    <t>52.88 x 100</t>
  </si>
  <si>
    <t>51.91 - 53.28</t>
  </si>
  <si>
    <t>34.83 - 70.54</t>
  </si>
  <si>
    <t>9.46B</t>
  </si>
  <si>
    <t>62.61 x 100</t>
  </si>
  <si>
    <t>64.35 x 100</t>
  </si>
  <si>
    <t>63.80 - 64.44</t>
  </si>
  <si>
    <t>24.38B</t>
  </si>
  <si>
    <t>1.32 (2.06%)</t>
  </si>
  <si>
    <t>18.75 x 100</t>
  </si>
  <si>
    <t>18.77 x 200</t>
  </si>
  <si>
    <t>18.71 - 19.99</t>
  </si>
  <si>
    <t>8.78 x 1100</t>
  </si>
  <si>
    <t>8.80 x 1200</t>
  </si>
  <si>
    <t>8.75 - 8.80</t>
  </si>
  <si>
    <t>1.54B</t>
  </si>
  <si>
    <t>0.16 (1.85%)</t>
  </si>
  <si>
    <t>127.65 x 100</t>
  </si>
  <si>
    <t>128.48 x 400</t>
  </si>
  <si>
    <t>125.00 - 128.79</t>
  </si>
  <si>
    <t>35.58B</t>
  </si>
  <si>
    <t>1.76 (1.37%)</t>
  </si>
  <si>
    <t>95.14 x 300</t>
  </si>
  <si>
    <t>95.42 x 100</t>
  </si>
  <si>
    <t>94.56 - 95.72</t>
  </si>
  <si>
    <t>155.02B</t>
  </si>
  <si>
    <t>1.42 (1.49%)</t>
  </si>
  <si>
    <t>87.53 x 200</t>
  </si>
  <si>
    <t>87.58 x 100</t>
  </si>
  <si>
    <t>87.12 - 88.98</t>
  </si>
  <si>
    <t>124.34B</t>
  </si>
  <si>
    <t>1.72 (1.97%)</t>
  </si>
  <si>
    <t>42.62 x 100</t>
  </si>
  <si>
    <t>50.57 x 200</t>
  </si>
  <si>
    <t>46.57 - 47.32</t>
  </si>
  <si>
    <t>2.89B</t>
  </si>
  <si>
    <t>0.44 (0.94%)</t>
  </si>
  <si>
    <t>0.11 Dividend</t>
  </si>
  <si>
    <t>28.78 x 600</t>
  </si>
  <si>
    <t>28.83 x 500</t>
  </si>
  <si>
    <t>28.38 - 28.98</t>
  </si>
  <si>
    <t>44.45B</t>
  </si>
  <si>
    <t>1.52 (5.28%)</t>
  </si>
  <si>
    <t>27.54 x 100</t>
  </si>
  <si>
    <t>30.16 x 100</t>
  </si>
  <si>
    <t>29.57 - 30.40</t>
  </si>
  <si>
    <t>2.50B</t>
  </si>
  <si>
    <t>1.04 (3.45%)</t>
  </si>
  <si>
    <t>1.00 x 400</t>
  </si>
  <si>
    <t>1.71 - 1.94</t>
  </si>
  <si>
    <t>29.70M</t>
  </si>
  <si>
    <t>88.05 x 200</t>
  </si>
  <si>
    <t>88.40 x 300</t>
  </si>
  <si>
    <t>87.42 - 88.99</t>
  </si>
  <si>
    <t>83.39 - 124.33</t>
  </si>
  <si>
    <t>73.80B</t>
  </si>
  <si>
    <t>2.56 (2.90%)</t>
  </si>
  <si>
    <t>117.70 x 100</t>
  </si>
  <si>
    <t>119.50 x 100</t>
  </si>
  <si>
    <t>116.02 - 118.55</t>
  </si>
  <si>
    <t>111.88B</t>
  </si>
  <si>
    <t>2.00 (1.70%)</t>
  </si>
  <si>
    <t>260.12 x 1000</t>
  </si>
  <si>
    <t>274.99 x 100</t>
  </si>
  <si>
    <t>255.12 - 263.00</t>
  </si>
  <si>
    <t>57.16B</t>
  </si>
  <si>
    <t>7.00 x 200</t>
  </si>
  <si>
    <t>4.92 - 5.55</t>
  </si>
  <si>
    <t>141.67M</t>
  </si>
  <si>
    <t>49.25 x 400</t>
  </si>
  <si>
    <t>54.99 x 100</t>
  </si>
  <si>
    <t>49.46 - 52.98</t>
  </si>
  <si>
    <t>1.91B</t>
  </si>
  <si>
    <t>33.80 x 300</t>
  </si>
  <si>
    <t>34.45 x 500</t>
  </si>
  <si>
    <t>33.43 - 34.81</t>
  </si>
  <si>
    <t>14.10B</t>
  </si>
  <si>
    <t>1.76 (5.17%)</t>
  </si>
  <si>
    <t>60.30 x 100</t>
  </si>
  <si>
    <t>65.00 x 100</t>
  </si>
  <si>
    <t>61.29 - 63.50</t>
  </si>
  <si>
    <t>12.08B</t>
  </si>
  <si>
    <t>1.04 (1.65%)</t>
  </si>
  <si>
    <t>48.05 x 100</t>
  </si>
  <si>
    <t>48.10 x 100</t>
  </si>
  <si>
    <t>14-Apr-16WFC Earnings announcement</t>
  </si>
  <si>
    <t>47.34 - 48.17</t>
  </si>
  <si>
    <t>244.88B</t>
  </si>
  <si>
    <t>1.50 (3.12%)</t>
  </si>
  <si>
    <t>37.46 x 8500</t>
  </si>
  <si>
    <t>37.47 x 2700</t>
  </si>
  <si>
    <t>36.85 - 37.58</t>
  </si>
  <si>
    <t>10.01B</t>
  </si>
  <si>
    <t>0.76 (2.03%)</t>
  </si>
  <si>
    <t>4.37 x 3000</t>
  </si>
  <si>
    <t>4.71 x 200</t>
  </si>
  <si>
    <t>4.37 - 4.55</t>
  </si>
  <si>
    <t>3.81 - 8.31</t>
  </si>
  <si>
    <t>5.19B</t>
  </si>
  <si>
    <t>0.42 (9.46%)</t>
  </si>
  <si>
    <t>125.03 x 200</t>
  </si>
  <si>
    <t>134.00 x 100</t>
  </si>
  <si>
    <t>128.31 - 130.76</t>
  </si>
  <si>
    <t>51.95B</t>
  </si>
  <si>
    <t>0.60 (0.46%)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</si>
</sst>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0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0" fillId="0" borderId="6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5" xfId="2" applyFill="1" applyAlignment="1">
      <alignment horizontal="center"/>
    </xf>
    <xf numFmtId="0" fontId="39" fillId="0" borderId="0" xfId="0" applyFont="1"/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4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1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230976"/>
        <c:axId val="466228232"/>
      </c:scatterChart>
      <c:valAx>
        <c:axId val="46623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8232"/>
        <c:crosses val="autoZero"/>
        <c:crossBetween val="midCat"/>
      </c:valAx>
      <c:valAx>
        <c:axId val="4662282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227840"/>
        <c:axId val="466235288"/>
      </c:scatterChart>
      <c:valAx>
        <c:axId val="46622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5288"/>
        <c:crosses val="autoZero"/>
        <c:crossBetween val="midCat"/>
      </c:valAx>
      <c:valAx>
        <c:axId val="4662352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223528"/>
        <c:axId val="466234112"/>
      </c:scatterChart>
      <c:valAx>
        <c:axId val="46622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4112"/>
        <c:crosses val="autoZero"/>
        <c:crossBetween val="midCat"/>
      </c:valAx>
      <c:valAx>
        <c:axId val="4662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3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MRO!$W$2:$W$69</c:f>
              <c:numCache>
                <c:formatCode>d\-mmm\-yy</c:formatCode>
                <c:ptCount val="68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42412</c:v>
                </c:pt>
                <c:pt idx="6">
                  <c:v>42411</c:v>
                </c:pt>
                <c:pt idx="7">
                  <c:v>42410</c:v>
                </c:pt>
                <c:pt idx="8">
                  <c:v>42409</c:v>
                </c:pt>
                <c:pt idx="9">
                  <c:v>42408</c:v>
                </c:pt>
                <c:pt idx="10">
                  <c:v>42405</c:v>
                </c:pt>
                <c:pt idx="11">
                  <c:v>42404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42324</c:v>
                </c:pt>
                <c:pt idx="67">
                  <c:v>42321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6.73</c:v>
                </c:pt>
                <c:pt idx="1">
                  <c:v>6.93</c:v>
                </c:pt>
                <c:pt idx="2">
                  <c:v>7.41</c:v>
                </c:pt>
                <c:pt idx="3">
                  <c:v>7.4</c:v>
                </c:pt>
                <c:pt idx="4">
                  <c:v>7.49</c:v>
                </c:pt>
                <c:pt idx="6">
                  <c:v>7.06</c:v>
                </c:pt>
                <c:pt idx="7">
                  <c:v>7.13</c:v>
                </c:pt>
                <c:pt idx="8">
                  <c:v>7.29</c:v>
                </c:pt>
                <c:pt idx="9">
                  <c:v>7.82</c:v>
                </c:pt>
                <c:pt idx="10">
                  <c:v>8.4600000000000009</c:v>
                </c:pt>
                <c:pt idx="11">
                  <c:v>9.19</c:v>
                </c:pt>
                <c:pt idx="12">
                  <c:v>9.42</c:v>
                </c:pt>
                <c:pt idx="13">
                  <c:v>8.74</c:v>
                </c:pt>
                <c:pt idx="14">
                  <c:v>9.74</c:v>
                </c:pt>
                <c:pt idx="15">
                  <c:v>9.73</c:v>
                </c:pt>
                <c:pt idx="16">
                  <c:v>9.17</c:v>
                </c:pt>
                <c:pt idx="17">
                  <c:v>8.75</c:v>
                </c:pt>
                <c:pt idx="18">
                  <c:v>8.4499999999999993</c:v>
                </c:pt>
                <c:pt idx="19">
                  <c:v>8.14</c:v>
                </c:pt>
                <c:pt idx="20">
                  <c:v>9.02</c:v>
                </c:pt>
                <c:pt idx="21">
                  <c:v>8.7899999999999991</c:v>
                </c:pt>
                <c:pt idx="22">
                  <c:v>7.86</c:v>
                </c:pt>
                <c:pt idx="23">
                  <c:v>7.68</c:v>
                </c:pt>
                <c:pt idx="24">
                  <c:v>8.14</c:v>
                </c:pt>
                <c:pt idx="25">
                  <c:v>9.07</c:v>
                </c:pt>
                <c:pt idx="26">
                  <c:v>8.5399999999999991</c:v>
                </c:pt>
                <c:pt idx="27">
                  <c:v>9.19</c:v>
                </c:pt>
                <c:pt idx="28">
                  <c:v>9.6199999999999992</c:v>
                </c:pt>
                <c:pt idx="29">
                  <c:v>10.35</c:v>
                </c:pt>
                <c:pt idx="30">
                  <c:v>10.67</c:v>
                </c:pt>
                <c:pt idx="31">
                  <c:v>11.28</c:v>
                </c:pt>
                <c:pt idx="32">
                  <c:v>12.76</c:v>
                </c:pt>
                <c:pt idx="33">
                  <c:v>12.82</c:v>
                </c:pt>
                <c:pt idx="34">
                  <c:v>12.59</c:v>
                </c:pt>
                <c:pt idx="35">
                  <c:v>12.38</c:v>
                </c:pt>
                <c:pt idx="36">
                  <c:v>13.03</c:v>
                </c:pt>
                <c:pt idx="37">
                  <c:v>12.98</c:v>
                </c:pt>
                <c:pt idx="38">
                  <c:v>13.93</c:v>
                </c:pt>
                <c:pt idx="39">
                  <c:v>13.96</c:v>
                </c:pt>
                <c:pt idx="40">
                  <c:v>12.69</c:v>
                </c:pt>
                <c:pt idx="41">
                  <c:v>12.52</c:v>
                </c:pt>
                <c:pt idx="42">
                  <c:v>12.47</c:v>
                </c:pt>
                <c:pt idx="43">
                  <c:v>12.78</c:v>
                </c:pt>
                <c:pt idx="44">
                  <c:v>13.78</c:v>
                </c:pt>
                <c:pt idx="45">
                  <c:v>14.46</c:v>
                </c:pt>
                <c:pt idx="46">
                  <c:v>13.96</c:v>
                </c:pt>
                <c:pt idx="47">
                  <c:v>14.34</c:v>
                </c:pt>
                <c:pt idx="48">
                  <c:v>14.74</c:v>
                </c:pt>
                <c:pt idx="49">
                  <c:v>14.5</c:v>
                </c:pt>
                <c:pt idx="50">
                  <c:v>14.92</c:v>
                </c:pt>
                <c:pt idx="51">
                  <c:v>14.78</c:v>
                </c:pt>
                <c:pt idx="52">
                  <c:v>16.12</c:v>
                </c:pt>
                <c:pt idx="53">
                  <c:v>16.55</c:v>
                </c:pt>
                <c:pt idx="54">
                  <c:v>16.670000000000002</c:v>
                </c:pt>
                <c:pt idx="55">
                  <c:v>17.63</c:v>
                </c:pt>
                <c:pt idx="56">
                  <c:v>17.510000000000002</c:v>
                </c:pt>
                <c:pt idx="57">
                  <c:v>17.440000000000001</c:v>
                </c:pt>
                <c:pt idx="58">
                  <c:v>18.11</c:v>
                </c:pt>
                <c:pt idx="59">
                  <c:v>18.5</c:v>
                </c:pt>
                <c:pt idx="60">
                  <c:v>17.53</c:v>
                </c:pt>
                <c:pt idx="61">
                  <c:v>17.420000000000002</c:v>
                </c:pt>
                <c:pt idx="62">
                  <c:v>17.64</c:v>
                </c:pt>
                <c:pt idx="63">
                  <c:v>17.899999999999999</c:v>
                </c:pt>
                <c:pt idx="64">
                  <c:v>17.71</c:v>
                </c:pt>
                <c:pt idx="65">
                  <c:v>17.87</c:v>
                </c:pt>
                <c:pt idx="67">
                  <c:v>17.14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23920"/>
        <c:axId val="466228624"/>
      </c:lineChart>
      <c:dateAx>
        <c:axId val="466223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8624"/>
        <c:crosses val="autoZero"/>
        <c:auto val="1"/>
        <c:lblOffset val="100"/>
        <c:baseTimeUnit val="days"/>
      </c:dateAx>
      <c:valAx>
        <c:axId val="4662286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12.21</c:v>
                </c:pt>
                <c:pt idx="1">
                  <c:v>12.99</c:v>
                </c:pt>
                <c:pt idx="2">
                  <c:v>13.09</c:v>
                </c:pt>
                <c:pt idx="3">
                  <c:v>12.99</c:v>
                </c:pt>
                <c:pt idx="4">
                  <c:v>12.35</c:v>
                </c:pt>
                <c:pt idx="5">
                  <c:v>13.21</c:v>
                </c:pt>
                <c:pt idx="6">
                  <c:v>14.37</c:v>
                </c:pt>
                <c:pt idx="7">
                  <c:v>14.58</c:v>
                </c:pt>
                <c:pt idx="8">
                  <c:v>14.14</c:v>
                </c:pt>
                <c:pt idx="9">
                  <c:v>15.31</c:v>
                </c:pt>
                <c:pt idx="10">
                  <c:v>15.81</c:v>
                </c:pt>
                <c:pt idx="11">
                  <c:v>15.94</c:v>
                </c:pt>
                <c:pt idx="12">
                  <c:v>15.18</c:v>
                </c:pt>
                <c:pt idx="13">
                  <c:v>15.26</c:v>
                </c:pt>
                <c:pt idx="14">
                  <c:v>15.31</c:v>
                </c:pt>
                <c:pt idx="15">
                  <c:v>14.42</c:v>
                </c:pt>
                <c:pt idx="16">
                  <c:v>14.25</c:v>
                </c:pt>
                <c:pt idx="17">
                  <c:v>13.86</c:v>
                </c:pt>
                <c:pt idx="18">
                  <c:v>13.35</c:v>
                </c:pt>
                <c:pt idx="19">
                  <c:v>14.51</c:v>
                </c:pt>
                <c:pt idx="20">
                  <c:v>14.54</c:v>
                </c:pt>
                <c:pt idx="21">
                  <c:v>14.18</c:v>
                </c:pt>
                <c:pt idx="22">
                  <c:v>14.01</c:v>
                </c:pt>
                <c:pt idx="23">
                  <c:v>13.63</c:v>
                </c:pt>
                <c:pt idx="24">
                  <c:v>14.31</c:v>
                </c:pt>
                <c:pt idx="25">
                  <c:v>13.33</c:v>
                </c:pt>
                <c:pt idx="26">
                  <c:v>13.69</c:v>
                </c:pt>
                <c:pt idx="27">
                  <c:v>14.41</c:v>
                </c:pt>
                <c:pt idx="28">
                  <c:v>14.53</c:v>
                </c:pt>
                <c:pt idx="29">
                  <c:v>14.35</c:v>
                </c:pt>
                <c:pt idx="30">
                  <c:v>14.34</c:v>
                </c:pt>
                <c:pt idx="31">
                  <c:v>14.68</c:v>
                </c:pt>
                <c:pt idx="32">
                  <c:v>14.45</c:v>
                </c:pt>
                <c:pt idx="33">
                  <c:v>14.47</c:v>
                </c:pt>
                <c:pt idx="34">
                  <c:v>14.21</c:v>
                </c:pt>
                <c:pt idx="35">
                  <c:v>14.58</c:v>
                </c:pt>
                <c:pt idx="36">
                  <c:v>14.35</c:v>
                </c:pt>
                <c:pt idx="37">
                  <c:v>14.46</c:v>
                </c:pt>
                <c:pt idx="38">
                  <c:v>14.29</c:v>
                </c:pt>
                <c:pt idx="39">
                  <c:v>13.48</c:v>
                </c:pt>
                <c:pt idx="40">
                  <c:v>13.64</c:v>
                </c:pt>
                <c:pt idx="41">
                  <c:v>12.88</c:v>
                </c:pt>
                <c:pt idx="42">
                  <c:v>12.5</c:v>
                </c:pt>
                <c:pt idx="43">
                  <c:v>12.69</c:v>
                </c:pt>
                <c:pt idx="44">
                  <c:v>12.44</c:v>
                </c:pt>
                <c:pt idx="45">
                  <c:v>11.8</c:v>
                </c:pt>
                <c:pt idx="46">
                  <c:v>12.47</c:v>
                </c:pt>
                <c:pt idx="47">
                  <c:v>12.92</c:v>
                </c:pt>
                <c:pt idx="48">
                  <c:v>12.93</c:v>
                </c:pt>
                <c:pt idx="49">
                  <c:v>12.79</c:v>
                </c:pt>
                <c:pt idx="50">
                  <c:v>12.84</c:v>
                </c:pt>
                <c:pt idx="51">
                  <c:v>13.15</c:v>
                </c:pt>
                <c:pt idx="52">
                  <c:v>13.64</c:v>
                </c:pt>
                <c:pt idx="53">
                  <c:v>13.9</c:v>
                </c:pt>
                <c:pt idx="54">
                  <c:v>14.67</c:v>
                </c:pt>
                <c:pt idx="55">
                  <c:v>14.78</c:v>
                </c:pt>
                <c:pt idx="56">
                  <c:v>14.47</c:v>
                </c:pt>
                <c:pt idx="57">
                  <c:v>14.84</c:v>
                </c:pt>
                <c:pt idx="58">
                  <c:v>15.08</c:v>
                </c:pt>
                <c:pt idx="59">
                  <c:v>14.67</c:v>
                </c:pt>
                <c:pt idx="60">
                  <c:v>14.64</c:v>
                </c:pt>
                <c:pt idx="61">
                  <c:v>14.57</c:v>
                </c:pt>
                <c:pt idx="62">
                  <c:v>14.65</c:v>
                </c:pt>
                <c:pt idx="63">
                  <c:v>14.38</c:v>
                </c:pt>
                <c:pt idx="64">
                  <c:v>14.92</c:v>
                </c:pt>
                <c:pt idx="65">
                  <c:v>14.52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24704"/>
        <c:axId val="466229016"/>
      </c:lineChart>
      <c:dateAx>
        <c:axId val="466224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9016"/>
        <c:crosses val="autoZero"/>
        <c:auto val="1"/>
        <c:lblOffset val="100"/>
        <c:baseTimeUnit val="days"/>
      </c:dateAx>
      <c:valAx>
        <c:axId val="4662290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11.16</c:v>
                </c:pt>
                <c:pt idx="1">
                  <c:v>11.49</c:v>
                </c:pt>
                <c:pt idx="2">
                  <c:v>11.43</c:v>
                </c:pt>
                <c:pt idx="3">
                  <c:v>10.81</c:v>
                </c:pt>
                <c:pt idx="4">
                  <c:v>10.02</c:v>
                </c:pt>
                <c:pt idx="5">
                  <c:v>9.69</c:v>
                </c:pt>
                <c:pt idx="6">
                  <c:v>9.9</c:v>
                </c:pt>
                <c:pt idx="7">
                  <c:v>9.98</c:v>
                </c:pt>
                <c:pt idx="8">
                  <c:v>10.17</c:v>
                </c:pt>
                <c:pt idx="9">
                  <c:v>11</c:v>
                </c:pt>
                <c:pt idx="10">
                  <c:v>11.23</c:v>
                </c:pt>
                <c:pt idx="11">
                  <c:v>10.76</c:v>
                </c:pt>
                <c:pt idx="12">
                  <c:v>10.59</c:v>
                </c:pt>
                <c:pt idx="13">
                  <c:v>10.96</c:v>
                </c:pt>
                <c:pt idx="14">
                  <c:v>11.03</c:v>
                </c:pt>
                <c:pt idx="15">
                  <c:v>9.89</c:v>
                </c:pt>
                <c:pt idx="16">
                  <c:v>10.39</c:v>
                </c:pt>
                <c:pt idx="17">
                  <c:v>10.55</c:v>
                </c:pt>
                <c:pt idx="18">
                  <c:v>10.48</c:v>
                </c:pt>
                <c:pt idx="19">
                  <c:v>11.07</c:v>
                </c:pt>
                <c:pt idx="20">
                  <c:v>10.85</c:v>
                </c:pt>
                <c:pt idx="21">
                  <c:v>10.050000000000001</c:v>
                </c:pt>
                <c:pt idx="22">
                  <c:v>10.8</c:v>
                </c:pt>
                <c:pt idx="23">
                  <c:v>11.08</c:v>
                </c:pt>
                <c:pt idx="24">
                  <c:v>12.02</c:v>
                </c:pt>
                <c:pt idx="25">
                  <c:v>12.06</c:v>
                </c:pt>
                <c:pt idx="26">
                  <c:v>12.72</c:v>
                </c:pt>
                <c:pt idx="27">
                  <c:v>12.53</c:v>
                </c:pt>
                <c:pt idx="28">
                  <c:v>13.33</c:v>
                </c:pt>
                <c:pt idx="29">
                  <c:v>13.66</c:v>
                </c:pt>
                <c:pt idx="30">
                  <c:v>14.22</c:v>
                </c:pt>
                <c:pt idx="31">
                  <c:v>14.82</c:v>
                </c:pt>
                <c:pt idx="32">
                  <c:v>14.33</c:v>
                </c:pt>
                <c:pt idx="33">
                  <c:v>14.16</c:v>
                </c:pt>
                <c:pt idx="34">
                  <c:v>14.16</c:v>
                </c:pt>
                <c:pt idx="35">
                  <c:v>14.34</c:v>
                </c:pt>
                <c:pt idx="36">
                  <c:v>14.19</c:v>
                </c:pt>
                <c:pt idx="37">
                  <c:v>14.48</c:v>
                </c:pt>
                <c:pt idx="38">
                  <c:v>14.3</c:v>
                </c:pt>
                <c:pt idx="39">
                  <c:v>14.61</c:v>
                </c:pt>
                <c:pt idx="40">
                  <c:v>14.77</c:v>
                </c:pt>
                <c:pt idx="41">
                  <c:v>14.36</c:v>
                </c:pt>
                <c:pt idx="42">
                  <c:v>14.32</c:v>
                </c:pt>
                <c:pt idx="43">
                  <c:v>14.07</c:v>
                </c:pt>
                <c:pt idx="44">
                  <c:v>14.18</c:v>
                </c:pt>
                <c:pt idx="45">
                  <c:v>13.66</c:v>
                </c:pt>
                <c:pt idx="46">
                  <c:v>14.04</c:v>
                </c:pt>
                <c:pt idx="47">
                  <c:v>14.66</c:v>
                </c:pt>
                <c:pt idx="48">
                  <c:v>14.32</c:v>
                </c:pt>
                <c:pt idx="49">
                  <c:v>14.6</c:v>
                </c:pt>
                <c:pt idx="50">
                  <c:v>14.85</c:v>
                </c:pt>
                <c:pt idx="51">
                  <c:v>15.5</c:v>
                </c:pt>
                <c:pt idx="52">
                  <c:v>15.61</c:v>
                </c:pt>
                <c:pt idx="53">
                  <c:v>15.82</c:v>
                </c:pt>
                <c:pt idx="54">
                  <c:v>16.55</c:v>
                </c:pt>
                <c:pt idx="55">
                  <c:v>15.93</c:v>
                </c:pt>
                <c:pt idx="56">
                  <c:v>15.56</c:v>
                </c:pt>
                <c:pt idx="57">
                  <c:v>15.58</c:v>
                </c:pt>
                <c:pt idx="58">
                  <c:v>15.63</c:v>
                </c:pt>
                <c:pt idx="59">
                  <c:v>15.32</c:v>
                </c:pt>
                <c:pt idx="60">
                  <c:v>15.43</c:v>
                </c:pt>
                <c:pt idx="61">
                  <c:v>15.87</c:v>
                </c:pt>
                <c:pt idx="62">
                  <c:v>15.61</c:v>
                </c:pt>
                <c:pt idx="63">
                  <c:v>15.28</c:v>
                </c:pt>
                <c:pt idx="64">
                  <c:v>14.89</c:v>
                </c:pt>
                <c:pt idx="65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27448"/>
        <c:axId val="466225880"/>
      </c:lineChart>
      <c:dateAx>
        <c:axId val="46622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5880"/>
        <c:crosses val="autoZero"/>
        <c:auto val="1"/>
        <c:lblOffset val="100"/>
        <c:baseTimeUnit val="days"/>
      </c:dateAx>
      <c:valAx>
        <c:axId val="4662258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42411</c:v>
                </c:pt>
                <c:pt idx="7">
                  <c:v>42410</c:v>
                </c:pt>
                <c:pt idx="8">
                  <c:v>42409</c:v>
                </c:pt>
                <c:pt idx="9">
                  <c:v>42408</c:v>
                </c:pt>
                <c:pt idx="10">
                  <c:v>42405</c:v>
                </c:pt>
                <c:pt idx="11">
                  <c:v>42404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34.01</c:v>
                </c:pt>
                <c:pt idx="1">
                  <c:v>35.32</c:v>
                </c:pt>
                <c:pt idx="2">
                  <c:v>35.58</c:v>
                </c:pt>
                <c:pt idx="3">
                  <c:v>35.1</c:v>
                </c:pt>
                <c:pt idx="4">
                  <c:v>34.159999999999997</c:v>
                </c:pt>
                <c:pt idx="5">
                  <c:v>33.119999999999997</c:v>
                </c:pt>
                <c:pt idx="7">
                  <c:v>34.78</c:v>
                </c:pt>
                <c:pt idx="8">
                  <c:v>35.130000000000003</c:v>
                </c:pt>
                <c:pt idx="9">
                  <c:v>34.36</c:v>
                </c:pt>
                <c:pt idx="10">
                  <c:v>34.97</c:v>
                </c:pt>
                <c:pt idx="11">
                  <c:v>35.07</c:v>
                </c:pt>
                <c:pt idx="12">
                  <c:v>34.17</c:v>
                </c:pt>
                <c:pt idx="13">
                  <c:v>33.86</c:v>
                </c:pt>
                <c:pt idx="14">
                  <c:v>34.090000000000003</c:v>
                </c:pt>
                <c:pt idx="15">
                  <c:v>34.21</c:v>
                </c:pt>
                <c:pt idx="16">
                  <c:v>32.65</c:v>
                </c:pt>
                <c:pt idx="17">
                  <c:v>32.909999999999997</c:v>
                </c:pt>
                <c:pt idx="18">
                  <c:v>32.869999999999997</c:v>
                </c:pt>
                <c:pt idx="19">
                  <c:v>32.58</c:v>
                </c:pt>
                <c:pt idx="20">
                  <c:v>36.450000000000003</c:v>
                </c:pt>
                <c:pt idx="21">
                  <c:v>35.46</c:v>
                </c:pt>
                <c:pt idx="22">
                  <c:v>35.29</c:v>
                </c:pt>
                <c:pt idx="23">
                  <c:v>35.64</c:v>
                </c:pt>
                <c:pt idx="24">
                  <c:v>36.42</c:v>
                </c:pt>
                <c:pt idx="25">
                  <c:v>36.54</c:v>
                </c:pt>
                <c:pt idx="26">
                  <c:v>36.049999999999997</c:v>
                </c:pt>
                <c:pt idx="27">
                  <c:v>36.35</c:v>
                </c:pt>
                <c:pt idx="28">
                  <c:v>36.4</c:v>
                </c:pt>
                <c:pt idx="29">
                  <c:v>35.9</c:v>
                </c:pt>
                <c:pt idx="30">
                  <c:v>36.29</c:v>
                </c:pt>
                <c:pt idx="31">
                  <c:v>37.39</c:v>
                </c:pt>
                <c:pt idx="32">
                  <c:v>37.99</c:v>
                </c:pt>
                <c:pt idx="33">
                  <c:v>37.67</c:v>
                </c:pt>
                <c:pt idx="34">
                  <c:v>37.700000000000003</c:v>
                </c:pt>
                <c:pt idx="35">
                  <c:v>38.200000000000003</c:v>
                </c:pt>
                <c:pt idx="36">
                  <c:v>38.65</c:v>
                </c:pt>
                <c:pt idx="37">
                  <c:v>38.119999999999997</c:v>
                </c:pt>
                <c:pt idx="38">
                  <c:v>38.520000000000003</c:v>
                </c:pt>
                <c:pt idx="39">
                  <c:v>38.33</c:v>
                </c:pt>
                <c:pt idx="40">
                  <c:v>37.65</c:v>
                </c:pt>
                <c:pt idx="41">
                  <c:v>37.299999999999997</c:v>
                </c:pt>
                <c:pt idx="42">
                  <c:v>36.799999999999997</c:v>
                </c:pt>
                <c:pt idx="43">
                  <c:v>37.72</c:v>
                </c:pt>
                <c:pt idx="44">
                  <c:v>38.58</c:v>
                </c:pt>
                <c:pt idx="45">
                  <c:v>38.159999999999997</c:v>
                </c:pt>
                <c:pt idx="46">
                  <c:v>37.57</c:v>
                </c:pt>
                <c:pt idx="47">
                  <c:v>38.130000000000003</c:v>
                </c:pt>
                <c:pt idx="48">
                  <c:v>38.76</c:v>
                </c:pt>
                <c:pt idx="49">
                  <c:v>39.4</c:v>
                </c:pt>
                <c:pt idx="50">
                  <c:v>39.299999999999997</c:v>
                </c:pt>
                <c:pt idx="51">
                  <c:v>39.78</c:v>
                </c:pt>
                <c:pt idx="52">
                  <c:v>40.229999999999997</c:v>
                </c:pt>
                <c:pt idx="53">
                  <c:v>39.61</c:v>
                </c:pt>
                <c:pt idx="54">
                  <c:v>40.07</c:v>
                </c:pt>
                <c:pt idx="55">
                  <c:v>41.22</c:v>
                </c:pt>
                <c:pt idx="56">
                  <c:v>41.83</c:v>
                </c:pt>
                <c:pt idx="57">
                  <c:v>41.85</c:v>
                </c:pt>
                <c:pt idx="58">
                  <c:v>41.64</c:v>
                </c:pt>
                <c:pt idx="59">
                  <c:v>41.83</c:v>
                </c:pt>
                <c:pt idx="60">
                  <c:v>41.19</c:v>
                </c:pt>
                <c:pt idx="61">
                  <c:v>41.22</c:v>
                </c:pt>
                <c:pt idx="62">
                  <c:v>41.26</c:v>
                </c:pt>
                <c:pt idx="63">
                  <c:v>41.06</c:v>
                </c:pt>
                <c:pt idx="64">
                  <c:v>39.869999999999997</c:v>
                </c:pt>
                <c:pt idx="65">
                  <c:v>39.99</c:v>
                </c:pt>
                <c:pt idx="66">
                  <c:v>40.19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37640"/>
        <c:axId val="466237248"/>
      </c:lineChart>
      <c:dateAx>
        <c:axId val="46623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7248"/>
        <c:crosses val="autoZero"/>
        <c:auto val="1"/>
        <c:lblOffset val="100"/>
        <c:baseTimeUnit val="days"/>
      </c:dateAx>
      <c:valAx>
        <c:axId val="4662372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3-Feb-16</c:v>
                </c:pt>
                <c:pt idx="13">
                  <c:v>2-Feb-16</c:v>
                </c:pt>
                <c:pt idx="14">
                  <c:v>1-Feb-16</c:v>
                </c:pt>
                <c:pt idx="15">
                  <c:v>29-Jan-16</c:v>
                </c:pt>
                <c:pt idx="16">
                  <c:v>28-Jan-16</c:v>
                </c:pt>
                <c:pt idx="17">
                  <c:v>27-Jan-16</c:v>
                </c:pt>
                <c:pt idx="18">
                  <c:v>26-Jan-16</c:v>
                </c:pt>
                <c:pt idx="19">
                  <c:v>25-Jan-16</c:v>
                </c:pt>
                <c:pt idx="20">
                  <c:v>22-Jan-16</c:v>
                </c:pt>
                <c:pt idx="21">
                  <c:v>21-Jan-16</c:v>
                </c:pt>
                <c:pt idx="22">
                  <c:v>20-Jan-16</c:v>
                </c:pt>
                <c:pt idx="23">
                  <c:v>19-Jan-16</c:v>
                </c:pt>
                <c:pt idx="24">
                  <c:v>15-Jan-16</c:v>
                </c:pt>
                <c:pt idx="25">
                  <c:v>14-Jan-16</c:v>
                </c:pt>
                <c:pt idx="26">
                  <c:v>13-Jan-16</c:v>
                </c:pt>
                <c:pt idx="27">
                  <c:v>12-Jan-16</c:v>
                </c:pt>
                <c:pt idx="28">
                  <c:v>11-Jan-16</c:v>
                </c:pt>
                <c:pt idx="29">
                  <c:v>8-Jan-16</c:v>
                </c:pt>
                <c:pt idx="30">
                  <c:v>7-Jan-16</c:v>
                </c:pt>
                <c:pt idx="31">
                  <c:v>6-Jan-16</c:v>
                </c:pt>
                <c:pt idx="32">
                  <c:v>5-Jan-16</c:v>
                </c:pt>
                <c:pt idx="33">
                  <c:v>4-Jan-16</c:v>
                </c:pt>
                <c:pt idx="34">
                  <c:v>31-Dec-15</c:v>
                </c:pt>
                <c:pt idx="35">
                  <c:v>30-Dec-15</c:v>
                </c:pt>
                <c:pt idx="36">
                  <c:v>29-Dec-15</c:v>
                </c:pt>
                <c:pt idx="37">
                  <c:v>28-Dec-15</c:v>
                </c:pt>
                <c:pt idx="38">
                  <c:v>24-Dec-15</c:v>
                </c:pt>
                <c:pt idx="39">
                  <c:v>23-Dec-15</c:v>
                </c:pt>
                <c:pt idx="40">
                  <c:v>22-Dec-15</c:v>
                </c:pt>
                <c:pt idx="41">
                  <c:v>21-Dec-15</c:v>
                </c:pt>
                <c:pt idx="42">
                  <c:v>18-Dec-15</c:v>
                </c:pt>
                <c:pt idx="43">
                  <c:v>17-Dec-15</c:v>
                </c:pt>
                <c:pt idx="44">
                  <c:v>16-Dec-15</c:v>
                </c:pt>
                <c:pt idx="45">
                  <c:v>15-Dec-15</c:v>
                </c:pt>
                <c:pt idx="46">
                  <c:v>14-Dec-15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28.71</c:v>
                </c:pt>
                <c:pt idx="1">
                  <c:v>29.42</c:v>
                </c:pt>
                <c:pt idx="2">
                  <c:v>29.47</c:v>
                </c:pt>
                <c:pt idx="3">
                  <c:v>28.78</c:v>
                </c:pt>
                <c:pt idx="4">
                  <c:v>28.64</c:v>
                </c:pt>
                <c:pt idx="5">
                  <c:v>28.22</c:v>
                </c:pt>
                <c:pt idx="6">
                  <c:v>28.23</c:v>
                </c:pt>
                <c:pt idx="7">
                  <c:v>28.81</c:v>
                </c:pt>
                <c:pt idx="8">
                  <c:v>28.82</c:v>
                </c:pt>
                <c:pt idx="9">
                  <c:v>29.04</c:v>
                </c:pt>
                <c:pt idx="10">
                  <c:v>29.77</c:v>
                </c:pt>
                <c:pt idx="11">
                  <c:v>29.34</c:v>
                </c:pt>
                <c:pt idx="13">
                  <c:v>29.8</c:v>
                </c:pt>
                <c:pt idx="14">
                  <c:v>30.82</c:v>
                </c:pt>
                <c:pt idx="15">
                  <c:v>31.02</c:v>
                </c:pt>
                <c:pt idx="16">
                  <c:v>29.97</c:v>
                </c:pt>
                <c:pt idx="17">
                  <c:v>29.81</c:v>
                </c:pt>
                <c:pt idx="18">
                  <c:v>29.94</c:v>
                </c:pt>
                <c:pt idx="19">
                  <c:v>29.6</c:v>
                </c:pt>
                <c:pt idx="20">
                  <c:v>29.93</c:v>
                </c:pt>
                <c:pt idx="21">
                  <c:v>29.66</c:v>
                </c:pt>
                <c:pt idx="22">
                  <c:v>29.59</c:v>
                </c:pt>
                <c:pt idx="23">
                  <c:v>29.8</c:v>
                </c:pt>
                <c:pt idx="24">
                  <c:v>29.76</c:v>
                </c:pt>
                <c:pt idx="25">
                  <c:v>32.74</c:v>
                </c:pt>
                <c:pt idx="26">
                  <c:v>31.91</c:v>
                </c:pt>
                <c:pt idx="27">
                  <c:v>32.68</c:v>
                </c:pt>
                <c:pt idx="28">
                  <c:v>32.06</c:v>
                </c:pt>
                <c:pt idx="29">
                  <c:v>31.51</c:v>
                </c:pt>
                <c:pt idx="30">
                  <c:v>31.84</c:v>
                </c:pt>
                <c:pt idx="31">
                  <c:v>33.08</c:v>
                </c:pt>
                <c:pt idx="32">
                  <c:v>33.83</c:v>
                </c:pt>
                <c:pt idx="33">
                  <c:v>33.99</c:v>
                </c:pt>
                <c:pt idx="34">
                  <c:v>34.450000000000003</c:v>
                </c:pt>
                <c:pt idx="35">
                  <c:v>34.99</c:v>
                </c:pt>
                <c:pt idx="36">
                  <c:v>35.44</c:v>
                </c:pt>
                <c:pt idx="37">
                  <c:v>34.93</c:v>
                </c:pt>
                <c:pt idx="38">
                  <c:v>34.979999999999997</c:v>
                </c:pt>
                <c:pt idx="39">
                  <c:v>35</c:v>
                </c:pt>
                <c:pt idx="40">
                  <c:v>34.729999999999997</c:v>
                </c:pt>
                <c:pt idx="41">
                  <c:v>34.24</c:v>
                </c:pt>
                <c:pt idx="42">
                  <c:v>33.869999999999997</c:v>
                </c:pt>
                <c:pt idx="43">
                  <c:v>34.909999999999997</c:v>
                </c:pt>
                <c:pt idx="44">
                  <c:v>35.299999999999997</c:v>
                </c:pt>
                <c:pt idx="45">
                  <c:v>35.18</c:v>
                </c:pt>
                <c:pt idx="46">
                  <c:v>34.47</c:v>
                </c:pt>
                <c:pt idx="47">
                  <c:v>34.270000000000003</c:v>
                </c:pt>
                <c:pt idx="48">
                  <c:v>34.770000000000003</c:v>
                </c:pt>
                <c:pt idx="49">
                  <c:v>34.81</c:v>
                </c:pt>
                <c:pt idx="50">
                  <c:v>34.75</c:v>
                </c:pt>
                <c:pt idx="51">
                  <c:v>34.99</c:v>
                </c:pt>
                <c:pt idx="52">
                  <c:v>34.94</c:v>
                </c:pt>
                <c:pt idx="53">
                  <c:v>34.04</c:v>
                </c:pt>
                <c:pt idx="54">
                  <c:v>34.83</c:v>
                </c:pt>
                <c:pt idx="55">
                  <c:v>35.090000000000003</c:v>
                </c:pt>
                <c:pt idx="56">
                  <c:v>34.770000000000003</c:v>
                </c:pt>
                <c:pt idx="57">
                  <c:v>34.46</c:v>
                </c:pt>
                <c:pt idx="58">
                  <c:v>34.450000000000003</c:v>
                </c:pt>
                <c:pt idx="59">
                  <c:v>34.36</c:v>
                </c:pt>
                <c:pt idx="60">
                  <c:v>34.479999999999997</c:v>
                </c:pt>
                <c:pt idx="61">
                  <c:v>34.659999999999997</c:v>
                </c:pt>
                <c:pt idx="62">
                  <c:v>34.299999999999997</c:v>
                </c:pt>
                <c:pt idx="63">
                  <c:v>33.159999999999997</c:v>
                </c:pt>
                <c:pt idx="64">
                  <c:v>32.64</c:v>
                </c:pt>
                <c:pt idx="65">
                  <c:v>32.1</c:v>
                </c:pt>
                <c:pt idx="66">
                  <c:v>32.11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34896"/>
        <c:axId val="466238816"/>
      </c:lineChart>
      <c:catAx>
        <c:axId val="46623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816"/>
        <c:crosses val="autoZero"/>
        <c:auto val="1"/>
        <c:lblAlgn val="ctr"/>
        <c:lblOffset val="100"/>
        <c:noMultiLvlLbl val="0"/>
      </c:catAx>
      <c:valAx>
        <c:axId val="466238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42.31</c:v>
                </c:pt>
                <c:pt idx="1">
                  <c:v>42.07</c:v>
                </c:pt>
                <c:pt idx="2">
                  <c:v>43.47</c:v>
                </c:pt>
                <c:pt idx="3">
                  <c:v>40.840000000000003</c:v>
                </c:pt>
                <c:pt idx="4">
                  <c:v>40.11</c:v>
                </c:pt>
                <c:pt idx="5">
                  <c:v>38.93</c:v>
                </c:pt>
                <c:pt idx="6">
                  <c:v>39.29</c:v>
                </c:pt>
                <c:pt idx="7">
                  <c:v>38.700000000000003</c:v>
                </c:pt>
                <c:pt idx="8">
                  <c:v>38.99</c:v>
                </c:pt>
                <c:pt idx="9">
                  <c:v>38.020000000000003</c:v>
                </c:pt>
                <c:pt idx="10">
                  <c:v>43.47</c:v>
                </c:pt>
                <c:pt idx="11">
                  <c:v>42.99</c:v>
                </c:pt>
                <c:pt idx="12">
                  <c:v>39.36</c:v>
                </c:pt>
                <c:pt idx="13">
                  <c:v>41.76</c:v>
                </c:pt>
                <c:pt idx="14">
                  <c:v>42.5</c:v>
                </c:pt>
                <c:pt idx="15">
                  <c:v>40.340000000000003</c:v>
                </c:pt>
                <c:pt idx="16">
                  <c:v>36.85</c:v>
                </c:pt>
                <c:pt idx="17">
                  <c:v>34.81</c:v>
                </c:pt>
                <c:pt idx="18">
                  <c:v>34.380000000000003</c:v>
                </c:pt>
                <c:pt idx="19">
                  <c:v>38.33</c:v>
                </c:pt>
                <c:pt idx="20">
                  <c:v>37.619999999999997</c:v>
                </c:pt>
                <c:pt idx="21">
                  <c:v>35.21</c:v>
                </c:pt>
                <c:pt idx="22">
                  <c:v>36.53</c:v>
                </c:pt>
                <c:pt idx="23">
                  <c:v>38.72</c:v>
                </c:pt>
                <c:pt idx="24">
                  <c:v>39.96</c:v>
                </c:pt>
                <c:pt idx="25">
                  <c:v>38.590000000000003</c:v>
                </c:pt>
                <c:pt idx="26">
                  <c:v>39.6</c:v>
                </c:pt>
                <c:pt idx="27">
                  <c:v>41.69</c:v>
                </c:pt>
                <c:pt idx="28">
                  <c:v>43.58</c:v>
                </c:pt>
                <c:pt idx="29">
                  <c:v>43.62</c:v>
                </c:pt>
                <c:pt idx="30">
                  <c:v>45.07</c:v>
                </c:pt>
                <c:pt idx="31">
                  <c:v>48.07</c:v>
                </c:pt>
                <c:pt idx="32">
                  <c:v>48.18</c:v>
                </c:pt>
                <c:pt idx="33">
                  <c:v>48.48</c:v>
                </c:pt>
                <c:pt idx="34">
                  <c:v>48.17</c:v>
                </c:pt>
                <c:pt idx="35">
                  <c:v>49.36</c:v>
                </c:pt>
                <c:pt idx="36">
                  <c:v>48.99</c:v>
                </c:pt>
                <c:pt idx="37">
                  <c:v>50.57</c:v>
                </c:pt>
                <c:pt idx="38">
                  <c:v>51.27</c:v>
                </c:pt>
                <c:pt idx="39">
                  <c:v>48.48</c:v>
                </c:pt>
                <c:pt idx="40">
                  <c:v>47.44</c:v>
                </c:pt>
                <c:pt idx="41">
                  <c:v>48.5</c:v>
                </c:pt>
                <c:pt idx="42">
                  <c:v>49.2</c:v>
                </c:pt>
                <c:pt idx="43">
                  <c:v>50.92</c:v>
                </c:pt>
                <c:pt idx="44">
                  <c:v>51.73</c:v>
                </c:pt>
                <c:pt idx="46">
                  <c:v>50.12</c:v>
                </c:pt>
                <c:pt idx="47">
                  <c:v>50.43</c:v>
                </c:pt>
                <c:pt idx="48">
                  <c:v>52.48</c:v>
                </c:pt>
                <c:pt idx="49">
                  <c:v>51.97</c:v>
                </c:pt>
                <c:pt idx="50">
                  <c:v>51.95</c:v>
                </c:pt>
                <c:pt idx="51">
                  <c:v>53</c:v>
                </c:pt>
                <c:pt idx="52">
                  <c:v>54.9</c:v>
                </c:pt>
                <c:pt idx="53">
                  <c:v>55.56</c:v>
                </c:pt>
                <c:pt idx="54">
                  <c:v>56.74</c:v>
                </c:pt>
                <c:pt idx="55">
                  <c:v>59.55</c:v>
                </c:pt>
                <c:pt idx="56">
                  <c:v>59</c:v>
                </c:pt>
                <c:pt idx="57">
                  <c:v>59.09</c:v>
                </c:pt>
                <c:pt idx="58">
                  <c:v>60.88</c:v>
                </c:pt>
                <c:pt idx="59">
                  <c:v>61.36</c:v>
                </c:pt>
                <c:pt idx="60">
                  <c:v>58.75</c:v>
                </c:pt>
                <c:pt idx="61">
                  <c:v>58.94</c:v>
                </c:pt>
                <c:pt idx="62">
                  <c:v>60.1</c:v>
                </c:pt>
                <c:pt idx="63">
                  <c:v>61.17</c:v>
                </c:pt>
                <c:pt idx="64">
                  <c:v>60.09</c:v>
                </c:pt>
                <c:pt idx="65">
                  <c:v>61.84</c:v>
                </c:pt>
                <c:pt idx="66">
                  <c:v>59.76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36152"/>
        <c:axId val="464740072"/>
      </c:lineChart>
      <c:dateAx>
        <c:axId val="46473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0072"/>
        <c:crosses val="autoZero"/>
        <c:auto val="1"/>
        <c:lblOffset val="100"/>
        <c:baseTimeUnit val="days"/>
      </c:dateAx>
      <c:valAx>
        <c:axId val="464740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2-Feb-16</c:v>
                </c:pt>
                <c:pt idx="13">
                  <c:v>1-Feb-16</c:v>
                </c:pt>
                <c:pt idx="14">
                  <c:v>29-Jan-16</c:v>
                </c:pt>
                <c:pt idx="15">
                  <c:v>28-Jan-16</c:v>
                </c:pt>
                <c:pt idx="16">
                  <c:v>27-Jan-16</c:v>
                </c:pt>
                <c:pt idx="17">
                  <c:v>26-Jan-16</c:v>
                </c:pt>
                <c:pt idx="18">
                  <c:v>25-Jan-16</c:v>
                </c:pt>
                <c:pt idx="19">
                  <c:v>42391.00</c:v>
                </c:pt>
                <c:pt idx="20">
                  <c:v>21-Jan-16</c:v>
                </c:pt>
                <c:pt idx="21">
                  <c:v>20-Jan-16</c:v>
                </c:pt>
                <c:pt idx="22">
                  <c:v>19-Jan-16</c:v>
                </c:pt>
                <c:pt idx="23">
                  <c:v>15-Jan-16</c:v>
                </c:pt>
                <c:pt idx="24">
                  <c:v>14-Jan-16</c:v>
                </c:pt>
                <c:pt idx="25">
                  <c:v>13-Jan-16</c:v>
                </c:pt>
                <c:pt idx="26">
                  <c:v>12-Jan-16</c:v>
                </c:pt>
                <c:pt idx="27">
                  <c:v>11-Jan-16</c:v>
                </c:pt>
                <c:pt idx="28">
                  <c:v>8-Jan-16</c:v>
                </c:pt>
                <c:pt idx="29">
                  <c:v>7-Jan-16</c:v>
                </c:pt>
                <c:pt idx="30">
                  <c:v>6-Jan-16</c:v>
                </c:pt>
                <c:pt idx="31">
                  <c:v>5-Jan-16</c:v>
                </c:pt>
                <c:pt idx="32">
                  <c:v>4-Jan-16</c:v>
                </c:pt>
                <c:pt idx="33">
                  <c:v>31-Dec-15</c:v>
                </c:pt>
                <c:pt idx="34">
                  <c:v>30-Dec-15</c:v>
                </c:pt>
                <c:pt idx="35">
                  <c:v>29-Dec-15</c:v>
                </c:pt>
                <c:pt idx="36">
                  <c:v>28-Dec-15</c:v>
                </c:pt>
                <c:pt idx="37">
                  <c:v>24-Dec-15</c:v>
                </c:pt>
                <c:pt idx="38">
                  <c:v>23-Dec-15</c:v>
                </c:pt>
                <c:pt idx="39">
                  <c:v>22-Dec-15</c:v>
                </c:pt>
                <c:pt idx="40">
                  <c:v>21-Dec-15</c:v>
                </c:pt>
                <c:pt idx="41">
                  <c:v>18-Dec-15</c:v>
                </c:pt>
                <c:pt idx="42">
                  <c:v>17-Dec-15</c:v>
                </c:pt>
                <c:pt idx="43">
                  <c:v>16-Dec-15</c:v>
                </c:pt>
                <c:pt idx="44">
                  <c:v>15-Dec-15</c:v>
                </c:pt>
                <c:pt idx="45">
                  <c:v>14-Dec-15</c:v>
                </c:pt>
                <c:pt idx="46">
                  <c:v>11-Dec-15</c:v>
                </c:pt>
                <c:pt idx="47">
                  <c:v>10-Dec-15</c:v>
                </c:pt>
                <c:pt idx="48">
                  <c:v>9-Dec-15</c:v>
                </c:pt>
                <c:pt idx="49">
                  <c:v>8-Dec-15</c:v>
                </c:pt>
                <c:pt idx="50">
                  <c:v>7-Dec-15</c:v>
                </c:pt>
                <c:pt idx="51">
                  <c:v>4-Dec-15</c:v>
                </c:pt>
                <c:pt idx="52">
                  <c:v>3-Dec-15</c:v>
                </c:pt>
                <c:pt idx="53">
                  <c:v>2-Dec-15</c:v>
                </c:pt>
                <c:pt idx="54">
                  <c:v>1-Dec-15</c:v>
                </c:pt>
                <c:pt idx="55">
                  <c:v>30-Nov-15</c:v>
                </c:pt>
                <c:pt idx="56">
                  <c:v>27-Nov-15</c:v>
                </c:pt>
                <c:pt idx="57">
                  <c:v>25-Nov-15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79.900000000000006</c:v>
                </c:pt>
                <c:pt idx="1">
                  <c:v>78.66</c:v>
                </c:pt>
                <c:pt idx="2">
                  <c:v>79.959999999999994</c:v>
                </c:pt>
                <c:pt idx="3">
                  <c:v>79.37</c:v>
                </c:pt>
                <c:pt idx="4">
                  <c:v>77.2</c:v>
                </c:pt>
                <c:pt idx="5">
                  <c:v>75.540000000000006</c:v>
                </c:pt>
                <c:pt idx="6">
                  <c:v>76.94</c:v>
                </c:pt>
                <c:pt idx="7">
                  <c:v>77.12</c:v>
                </c:pt>
                <c:pt idx="8">
                  <c:v>76.03</c:v>
                </c:pt>
                <c:pt idx="9">
                  <c:v>75.03</c:v>
                </c:pt>
                <c:pt idx="10">
                  <c:v>75.52</c:v>
                </c:pt>
                <c:pt idx="11">
                  <c:v>72.260000000000005</c:v>
                </c:pt>
                <c:pt idx="12">
                  <c:v>71.709999999999994</c:v>
                </c:pt>
                <c:pt idx="13">
                  <c:v>73.09</c:v>
                </c:pt>
                <c:pt idx="14">
                  <c:v>72</c:v>
                </c:pt>
                <c:pt idx="15">
                  <c:v>70.16</c:v>
                </c:pt>
                <c:pt idx="16">
                  <c:v>69.06</c:v>
                </c:pt>
                <c:pt idx="17">
                  <c:v>70.040000000000006</c:v>
                </c:pt>
                <c:pt idx="18">
                  <c:v>68.790000000000006</c:v>
                </c:pt>
                <c:pt idx="19">
                  <c:v>69.989999999999995</c:v>
                </c:pt>
                <c:pt idx="20">
                  <c:v>71</c:v>
                </c:pt>
                <c:pt idx="21">
                  <c:v>73.61</c:v>
                </c:pt>
                <c:pt idx="22">
                  <c:v>74.099999999999994</c:v>
                </c:pt>
                <c:pt idx="23">
                  <c:v>74.11</c:v>
                </c:pt>
                <c:pt idx="24">
                  <c:v>75.42</c:v>
                </c:pt>
                <c:pt idx="25">
                  <c:v>73.849999999999994</c:v>
                </c:pt>
                <c:pt idx="26">
                  <c:v>76.27</c:v>
                </c:pt>
                <c:pt idx="27">
                  <c:v>74.81</c:v>
                </c:pt>
                <c:pt idx="28">
                  <c:v>73.86</c:v>
                </c:pt>
                <c:pt idx="29">
                  <c:v>73.08</c:v>
                </c:pt>
                <c:pt idx="30">
                  <c:v>74.83</c:v>
                </c:pt>
                <c:pt idx="31">
                  <c:v>78.209999999999994</c:v>
                </c:pt>
                <c:pt idx="32">
                  <c:v>78.97</c:v>
                </c:pt>
                <c:pt idx="33">
                  <c:v>78.2</c:v>
                </c:pt>
                <c:pt idx="34">
                  <c:v>78.510000000000005</c:v>
                </c:pt>
                <c:pt idx="35">
                  <c:v>78.97</c:v>
                </c:pt>
                <c:pt idx="36">
                  <c:v>78.34</c:v>
                </c:pt>
                <c:pt idx="37">
                  <c:v>78.8</c:v>
                </c:pt>
                <c:pt idx="38">
                  <c:v>78.77</c:v>
                </c:pt>
                <c:pt idx="39">
                  <c:v>77.06</c:v>
                </c:pt>
                <c:pt idx="40">
                  <c:v>75.489999999999995</c:v>
                </c:pt>
                <c:pt idx="41">
                  <c:v>75.430000000000007</c:v>
                </c:pt>
                <c:pt idx="42">
                  <c:v>77.33</c:v>
                </c:pt>
                <c:pt idx="43">
                  <c:v>78.91</c:v>
                </c:pt>
                <c:pt idx="44">
                  <c:v>76.41</c:v>
                </c:pt>
                <c:pt idx="45">
                  <c:v>76.88</c:v>
                </c:pt>
                <c:pt idx="46">
                  <c:v>77.28</c:v>
                </c:pt>
                <c:pt idx="47">
                  <c:v>77.45</c:v>
                </c:pt>
                <c:pt idx="48">
                  <c:v>77.540000000000006</c:v>
                </c:pt>
                <c:pt idx="49">
                  <c:v>75.599999999999994</c:v>
                </c:pt>
                <c:pt idx="50">
                  <c:v>77.290000000000006</c:v>
                </c:pt>
                <c:pt idx="51">
                  <c:v>78.31</c:v>
                </c:pt>
                <c:pt idx="52">
                  <c:v>79.2</c:v>
                </c:pt>
                <c:pt idx="53">
                  <c:v>82.08</c:v>
                </c:pt>
                <c:pt idx="54">
                  <c:v>84.4</c:v>
                </c:pt>
                <c:pt idx="55">
                  <c:v>83.95</c:v>
                </c:pt>
                <c:pt idx="56">
                  <c:v>84.5</c:v>
                </c:pt>
                <c:pt idx="57">
                  <c:v>84.63</c:v>
                </c:pt>
                <c:pt idx="59">
                  <c:v>84.8</c:v>
                </c:pt>
                <c:pt idx="60">
                  <c:v>85.11</c:v>
                </c:pt>
                <c:pt idx="61">
                  <c:v>86.74</c:v>
                </c:pt>
                <c:pt idx="62">
                  <c:v>87.04</c:v>
                </c:pt>
                <c:pt idx="63">
                  <c:v>87.11</c:v>
                </c:pt>
                <c:pt idx="64">
                  <c:v>85.1</c:v>
                </c:pt>
                <c:pt idx="65">
                  <c:v>84.35</c:v>
                </c:pt>
                <c:pt idx="66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40464"/>
        <c:axId val="464735368"/>
      </c:lineChart>
      <c:catAx>
        <c:axId val="464740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5368"/>
        <c:crosses val="autoZero"/>
        <c:auto val="1"/>
        <c:lblAlgn val="ctr"/>
        <c:lblOffset val="100"/>
        <c:noMultiLvlLbl val="0"/>
      </c:catAx>
      <c:valAx>
        <c:axId val="46473536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32232"/>
        <c:axId val="464731840"/>
      </c:lineChart>
      <c:catAx>
        <c:axId val="46473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1840"/>
        <c:crosses val="autoZero"/>
        <c:auto val="1"/>
        <c:lblAlgn val="ctr"/>
        <c:lblOffset val="100"/>
        <c:noMultiLvlLbl val="1"/>
      </c:catAx>
      <c:valAx>
        <c:axId val="46473184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42409</c:v>
                </c:pt>
                <c:pt idx="9">
                  <c:v>42408</c:v>
                </c:pt>
                <c:pt idx="10">
                  <c:v>42405</c:v>
                </c:pt>
                <c:pt idx="11">
                  <c:v>42404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42325</c:v>
                </c:pt>
                <c:pt idx="66">
                  <c:v>42324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63.03</c:v>
                </c:pt>
                <c:pt idx="1">
                  <c:v>62.07</c:v>
                </c:pt>
                <c:pt idx="2">
                  <c:v>63.71</c:v>
                </c:pt>
                <c:pt idx="3">
                  <c:v>61.44</c:v>
                </c:pt>
                <c:pt idx="4">
                  <c:v>57.63</c:v>
                </c:pt>
                <c:pt idx="5">
                  <c:v>55.85</c:v>
                </c:pt>
                <c:pt idx="6">
                  <c:v>57.2</c:v>
                </c:pt>
                <c:pt idx="7">
                  <c:v>57.7</c:v>
                </c:pt>
                <c:pt idx="9">
                  <c:v>59.3</c:v>
                </c:pt>
                <c:pt idx="10">
                  <c:v>62.16</c:v>
                </c:pt>
                <c:pt idx="11">
                  <c:v>66</c:v>
                </c:pt>
                <c:pt idx="12">
                  <c:v>66.19</c:v>
                </c:pt>
                <c:pt idx="13">
                  <c:v>66.48</c:v>
                </c:pt>
                <c:pt idx="14">
                  <c:v>69.62</c:v>
                </c:pt>
                <c:pt idx="15">
                  <c:v>68.92</c:v>
                </c:pt>
                <c:pt idx="16">
                  <c:v>64.790000000000006</c:v>
                </c:pt>
                <c:pt idx="17">
                  <c:v>62.14</c:v>
                </c:pt>
                <c:pt idx="18">
                  <c:v>65.8</c:v>
                </c:pt>
                <c:pt idx="19">
                  <c:v>65.59</c:v>
                </c:pt>
                <c:pt idx="20">
                  <c:v>67.03</c:v>
                </c:pt>
                <c:pt idx="21">
                  <c:v>63.29</c:v>
                </c:pt>
                <c:pt idx="22">
                  <c:v>61.62</c:v>
                </c:pt>
                <c:pt idx="23">
                  <c:v>60.38</c:v>
                </c:pt>
                <c:pt idx="24">
                  <c:v>60.67</c:v>
                </c:pt>
                <c:pt idx="25">
                  <c:v>64.540000000000006</c:v>
                </c:pt>
                <c:pt idx="26">
                  <c:v>62.16</c:v>
                </c:pt>
                <c:pt idx="27">
                  <c:v>66.63</c:v>
                </c:pt>
                <c:pt idx="28">
                  <c:v>66.05</c:v>
                </c:pt>
                <c:pt idx="29">
                  <c:v>66.89</c:v>
                </c:pt>
                <c:pt idx="30">
                  <c:v>67.16</c:v>
                </c:pt>
                <c:pt idx="31">
                  <c:v>69.150000000000006</c:v>
                </c:pt>
                <c:pt idx="32">
                  <c:v>73.290000000000006</c:v>
                </c:pt>
                <c:pt idx="33">
                  <c:v>77.930000000000007</c:v>
                </c:pt>
                <c:pt idx="34">
                  <c:v>76.83</c:v>
                </c:pt>
                <c:pt idx="35">
                  <c:v>79.19</c:v>
                </c:pt>
                <c:pt idx="36">
                  <c:v>80.430000000000007</c:v>
                </c:pt>
                <c:pt idx="37">
                  <c:v>79.31</c:v>
                </c:pt>
                <c:pt idx="38">
                  <c:v>79.319999999999993</c:v>
                </c:pt>
                <c:pt idx="39">
                  <c:v>79.17</c:v>
                </c:pt>
                <c:pt idx="40">
                  <c:v>78.41</c:v>
                </c:pt>
                <c:pt idx="41">
                  <c:v>78.42</c:v>
                </c:pt>
                <c:pt idx="42">
                  <c:v>76.38</c:v>
                </c:pt>
                <c:pt idx="43">
                  <c:v>77.8</c:v>
                </c:pt>
                <c:pt idx="44">
                  <c:v>78.97</c:v>
                </c:pt>
                <c:pt idx="45">
                  <c:v>77.78</c:v>
                </c:pt>
                <c:pt idx="46">
                  <c:v>78.510000000000005</c:v>
                </c:pt>
                <c:pt idx="47">
                  <c:v>81.430000000000007</c:v>
                </c:pt>
                <c:pt idx="48">
                  <c:v>84.89</c:v>
                </c:pt>
                <c:pt idx="49">
                  <c:v>84.68</c:v>
                </c:pt>
                <c:pt idx="50">
                  <c:v>87.1</c:v>
                </c:pt>
                <c:pt idx="51">
                  <c:v>86.69</c:v>
                </c:pt>
                <c:pt idx="52">
                  <c:v>87.92</c:v>
                </c:pt>
                <c:pt idx="53">
                  <c:v>83.44</c:v>
                </c:pt>
                <c:pt idx="54">
                  <c:v>84.63</c:v>
                </c:pt>
                <c:pt idx="55">
                  <c:v>83.76</c:v>
                </c:pt>
                <c:pt idx="56">
                  <c:v>83.02</c:v>
                </c:pt>
                <c:pt idx="57">
                  <c:v>81.900000000000006</c:v>
                </c:pt>
                <c:pt idx="58">
                  <c:v>80.31</c:v>
                </c:pt>
                <c:pt idx="59">
                  <c:v>79.72</c:v>
                </c:pt>
                <c:pt idx="60">
                  <c:v>77.72</c:v>
                </c:pt>
                <c:pt idx="61">
                  <c:v>78.569999999999993</c:v>
                </c:pt>
                <c:pt idx="62">
                  <c:v>78</c:v>
                </c:pt>
                <c:pt idx="63">
                  <c:v>80.41</c:v>
                </c:pt>
                <c:pt idx="64">
                  <c:v>77.150000000000006</c:v>
                </c:pt>
                <c:pt idx="66">
                  <c:v>75.28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35760"/>
        <c:axId val="464736544"/>
      </c:lineChart>
      <c:dateAx>
        <c:axId val="46473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6544"/>
        <c:crosses val="autoZero"/>
        <c:auto val="1"/>
        <c:lblOffset val="100"/>
        <c:baseTimeUnit val="days"/>
      </c:dateAx>
      <c:valAx>
        <c:axId val="464736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57.02</c:v>
                </c:pt>
                <c:pt idx="1">
                  <c:v>57.12</c:v>
                </c:pt>
                <c:pt idx="2">
                  <c:v>57.09</c:v>
                </c:pt>
                <c:pt idx="3">
                  <c:v>55.57</c:v>
                </c:pt>
                <c:pt idx="4">
                  <c:v>55.22</c:v>
                </c:pt>
                <c:pt idx="5">
                  <c:v>54.69</c:v>
                </c:pt>
                <c:pt idx="6">
                  <c:v>54.34</c:v>
                </c:pt>
                <c:pt idx="7">
                  <c:v>55.12</c:v>
                </c:pt>
                <c:pt idx="8">
                  <c:v>53.94</c:v>
                </c:pt>
                <c:pt idx="9">
                  <c:v>53.35</c:v>
                </c:pt>
                <c:pt idx="10">
                  <c:v>55.09</c:v>
                </c:pt>
                <c:pt idx="11">
                  <c:v>53.31</c:v>
                </c:pt>
                <c:pt idx="12">
                  <c:v>52</c:v>
                </c:pt>
                <c:pt idx="13">
                  <c:v>53.46</c:v>
                </c:pt>
                <c:pt idx="14">
                  <c:v>53.49</c:v>
                </c:pt>
                <c:pt idx="15">
                  <c:v>52.78</c:v>
                </c:pt>
                <c:pt idx="16">
                  <c:v>50.8</c:v>
                </c:pt>
                <c:pt idx="17">
                  <c:v>50.57</c:v>
                </c:pt>
                <c:pt idx="18">
                  <c:v>49.13</c:v>
                </c:pt>
                <c:pt idx="19">
                  <c:v>49.76</c:v>
                </c:pt>
                <c:pt idx="20">
                  <c:v>48.44</c:v>
                </c:pt>
                <c:pt idx="21">
                  <c:v>47.62</c:v>
                </c:pt>
                <c:pt idx="22">
                  <c:v>49.22</c:v>
                </c:pt>
                <c:pt idx="23">
                  <c:v>49.83</c:v>
                </c:pt>
                <c:pt idx="24">
                  <c:v>51.6</c:v>
                </c:pt>
                <c:pt idx="25">
                  <c:v>50.77</c:v>
                </c:pt>
                <c:pt idx="26">
                  <c:v>52.49</c:v>
                </c:pt>
                <c:pt idx="27">
                  <c:v>51.61</c:v>
                </c:pt>
                <c:pt idx="28">
                  <c:v>51.33</c:v>
                </c:pt>
                <c:pt idx="29">
                  <c:v>51.03</c:v>
                </c:pt>
                <c:pt idx="30">
                  <c:v>52.17</c:v>
                </c:pt>
                <c:pt idx="31">
                  <c:v>53.96</c:v>
                </c:pt>
                <c:pt idx="32">
                  <c:v>54.86</c:v>
                </c:pt>
                <c:pt idx="33">
                  <c:v>55.88</c:v>
                </c:pt>
                <c:pt idx="34">
                  <c:v>56.45</c:v>
                </c:pt>
                <c:pt idx="35">
                  <c:v>56.69</c:v>
                </c:pt>
                <c:pt idx="36">
                  <c:v>56.4</c:v>
                </c:pt>
                <c:pt idx="37">
                  <c:v>56.87</c:v>
                </c:pt>
                <c:pt idx="38">
                  <c:v>56.79</c:v>
                </c:pt>
                <c:pt idx="39">
                  <c:v>56.66</c:v>
                </c:pt>
                <c:pt idx="40">
                  <c:v>56.46</c:v>
                </c:pt>
                <c:pt idx="41">
                  <c:v>55.85</c:v>
                </c:pt>
                <c:pt idx="42">
                  <c:v>55.61</c:v>
                </c:pt>
                <c:pt idx="43">
                  <c:v>55.67</c:v>
                </c:pt>
                <c:pt idx="44">
                  <c:v>54.5</c:v>
                </c:pt>
                <c:pt idx="45">
                  <c:v>53.94</c:v>
                </c:pt>
                <c:pt idx="46">
                  <c:v>52.73</c:v>
                </c:pt>
                <c:pt idx="47">
                  <c:v>53.89</c:v>
                </c:pt>
                <c:pt idx="48">
                  <c:v>54.39</c:v>
                </c:pt>
                <c:pt idx="49">
                  <c:v>53.68</c:v>
                </c:pt>
                <c:pt idx="51">
                  <c:v>54.98</c:v>
                </c:pt>
                <c:pt idx="52">
                  <c:v>56.94</c:v>
                </c:pt>
                <c:pt idx="53">
                  <c:v>57.47</c:v>
                </c:pt>
                <c:pt idx="54">
                  <c:v>58.72</c:v>
                </c:pt>
                <c:pt idx="55">
                  <c:v>59.97</c:v>
                </c:pt>
                <c:pt idx="56">
                  <c:v>59.75</c:v>
                </c:pt>
                <c:pt idx="57">
                  <c:v>59.72</c:v>
                </c:pt>
                <c:pt idx="58">
                  <c:v>59.03</c:v>
                </c:pt>
                <c:pt idx="59">
                  <c:v>58.67</c:v>
                </c:pt>
                <c:pt idx="60">
                  <c:v>59.19</c:v>
                </c:pt>
                <c:pt idx="61">
                  <c:v>60.2</c:v>
                </c:pt>
                <c:pt idx="62">
                  <c:v>60.07</c:v>
                </c:pt>
                <c:pt idx="63">
                  <c:v>59.1</c:v>
                </c:pt>
                <c:pt idx="64">
                  <c:v>57.82</c:v>
                </c:pt>
                <c:pt idx="65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39288"/>
        <c:axId val="464736936"/>
      </c:lineChart>
      <c:dateAx>
        <c:axId val="464739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6936"/>
        <c:crosses val="autoZero"/>
        <c:auto val="1"/>
        <c:lblOffset val="100"/>
        <c:baseTimeUnit val="days"/>
      </c:dateAx>
      <c:valAx>
        <c:axId val="4647369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3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48.09</c:v>
                </c:pt>
                <c:pt idx="1">
                  <c:v>47.73</c:v>
                </c:pt>
                <c:pt idx="2">
                  <c:v>48.13</c:v>
                </c:pt>
                <c:pt idx="3">
                  <c:v>48.24</c:v>
                </c:pt>
                <c:pt idx="4">
                  <c:v>47.31</c:v>
                </c:pt>
                <c:pt idx="5">
                  <c:v>45.16</c:v>
                </c:pt>
                <c:pt idx="6">
                  <c:v>46.17</c:v>
                </c:pt>
                <c:pt idx="7">
                  <c:v>46.45</c:v>
                </c:pt>
                <c:pt idx="8">
                  <c:v>46.5</c:v>
                </c:pt>
                <c:pt idx="9">
                  <c:v>47.86</c:v>
                </c:pt>
                <c:pt idx="10">
                  <c:v>48.25</c:v>
                </c:pt>
                <c:pt idx="11">
                  <c:v>47.6</c:v>
                </c:pt>
                <c:pt idx="13">
                  <c:v>48.83</c:v>
                </c:pt>
                <c:pt idx="14">
                  <c:v>49.94</c:v>
                </c:pt>
                <c:pt idx="15">
                  <c:v>50.23</c:v>
                </c:pt>
                <c:pt idx="16">
                  <c:v>48.92</c:v>
                </c:pt>
                <c:pt idx="17">
                  <c:v>48.57</c:v>
                </c:pt>
                <c:pt idx="18">
                  <c:v>48.26</c:v>
                </c:pt>
                <c:pt idx="19">
                  <c:v>47.66</c:v>
                </c:pt>
                <c:pt idx="20">
                  <c:v>49.02</c:v>
                </c:pt>
                <c:pt idx="21">
                  <c:v>48.01</c:v>
                </c:pt>
                <c:pt idx="22">
                  <c:v>47.87</c:v>
                </c:pt>
                <c:pt idx="23">
                  <c:v>48.21</c:v>
                </c:pt>
                <c:pt idx="24">
                  <c:v>48.82</c:v>
                </c:pt>
                <c:pt idx="25">
                  <c:v>50.64</c:v>
                </c:pt>
                <c:pt idx="26">
                  <c:v>49.73</c:v>
                </c:pt>
                <c:pt idx="27">
                  <c:v>51.36</c:v>
                </c:pt>
                <c:pt idx="28">
                  <c:v>50.09</c:v>
                </c:pt>
                <c:pt idx="29">
                  <c:v>49.56</c:v>
                </c:pt>
                <c:pt idx="30">
                  <c:v>50.4</c:v>
                </c:pt>
                <c:pt idx="31">
                  <c:v>51.88</c:v>
                </c:pt>
                <c:pt idx="32">
                  <c:v>52.89</c:v>
                </c:pt>
                <c:pt idx="33">
                  <c:v>52.91</c:v>
                </c:pt>
                <c:pt idx="34">
                  <c:v>54.36</c:v>
                </c:pt>
                <c:pt idx="35">
                  <c:v>54.89</c:v>
                </c:pt>
                <c:pt idx="36">
                  <c:v>55.29</c:v>
                </c:pt>
                <c:pt idx="37">
                  <c:v>54.68</c:v>
                </c:pt>
                <c:pt idx="38">
                  <c:v>54.82</c:v>
                </c:pt>
                <c:pt idx="39">
                  <c:v>55.04</c:v>
                </c:pt>
                <c:pt idx="40">
                  <c:v>54.34</c:v>
                </c:pt>
                <c:pt idx="41">
                  <c:v>54.02</c:v>
                </c:pt>
                <c:pt idx="42">
                  <c:v>53.79</c:v>
                </c:pt>
                <c:pt idx="43">
                  <c:v>55.47</c:v>
                </c:pt>
                <c:pt idx="44">
                  <c:v>55.85</c:v>
                </c:pt>
                <c:pt idx="45">
                  <c:v>54.91</c:v>
                </c:pt>
                <c:pt idx="46">
                  <c:v>53.2</c:v>
                </c:pt>
                <c:pt idx="47">
                  <c:v>53.31</c:v>
                </c:pt>
                <c:pt idx="48">
                  <c:v>54.34</c:v>
                </c:pt>
                <c:pt idx="49">
                  <c:v>54.12</c:v>
                </c:pt>
                <c:pt idx="50">
                  <c:v>54.4</c:v>
                </c:pt>
                <c:pt idx="51">
                  <c:v>55.42</c:v>
                </c:pt>
                <c:pt idx="52">
                  <c:v>55.67</c:v>
                </c:pt>
                <c:pt idx="53">
                  <c:v>54.2</c:v>
                </c:pt>
                <c:pt idx="54">
                  <c:v>55.08</c:v>
                </c:pt>
                <c:pt idx="55">
                  <c:v>55.71</c:v>
                </c:pt>
                <c:pt idx="56">
                  <c:v>55.1</c:v>
                </c:pt>
                <c:pt idx="57">
                  <c:v>55.39</c:v>
                </c:pt>
                <c:pt idx="58">
                  <c:v>55.22</c:v>
                </c:pt>
                <c:pt idx="59">
                  <c:v>55.28</c:v>
                </c:pt>
                <c:pt idx="60">
                  <c:v>55.6</c:v>
                </c:pt>
                <c:pt idx="61">
                  <c:v>55.82</c:v>
                </c:pt>
                <c:pt idx="62">
                  <c:v>55.97</c:v>
                </c:pt>
                <c:pt idx="63">
                  <c:v>55.67</c:v>
                </c:pt>
                <c:pt idx="64">
                  <c:v>54.96</c:v>
                </c:pt>
                <c:pt idx="65">
                  <c:v>55.27</c:v>
                </c:pt>
                <c:pt idx="66">
                  <c:v>54.57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40856"/>
        <c:axId val="464741248"/>
      </c:lineChart>
      <c:dateAx>
        <c:axId val="46474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1248"/>
        <c:crosses val="autoZero"/>
        <c:auto val="1"/>
        <c:lblOffset val="100"/>
        <c:baseTimeUnit val="days"/>
      </c:dateAx>
      <c:valAx>
        <c:axId val="464741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7.87</c:v>
                </c:pt>
                <c:pt idx="1">
                  <c:v>8.1199999999999992</c:v>
                </c:pt>
                <c:pt idx="2">
                  <c:v>8.52</c:v>
                </c:pt>
                <c:pt idx="3">
                  <c:v>8.1199999999999992</c:v>
                </c:pt>
                <c:pt idx="4">
                  <c:v>7.69</c:v>
                </c:pt>
                <c:pt idx="5">
                  <c:v>7.33</c:v>
                </c:pt>
                <c:pt idx="6">
                  <c:v>7.54</c:v>
                </c:pt>
                <c:pt idx="7">
                  <c:v>7.81</c:v>
                </c:pt>
                <c:pt idx="8">
                  <c:v>7.9</c:v>
                </c:pt>
                <c:pt idx="9">
                  <c:v>8.1199999999999992</c:v>
                </c:pt>
                <c:pt idx="10">
                  <c:v>8.31</c:v>
                </c:pt>
                <c:pt idx="11">
                  <c:v>7.55</c:v>
                </c:pt>
                <c:pt idx="13">
                  <c:v>6.97</c:v>
                </c:pt>
                <c:pt idx="14">
                  <c:v>7.21</c:v>
                </c:pt>
                <c:pt idx="15">
                  <c:v>7.29</c:v>
                </c:pt>
                <c:pt idx="16">
                  <c:v>7</c:v>
                </c:pt>
                <c:pt idx="17">
                  <c:v>6.96</c:v>
                </c:pt>
                <c:pt idx="18">
                  <c:v>7.14</c:v>
                </c:pt>
                <c:pt idx="19">
                  <c:v>6.8</c:v>
                </c:pt>
                <c:pt idx="20">
                  <c:v>6.87</c:v>
                </c:pt>
                <c:pt idx="21">
                  <c:v>7.09</c:v>
                </c:pt>
                <c:pt idx="22">
                  <c:v>6.74</c:v>
                </c:pt>
                <c:pt idx="23">
                  <c:v>6.74</c:v>
                </c:pt>
                <c:pt idx="24">
                  <c:v>6.9</c:v>
                </c:pt>
                <c:pt idx="25">
                  <c:v>7.24</c:v>
                </c:pt>
                <c:pt idx="26">
                  <c:v>7.13</c:v>
                </c:pt>
                <c:pt idx="27">
                  <c:v>7.28</c:v>
                </c:pt>
                <c:pt idx="28">
                  <c:v>8</c:v>
                </c:pt>
                <c:pt idx="29">
                  <c:v>8.07</c:v>
                </c:pt>
                <c:pt idx="30">
                  <c:v>8.27</c:v>
                </c:pt>
                <c:pt idx="31">
                  <c:v>8.61</c:v>
                </c:pt>
                <c:pt idx="32">
                  <c:v>9.27</c:v>
                </c:pt>
                <c:pt idx="33">
                  <c:v>9.7100000000000009</c:v>
                </c:pt>
                <c:pt idx="34">
                  <c:v>9.8699999999999992</c:v>
                </c:pt>
                <c:pt idx="35">
                  <c:v>9.9600000000000009</c:v>
                </c:pt>
                <c:pt idx="36">
                  <c:v>10.130000000000001</c:v>
                </c:pt>
                <c:pt idx="37">
                  <c:v>9.98</c:v>
                </c:pt>
                <c:pt idx="38">
                  <c:v>10.119999999999999</c:v>
                </c:pt>
                <c:pt idx="39">
                  <c:v>10.19</c:v>
                </c:pt>
                <c:pt idx="40">
                  <c:v>9.56</c:v>
                </c:pt>
                <c:pt idx="41">
                  <c:v>9.32</c:v>
                </c:pt>
                <c:pt idx="42">
                  <c:v>9.23</c:v>
                </c:pt>
                <c:pt idx="43">
                  <c:v>9.15</c:v>
                </c:pt>
                <c:pt idx="44">
                  <c:v>9.24</c:v>
                </c:pt>
                <c:pt idx="45">
                  <c:v>9.1199999999999992</c:v>
                </c:pt>
                <c:pt idx="46">
                  <c:v>9</c:v>
                </c:pt>
                <c:pt idx="47">
                  <c:v>8.86</c:v>
                </c:pt>
                <c:pt idx="48">
                  <c:v>9.17</c:v>
                </c:pt>
                <c:pt idx="49">
                  <c:v>8.74</c:v>
                </c:pt>
                <c:pt idx="50">
                  <c:v>8.52</c:v>
                </c:pt>
                <c:pt idx="51">
                  <c:v>9.0399999999999991</c:v>
                </c:pt>
                <c:pt idx="52">
                  <c:v>9.34</c:v>
                </c:pt>
                <c:pt idx="53">
                  <c:v>8.99</c:v>
                </c:pt>
                <c:pt idx="54">
                  <c:v>9.35</c:v>
                </c:pt>
                <c:pt idx="55">
                  <c:v>9.48</c:v>
                </c:pt>
                <c:pt idx="56">
                  <c:v>9.36</c:v>
                </c:pt>
                <c:pt idx="57">
                  <c:v>9.32</c:v>
                </c:pt>
                <c:pt idx="58">
                  <c:v>9.41</c:v>
                </c:pt>
                <c:pt idx="59">
                  <c:v>9.09</c:v>
                </c:pt>
                <c:pt idx="60">
                  <c:v>9.07</c:v>
                </c:pt>
                <c:pt idx="61">
                  <c:v>8.69</c:v>
                </c:pt>
                <c:pt idx="62">
                  <c:v>8.76</c:v>
                </c:pt>
                <c:pt idx="63">
                  <c:v>8.41</c:v>
                </c:pt>
                <c:pt idx="64">
                  <c:v>8.27</c:v>
                </c:pt>
                <c:pt idx="65">
                  <c:v>8.2899999999999991</c:v>
                </c:pt>
                <c:pt idx="66">
                  <c:v>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45560"/>
        <c:axId val="464742424"/>
      </c:lineChart>
      <c:dateAx>
        <c:axId val="464745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2424"/>
        <c:crosses val="autoZero"/>
        <c:auto val="1"/>
        <c:lblOffset val="100"/>
        <c:baseTimeUnit val="days"/>
      </c:dateAx>
      <c:valAx>
        <c:axId val="4647424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17.010000000000002</c:v>
                </c:pt>
                <c:pt idx="1">
                  <c:v>17.02</c:v>
                </c:pt>
                <c:pt idx="2">
                  <c:v>17.46</c:v>
                </c:pt>
                <c:pt idx="3">
                  <c:v>16.73</c:v>
                </c:pt>
                <c:pt idx="4">
                  <c:v>16.079999999999998</c:v>
                </c:pt>
                <c:pt idx="5">
                  <c:v>15.5</c:v>
                </c:pt>
                <c:pt idx="6">
                  <c:v>15.88</c:v>
                </c:pt>
                <c:pt idx="7">
                  <c:v>15.64</c:v>
                </c:pt>
                <c:pt idx="8">
                  <c:v>16.21</c:v>
                </c:pt>
                <c:pt idx="9">
                  <c:v>17.420000000000002</c:v>
                </c:pt>
                <c:pt idx="10">
                  <c:v>18.510000000000002</c:v>
                </c:pt>
                <c:pt idx="11">
                  <c:v>18.57</c:v>
                </c:pt>
                <c:pt idx="12">
                  <c:v>18.36</c:v>
                </c:pt>
                <c:pt idx="13">
                  <c:v>17.850000000000001</c:v>
                </c:pt>
                <c:pt idx="14">
                  <c:v>17.809999999999999</c:v>
                </c:pt>
                <c:pt idx="15">
                  <c:v>17.09</c:v>
                </c:pt>
                <c:pt idx="16">
                  <c:v>17</c:v>
                </c:pt>
                <c:pt idx="17">
                  <c:v>17.04</c:v>
                </c:pt>
                <c:pt idx="18">
                  <c:v>16.62</c:v>
                </c:pt>
                <c:pt idx="19">
                  <c:v>16.02</c:v>
                </c:pt>
                <c:pt idx="20">
                  <c:v>15.88</c:v>
                </c:pt>
                <c:pt idx="21">
                  <c:v>15.78</c:v>
                </c:pt>
                <c:pt idx="22">
                  <c:v>15.7</c:v>
                </c:pt>
                <c:pt idx="23">
                  <c:v>16.100000000000001</c:v>
                </c:pt>
                <c:pt idx="24">
                  <c:v>16.41</c:v>
                </c:pt>
                <c:pt idx="25">
                  <c:v>16.239999999999998</c:v>
                </c:pt>
                <c:pt idx="26">
                  <c:v>16.73</c:v>
                </c:pt>
                <c:pt idx="27">
                  <c:v>16.21</c:v>
                </c:pt>
                <c:pt idx="28">
                  <c:v>16.55</c:v>
                </c:pt>
                <c:pt idx="29">
                  <c:v>17.190000000000001</c:v>
                </c:pt>
                <c:pt idx="30">
                  <c:v>17.440000000000001</c:v>
                </c:pt>
                <c:pt idx="31">
                  <c:v>17.829999999999998</c:v>
                </c:pt>
                <c:pt idx="32">
                  <c:v>17.920000000000002</c:v>
                </c:pt>
                <c:pt idx="33">
                  <c:v>17.77</c:v>
                </c:pt>
                <c:pt idx="34">
                  <c:v>17.45</c:v>
                </c:pt>
                <c:pt idx="35">
                  <c:v>17.73</c:v>
                </c:pt>
                <c:pt idx="36">
                  <c:v>17.16</c:v>
                </c:pt>
                <c:pt idx="37">
                  <c:v>17.600000000000001</c:v>
                </c:pt>
                <c:pt idx="38">
                  <c:v>17.68</c:v>
                </c:pt>
                <c:pt idx="39">
                  <c:v>17.309999999999999</c:v>
                </c:pt>
                <c:pt idx="40">
                  <c:v>17.190000000000001</c:v>
                </c:pt>
                <c:pt idx="41">
                  <c:v>17.84</c:v>
                </c:pt>
                <c:pt idx="42">
                  <c:v>18.03</c:v>
                </c:pt>
                <c:pt idx="43">
                  <c:v>18.52</c:v>
                </c:pt>
                <c:pt idx="44">
                  <c:v>17.82</c:v>
                </c:pt>
                <c:pt idx="45">
                  <c:v>17.71</c:v>
                </c:pt>
                <c:pt idx="46">
                  <c:v>18.04</c:v>
                </c:pt>
                <c:pt idx="47">
                  <c:v>18.920000000000002</c:v>
                </c:pt>
                <c:pt idx="48">
                  <c:v>18.89</c:v>
                </c:pt>
                <c:pt idx="49">
                  <c:v>18.989999999999998</c:v>
                </c:pt>
                <c:pt idx="50">
                  <c:v>19.07</c:v>
                </c:pt>
                <c:pt idx="51">
                  <c:v>19.23</c:v>
                </c:pt>
                <c:pt idx="52">
                  <c:v>18.920000000000002</c:v>
                </c:pt>
                <c:pt idx="53">
                  <c:v>19.940000000000001</c:v>
                </c:pt>
                <c:pt idx="54">
                  <c:v>20.28</c:v>
                </c:pt>
                <c:pt idx="55">
                  <c:v>20.04</c:v>
                </c:pt>
                <c:pt idx="56">
                  <c:v>20.46</c:v>
                </c:pt>
                <c:pt idx="57">
                  <c:v>20.95</c:v>
                </c:pt>
                <c:pt idx="58">
                  <c:v>20.51</c:v>
                </c:pt>
                <c:pt idx="59">
                  <c:v>19.89</c:v>
                </c:pt>
                <c:pt idx="60">
                  <c:v>19.2</c:v>
                </c:pt>
                <c:pt idx="61">
                  <c:v>18.829999999999998</c:v>
                </c:pt>
                <c:pt idx="62">
                  <c:v>19.29</c:v>
                </c:pt>
                <c:pt idx="63">
                  <c:v>18.600000000000001</c:v>
                </c:pt>
                <c:pt idx="64">
                  <c:v>19.11</c:v>
                </c:pt>
                <c:pt idx="65">
                  <c:v>19.52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89752"/>
        <c:axId val="587088968"/>
      </c:lineChart>
      <c:dateAx>
        <c:axId val="58708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8968"/>
        <c:crosses val="autoZero"/>
        <c:auto val="1"/>
        <c:lblOffset val="100"/>
        <c:baseTimeUnit val="days"/>
      </c:dateAx>
      <c:valAx>
        <c:axId val="5870889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37.46</c:v>
                </c:pt>
                <c:pt idx="1">
                  <c:v>37.5</c:v>
                </c:pt>
                <c:pt idx="2">
                  <c:v>37.43</c:v>
                </c:pt>
                <c:pt idx="3">
                  <c:v>36</c:v>
                </c:pt>
                <c:pt idx="4">
                  <c:v>34.79</c:v>
                </c:pt>
                <c:pt idx="5">
                  <c:v>33.76</c:v>
                </c:pt>
                <c:pt idx="6">
                  <c:v>34.869999999999997</c:v>
                </c:pt>
                <c:pt idx="7">
                  <c:v>34.270000000000003</c:v>
                </c:pt>
                <c:pt idx="8">
                  <c:v>34.26</c:v>
                </c:pt>
                <c:pt idx="9">
                  <c:v>36.43</c:v>
                </c:pt>
                <c:pt idx="10">
                  <c:v>37.520000000000003</c:v>
                </c:pt>
                <c:pt idx="11">
                  <c:v>36.229999999999997</c:v>
                </c:pt>
                <c:pt idx="12">
                  <c:v>37.25</c:v>
                </c:pt>
                <c:pt idx="13">
                  <c:v>39.01</c:v>
                </c:pt>
                <c:pt idx="14">
                  <c:v>38.78</c:v>
                </c:pt>
                <c:pt idx="15">
                  <c:v>37.51</c:v>
                </c:pt>
                <c:pt idx="16">
                  <c:v>37.15</c:v>
                </c:pt>
                <c:pt idx="17">
                  <c:v>38.18</c:v>
                </c:pt>
                <c:pt idx="18">
                  <c:v>37.130000000000003</c:v>
                </c:pt>
                <c:pt idx="19">
                  <c:v>36.97</c:v>
                </c:pt>
                <c:pt idx="20">
                  <c:v>36.85</c:v>
                </c:pt>
                <c:pt idx="21">
                  <c:v>36.07</c:v>
                </c:pt>
                <c:pt idx="22">
                  <c:v>36.200000000000003</c:v>
                </c:pt>
                <c:pt idx="23">
                  <c:v>37.130000000000003</c:v>
                </c:pt>
                <c:pt idx="24">
                  <c:v>37.479999999999997</c:v>
                </c:pt>
                <c:pt idx="25">
                  <c:v>37.97</c:v>
                </c:pt>
                <c:pt idx="26">
                  <c:v>39.97</c:v>
                </c:pt>
                <c:pt idx="27">
                  <c:v>39.35</c:v>
                </c:pt>
                <c:pt idx="28">
                  <c:v>39.380000000000003</c:v>
                </c:pt>
                <c:pt idx="29">
                  <c:v>40.33</c:v>
                </c:pt>
                <c:pt idx="30">
                  <c:v>42.22</c:v>
                </c:pt>
                <c:pt idx="31">
                  <c:v>43.42</c:v>
                </c:pt>
                <c:pt idx="32">
                  <c:v>43.44</c:v>
                </c:pt>
                <c:pt idx="33">
                  <c:v>44.08</c:v>
                </c:pt>
                <c:pt idx="34">
                  <c:v>43.75</c:v>
                </c:pt>
                <c:pt idx="35">
                  <c:v>44.24</c:v>
                </c:pt>
                <c:pt idx="36">
                  <c:v>44.37</c:v>
                </c:pt>
                <c:pt idx="37">
                  <c:v>43.61</c:v>
                </c:pt>
                <c:pt idx="38">
                  <c:v>44.27</c:v>
                </c:pt>
                <c:pt idx="39">
                  <c:v>44.43</c:v>
                </c:pt>
                <c:pt idx="40">
                  <c:v>44.8</c:v>
                </c:pt>
                <c:pt idx="41">
                  <c:v>44.71</c:v>
                </c:pt>
                <c:pt idx="42">
                  <c:v>44.82</c:v>
                </c:pt>
                <c:pt idx="43">
                  <c:v>45.18</c:v>
                </c:pt>
                <c:pt idx="44">
                  <c:v>44.13</c:v>
                </c:pt>
                <c:pt idx="45">
                  <c:v>42.15</c:v>
                </c:pt>
                <c:pt idx="46">
                  <c:v>45.28</c:v>
                </c:pt>
                <c:pt idx="47">
                  <c:v>47.22</c:v>
                </c:pt>
                <c:pt idx="48">
                  <c:v>46.52</c:v>
                </c:pt>
                <c:pt idx="49">
                  <c:v>46.95</c:v>
                </c:pt>
                <c:pt idx="50">
                  <c:v>48.16</c:v>
                </c:pt>
                <c:pt idx="51">
                  <c:v>44.83</c:v>
                </c:pt>
                <c:pt idx="52">
                  <c:v>43.8</c:v>
                </c:pt>
                <c:pt idx="53">
                  <c:v>44.64</c:v>
                </c:pt>
                <c:pt idx="54">
                  <c:v>45.51</c:v>
                </c:pt>
                <c:pt idx="55">
                  <c:v>44.66</c:v>
                </c:pt>
                <c:pt idx="56">
                  <c:v>44.62</c:v>
                </c:pt>
                <c:pt idx="57">
                  <c:v>44.54</c:v>
                </c:pt>
                <c:pt idx="59">
                  <c:v>44.69</c:v>
                </c:pt>
                <c:pt idx="60">
                  <c:v>44.75</c:v>
                </c:pt>
                <c:pt idx="61">
                  <c:v>44.41</c:v>
                </c:pt>
                <c:pt idx="62">
                  <c:v>43.93</c:v>
                </c:pt>
                <c:pt idx="63">
                  <c:v>44.1</c:v>
                </c:pt>
                <c:pt idx="64">
                  <c:v>43.43</c:v>
                </c:pt>
                <c:pt idx="65">
                  <c:v>43.24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90928"/>
        <c:axId val="587078384"/>
      </c:lineChart>
      <c:dateAx>
        <c:axId val="587090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78384"/>
        <c:crosses val="autoZero"/>
        <c:auto val="1"/>
        <c:lblOffset val="100"/>
        <c:baseTimeUnit val="days"/>
      </c:dateAx>
      <c:valAx>
        <c:axId val="5870783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9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52.73</c:v>
                </c:pt>
                <c:pt idx="1">
                  <c:v>53.24</c:v>
                </c:pt>
                <c:pt idx="2">
                  <c:v>52.49</c:v>
                </c:pt>
                <c:pt idx="3">
                  <c:v>50.76</c:v>
                </c:pt>
                <c:pt idx="4">
                  <c:v>49.57</c:v>
                </c:pt>
                <c:pt idx="5">
                  <c:v>49.14</c:v>
                </c:pt>
                <c:pt idx="6">
                  <c:v>50.16</c:v>
                </c:pt>
                <c:pt idx="7">
                  <c:v>50.23</c:v>
                </c:pt>
                <c:pt idx="8">
                  <c:v>50.2</c:v>
                </c:pt>
                <c:pt idx="9">
                  <c:v>51.84</c:v>
                </c:pt>
                <c:pt idx="10">
                  <c:v>51.72</c:v>
                </c:pt>
                <c:pt idx="11">
                  <c:v>51.72</c:v>
                </c:pt>
                <c:pt idx="12">
                  <c:v>50.11</c:v>
                </c:pt>
                <c:pt idx="13">
                  <c:v>40.44</c:v>
                </c:pt>
                <c:pt idx="14">
                  <c:v>39.9</c:v>
                </c:pt>
                <c:pt idx="15">
                  <c:v>38.729999999999997</c:v>
                </c:pt>
                <c:pt idx="16">
                  <c:v>38.03</c:v>
                </c:pt>
                <c:pt idx="17">
                  <c:v>37.79</c:v>
                </c:pt>
                <c:pt idx="18">
                  <c:v>36.729999999999997</c:v>
                </c:pt>
                <c:pt idx="19">
                  <c:v>38.409999999999997</c:v>
                </c:pt>
                <c:pt idx="20">
                  <c:v>37.51</c:v>
                </c:pt>
                <c:pt idx="21">
                  <c:v>36.49</c:v>
                </c:pt>
                <c:pt idx="22">
                  <c:v>35.76</c:v>
                </c:pt>
                <c:pt idx="23">
                  <c:v>35.57</c:v>
                </c:pt>
                <c:pt idx="24">
                  <c:v>36.11</c:v>
                </c:pt>
                <c:pt idx="25">
                  <c:v>36.15</c:v>
                </c:pt>
                <c:pt idx="26">
                  <c:v>37.520000000000003</c:v>
                </c:pt>
                <c:pt idx="27">
                  <c:v>37.14</c:v>
                </c:pt>
                <c:pt idx="28">
                  <c:v>37.79</c:v>
                </c:pt>
                <c:pt idx="29">
                  <c:v>38.96</c:v>
                </c:pt>
                <c:pt idx="30">
                  <c:v>39.76</c:v>
                </c:pt>
                <c:pt idx="31">
                  <c:v>40.72</c:v>
                </c:pt>
                <c:pt idx="32">
                  <c:v>40.369999999999997</c:v>
                </c:pt>
                <c:pt idx="33">
                  <c:v>40.06</c:v>
                </c:pt>
                <c:pt idx="34">
                  <c:v>40.22</c:v>
                </c:pt>
                <c:pt idx="35">
                  <c:v>41.01</c:v>
                </c:pt>
                <c:pt idx="36">
                  <c:v>40.630000000000003</c:v>
                </c:pt>
                <c:pt idx="37">
                  <c:v>40.86</c:v>
                </c:pt>
                <c:pt idx="38">
                  <c:v>41.63</c:v>
                </c:pt>
                <c:pt idx="39">
                  <c:v>40.82</c:v>
                </c:pt>
                <c:pt idx="40">
                  <c:v>40.33</c:v>
                </c:pt>
                <c:pt idx="41">
                  <c:v>39.700000000000003</c:v>
                </c:pt>
                <c:pt idx="42">
                  <c:v>39.43</c:v>
                </c:pt>
                <c:pt idx="43">
                  <c:v>40.94</c:v>
                </c:pt>
                <c:pt idx="44">
                  <c:v>40.479999999999997</c:v>
                </c:pt>
                <c:pt idx="45">
                  <c:v>40.15</c:v>
                </c:pt>
                <c:pt idx="46">
                  <c:v>40.39</c:v>
                </c:pt>
                <c:pt idx="47">
                  <c:v>42.22</c:v>
                </c:pt>
                <c:pt idx="48">
                  <c:v>41.94</c:v>
                </c:pt>
                <c:pt idx="49">
                  <c:v>42</c:v>
                </c:pt>
                <c:pt idx="50">
                  <c:v>42.87</c:v>
                </c:pt>
                <c:pt idx="51">
                  <c:v>42.34</c:v>
                </c:pt>
                <c:pt idx="52">
                  <c:v>42.7</c:v>
                </c:pt>
                <c:pt idx="53">
                  <c:v>43.03</c:v>
                </c:pt>
                <c:pt idx="54">
                  <c:v>42.89</c:v>
                </c:pt>
                <c:pt idx="55">
                  <c:v>43.02</c:v>
                </c:pt>
                <c:pt idx="56">
                  <c:v>42.52</c:v>
                </c:pt>
                <c:pt idx="57">
                  <c:v>42.9</c:v>
                </c:pt>
                <c:pt idx="58">
                  <c:v>42.8</c:v>
                </c:pt>
                <c:pt idx="59">
                  <c:v>42.22</c:v>
                </c:pt>
                <c:pt idx="60">
                  <c:v>41.13</c:v>
                </c:pt>
                <c:pt idx="61">
                  <c:v>40.880000000000003</c:v>
                </c:pt>
                <c:pt idx="62">
                  <c:v>40.85</c:v>
                </c:pt>
                <c:pt idx="63">
                  <c:v>39.32</c:v>
                </c:pt>
                <c:pt idx="64">
                  <c:v>39.67</c:v>
                </c:pt>
                <c:pt idx="65">
                  <c:v>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80736"/>
        <c:axId val="587086616"/>
      </c:lineChart>
      <c:dateAx>
        <c:axId val="587080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6616"/>
        <c:crosses val="autoZero"/>
        <c:auto val="1"/>
        <c:lblOffset val="100"/>
        <c:baseTimeUnit val="days"/>
      </c:dateAx>
      <c:valAx>
        <c:axId val="5870866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2-Feb-16</c:v>
                </c:pt>
                <c:pt idx="13">
                  <c:v>1-Feb-16</c:v>
                </c:pt>
                <c:pt idx="14">
                  <c:v>29-Jan-16</c:v>
                </c:pt>
                <c:pt idx="15">
                  <c:v>28-Jan-16</c:v>
                </c:pt>
                <c:pt idx="16">
                  <c:v>27-Jan-16</c:v>
                </c:pt>
                <c:pt idx="17">
                  <c:v>26-Jan-16</c:v>
                </c:pt>
                <c:pt idx="18">
                  <c:v>25-Jan-16</c:v>
                </c:pt>
                <c:pt idx="19">
                  <c:v>22-Jan-16</c:v>
                </c:pt>
                <c:pt idx="20">
                  <c:v>21-Jan-16</c:v>
                </c:pt>
                <c:pt idx="21">
                  <c:v>20-Jan-16</c:v>
                </c:pt>
                <c:pt idx="22">
                  <c:v>19-Jan-16</c:v>
                </c:pt>
                <c:pt idx="23">
                  <c:v>15-Jan-16</c:v>
                </c:pt>
                <c:pt idx="24">
                  <c:v>14-Jan-16</c:v>
                </c:pt>
                <c:pt idx="25">
                  <c:v>13-Jan-16</c:v>
                </c:pt>
                <c:pt idx="26">
                  <c:v>12-Jan-16</c:v>
                </c:pt>
                <c:pt idx="27">
                  <c:v>11-Jan-16</c:v>
                </c:pt>
                <c:pt idx="28">
                  <c:v>8-Jan-16</c:v>
                </c:pt>
                <c:pt idx="29">
                  <c:v>7-Jan-16</c:v>
                </c:pt>
                <c:pt idx="30">
                  <c:v>6-Jan-16</c:v>
                </c:pt>
                <c:pt idx="31">
                  <c:v>5-Jan-16</c:v>
                </c:pt>
                <c:pt idx="32">
                  <c:v>4-Jan-16</c:v>
                </c:pt>
                <c:pt idx="33">
                  <c:v>31-Dec-15</c:v>
                </c:pt>
                <c:pt idx="34">
                  <c:v>30-Dec-15</c:v>
                </c:pt>
                <c:pt idx="35">
                  <c:v>29-Dec-15</c:v>
                </c:pt>
                <c:pt idx="36">
                  <c:v>28-Dec-15</c:v>
                </c:pt>
                <c:pt idx="37">
                  <c:v>24-Dec-15</c:v>
                </c:pt>
                <c:pt idx="38">
                  <c:v>23-Dec-15</c:v>
                </c:pt>
                <c:pt idx="39">
                  <c:v>22-Dec-15</c:v>
                </c:pt>
                <c:pt idx="40">
                  <c:v>21-Dec-15</c:v>
                </c:pt>
                <c:pt idx="41">
                  <c:v>18-Dec-15</c:v>
                </c:pt>
                <c:pt idx="42">
                  <c:v>17-Dec-15</c:v>
                </c:pt>
                <c:pt idx="43">
                  <c:v>16-Dec-15</c:v>
                </c:pt>
                <c:pt idx="44">
                  <c:v>15-Dec-15</c:v>
                </c:pt>
                <c:pt idx="45">
                  <c:v>14-Dec-15</c:v>
                </c:pt>
                <c:pt idx="46">
                  <c:v>11-Dec-15</c:v>
                </c:pt>
                <c:pt idx="47">
                  <c:v>10-Dec-15</c:v>
                </c:pt>
                <c:pt idx="48">
                  <c:v>9-Dec-15</c:v>
                </c:pt>
                <c:pt idx="49">
                  <c:v>8-Dec-15</c:v>
                </c:pt>
                <c:pt idx="50">
                  <c:v>7-Dec-15</c:v>
                </c:pt>
                <c:pt idx="51">
                  <c:v>4-Dec-15</c:v>
                </c:pt>
                <c:pt idx="52">
                  <c:v>3-Dec-15</c:v>
                </c:pt>
                <c:pt idx="53">
                  <c:v>2-Dec-15</c:v>
                </c:pt>
                <c:pt idx="54">
                  <c:v>1-Dec-15</c:v>
                </c:pt>
                <c:pt idx="55">
                  <c:v>30-Nov-15</c:v>
                </c:pt>
                <c:pt idx="56">
                  <c:v>27-Nov-15</c:v>
                </c:pt>
                <c:pt idx="57">
                  <c:v>25-Nov-15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</c:v>
                </c:pt>
                <c:pt idx="1">
                  <c:v>64.3</c:v>
                </c:pt>
                <c:pt idx="2">
                  <c:v>65.02</c:v>
                </c:pt>
                <c:pt idx="3">
                  <c:v>64.569999999999993</c:v>
                </c:pt>
                <c:pt idx="4">
                  <c:v>63.91</c:v>
                </c:pt>
                <c:pt idx="5">
                  <c:v>62.32</c:v>
                </c:pt>
                <c:pt idx="6">
                  <c:v>62.98</c:v>
                </c:pt>
                <c:pt idx="7">
                  <c:v>63.01</c:v>
                </c:pt>
                <c:pt idx="8">
                  <c:v>63.33</c:v>
                </c:pt>
                <c:pt idx="9">
                  <c:v>63.37</c:v>
                </c:pt>
                <c:pt idx="10">
                  <c:v>62.05</c:v>
                </c:pt>
                <c:pt idx="11">
                  <c:v>59.64</c:v>
                </c:pt>
                <c:pt idx="12">
                  <c:v>59.97</c:v>
                </c:pt>
                <c:pt idx="13">
                  <c:v>60.53</c:v>
                </c:pt>
                <c:pt idx="14">
                  <c:v>60.6</c:v>
                </c:pt>
                <c:pt idx="15">
                  <c:v>59.22</c:v>
                </c:pt>
                <c:pt idx="16">
                  <c:v>58.41</c:v>
                </c:pt>
                <c:pt idx="17">
                  <c:v>58.18</c:v>
                </c:pt>
                <c:pt idx="18">
                  <c:v>57.7</c:v>
                </c:pt>
                <c:pt idx="19">
                  <c:v>58.53</c:v>
                </c:pt>
                <c:pt idx="20">
                  <c:v>58.15</c:v>
                </c:pt>
                <c:pt idx="21">
                  <c:v>57.99</c:v>
                </c:pt>
                <c:pt idx="22">
                  <c:v>58.44</c:v>
                </c:pt>
                <c:pt idx="23">
                  <c:v>58.13</c:v>
                </c:pt>
                <c:pt idx="24">
                  <c:v>58.42</c:v>
                </c:pt>
                <c:pt idx="25">
                  <c:v>57.91</c:v>
                </c:pt>
                <c:pt idx="26">
                  <c:v>58.65</c:v>
                </c:pt>
                <c:pt idx="27">
                  <c:v>58.02</c:v>
                </c:pt>
                <c:pt idx="28">
                  <c:v>58.23</c:v>
                </c:pt>
                <c:pt idx="29">
                  <c:v>58.44</c:v>
                </c:pt>
                <c:pt idx="30">
                  <c:v>59.85</c:v>
                </c:pt>
                <c:pt idx="31">
                  <c:v>60.53</c:v>
                </c:pt>
                <c:pt idx="32">
                  <c:v>60.67</c:v>
                </c:pt>
                <c:pt idx="33">
                  <c:v>62.09</c:v>
                </c:pt>
                <c:pt idx="34">
                  <c:v>62.81</c:v>
                </c:pt>
                <c:pt idx="35">
                  <c:v>63.19</c:v>
                </c:pt>
                <c:pt idx="36">
                  <c:v>62.64</c:v>
                </c:pt>
                <c:pt idx="37">
                  <c:v>63.14</c:v>
                </c:pt>
                <c:pt idx="38">
                  <c:v>62.89</c:v>
                </c:pt>
                <c:pt idx="39">
                  <c:v>62.5</c:v>
                </c:pt>
                <c:pt idx="40">
                  <c:v>61.3</c:v>
                </c:pt>
                <c:pt idx="41">
                  <c:v>61.33</c:v>
                </c:pt>
                <c:pt idx="42">
                  <c:v>62.37</c:v>
                </c:pt>
                <c:pt idx="43">
                  <c:v>63.38</c:v>
                </c:pt>
                <c:pt idx="44">
                  <c:v>62.7</c:v>
                </c:pt>
                <c:pt idx="45">
                  <c:v>61.39</c:v>
                </c:pt>
                <c:pt idx="46">
                  <c:v>61.47</c:v>
                </c:pt>
                <c:pt idx="47">
                  <c:v>62.48</c:v>
                </c:pt>
                <c:pt idx="48">
                  <c:v>62.9</c:v>
                </c:pt>
                <c:pt idx="49">
                  <c:v>63.86</c:v>
                </c:pt>
                <c:pt idx="50">
                  <c:v>64.39</c:v>
                </c:pt>
                <c:pt idx="51">
                  <c:v>64.489999999999995</c:v>
                </c:pt>
                <c:pt idx="52">
                  <c:v>62.77</c:v>
                </c:pt>
                <c:pt idx="53">
                  <c:v>62.89</c:v>
                </c:pt>
                <c:pt idx="54">
                  <c:v>63.5</c:v>
                </c:pt>
                <c:pt idx="55">
                  <c:v>62.76</c:v>
                </c:pt>
                <c:pt idx="56">
                  <c:v>62.84</c:v>
                </c:pt>
                <c:pt idx="57">
                  <c:v>62.43</c:v>
                </c:pt>
                <c:pt idx="59">
                  <c:v>62.94</c:v>
                </c:pt>
                <c:pt idx="60">
                  <c:v>63.11</c:v>
                </c:pt>
                <c:pt idx="61">
                  <c:v>63.34</c:v>
                </c:pt>
                <c:pt idx="62">
                  <c:v>63.37</c:v>
                </c:pt>
                <c:pt idx="63">
                  <c:v>63.5</c:v>
                </c:pt>
                <c:pt idx="64">
                  <c:v>62.71</c:v>
                </c:pt>
                <c:pt idx="65">
                  <c:v>63.12</c:v>
                </c:pt>
                <c:pt idx="66">
                  <c:v>62.41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84264"/>
        <c:axId val="587079952"/>
      </c:lineChart>
      <c:catAx>
        <c:axId val="587084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79952"/>
        <c:crosses val="autoZero"/>
        <c:auto val="1"/>
        <c:lblAlgn val="ctr"/>
        <c:lblOffset val="100"/>
        <c:noMultiLvlLbl val="0"/>
      </c:catAx>
      <c:valAx>
        <c:axId val="5870799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2/19/2016</c:v>
                </c:pt>
                <c:pt idx="1">
                  <c:v>2/18/2016</c:v>
                </c:pt>
                <c:pt idx="2">
                  <c:v>2/17/2016</c:v>
                </c:pt>
                <c:pt idx="3">
                  <c:v>2/16/2016</c:v>
                </c:pt>
                <c:pt idx="4">
                  <c:v>2/12/2016</c:v>
                </c:pt>
                <c:pt idx="5">
                  <c:v>2/11/2016</c:v>
                </c:pt>
                <c:pt idx="6">
                  <c:v>2/10/2016</c:v>
                </c:pt>
                <c:pt idx="7">
                  <c:v>2/9/2016</c:v>
                </c:pt>
                <c:pt idx="8">
                  <c:v>2/8/2016</c:v>
                </c:pt>
                <c:pt idx="9">
                  <c:v>2/5/2016</c:v>
                </c:pt>
                <c:pt idx="10">
                  <c:v>2/4/2016</c:v>
                </c:pt>
                <c:pt idx="11">
                  <c:v>2/3/2016</c:v>
                </c:pt>
                <c:pt idx="12">
                  <c:v>2/3/2016</c:v>
                </c:pt>
                <c:pt idx="13">
                  <c:v>2/2/2016</c:v>
                </c:pt>
                <c:pt idx="14">
                  <c:v>2/1/2016</c:v>
                </c:pt>
                <c:pt idx="15">
                  <c:v>1/29/2016</c:v>
                </c:pt>
                <c:pt idx="16">
                  <c:v>1/28/2016</c:v>
                </c:pt>
                <c:pt idx="17">
                  <c:v>1/27/2016</c:v>
                </c:pt>
                <c:pt idx="18">
                  <c:v>1/26/2016</c:v>
                </c:pt>
                <c:pt idx="19">
                  <c:v>1/25/2016</c:v>
                </c:pt>
                <c:pt idx="20">
                  <c:v>1/22/2016</c:v>
                </c:pt>
                <c:pt idx="21">
                  <c:v>1/21/2016</c:v>
                </c:pt>
                <c:pt idx="22">
                  <c:v>1/20/2016</c:v>
                </c:pt>
                <c:pt idx="23">
                  <c:v>1/19/2016</c:v>
                </c:pt>
                <c:pt idx="24">
                  <c:v>1/15/2016</c:v>
                </c:pt>
                <c:pt idx="25">
                  <c:v>1/14/2016</c:v>
                </c:pt>
                <c:pt idx="26">
                  <c:v>1/13/2016</c:v>
                </c:pt>
                <c:pt idx="27">
                  <c:v>1/12/2016</c:v>
                </c:pt>
                <c:pt idx="28">
                  <c:v>1/11/2016</c:v>
                </c:pt>
                <c:pt idx="29">
                  <c:v>1/8/2016</c:v>
                </c:pt>
                <c:pt idx="30">
                  <c:v>1/7/2016</c:v>
                </c:pt>
                <c:pt idx="31">
                  <c:v>1/6/2016</c:v>
                </c:pt>
                <c:pt idx="32">
                  <c:v>1/5/2016</c:v>
                </c:pt>
                <c:pt idx="33">
                  <c:v>1/4/2016</c:v>
                </c:pt>
                <c:pt idx="34">
                  <c:v>12/31/2015</c:v>
                </c:pt>
                <c:pt idx="35">
                  <c:v>12/30/2015</c:v>
                </c:pt>
                <c:pt idx="36">
                  <c:v>12/29/2015</c:v>
                </c:pt>
                <c:pt idx="37">
                  <c:v>12/28/2015</c:v>
                </c:pt>
                <c:pt idx="38">
                  <c:v>12/24/2015</c:v>
                </c:pt>
                <c:pt idx="39">
                  <c:v>12/23/2015</c:v>
                </c:pt>
                <c:pt idx="40">
                  <c:v>12/22/2015</c:v>
                </c:pt>
                <c:pt idx="41">
                  <c:v>12/21/2015</c:v>
                </c:pt>
                <c:pt idx="42">
                  <c:v>12/18/2015</c:v>
                </c:pt>
                <c:pt idx="43">
                  <c:v>12/17/2015</c:v>
                </c:pt>
                <c:pt idx="44">
                  <c:v>12/16/2015</c:v>
                </c:pt>
                <c:pt idx="45">
                  <c:v>12/15/2015</c:v>
                </c:pt>
                <c:pt idx="46">
                  <c:v>12/14/2015</c:v>
                </c:pt>
                <c:pt idx="47">
                  <c:v>12/11/2015</c:v>
                </c:pt>
                <c:pt idx="48">
                  <c:v>12/10/2015</c:v>
                </c:pt>
                <c:pt idx="49">
                  <c:v>12/9/2015</c:v>
                </c:pt>
                <c:pt idx="50">
                  <c:v>12/8/2015</c:v>
                </c:pt>
                <c:pt idx="51">
                  <c:v>12/7/2015</c:v>
                </c:pt>
                <c:pt idx="52">
                  <c:v>12/4/2015</c:v>
                </c:pt>
                <c:pt idx="53">
                  <c:v>12/3/2015</c:v>
                </c:pt>
                <c:pt idx="54">
                  <c:v>12/2/2015</c:v>
                </c:pt>
                <c:pt idx="55">
                  <c:v>12/1/2015</c:v>
                </c:pt>
                <c:pt idx="56">
                  <c:v>11/30/2015</c:v>
                </c:pt>
                <c:pt idx="57">
                  <c:v>11/27/2015</c:v>
                </c:pt>
                <c:pt idx="58">
                  <c:v>11/25/2015</c:v>
                </c:pt>
                <c:pt idx="59">
                  <c:v>11/24/2015</c:v>
                </c:pt>
                <c:pt idx="60">
                  <c:v>11/23/2015</c:v>
                </c:pt>
                <c:pt idx="61">
                  <c:v>11/20/2015</c:v>
                </c:pt>
                <c:pt idx="62">
                  <c:v>11/19/2015</c:v>
                </c:pt>
                <c:pt idx="63">
                  <c:v>11/18/2015</c:v>
                </c:pt>
                <c:pt idx="64">
                  <c:v>11/17/2015</c:v>
                </c:pt>
                <c:pt idx="65">
                  <c:v>11/16/2015</c:v>
                </c:pt>
                <c:pt idx="66">
                  <c:v>11/13/2015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75</c:v>
                </c:pt>
                <c:pt idx="1">
                  <c:v>74.83</c:v>
                </c:pt>
                <c:pt idx="2">
                  <c:v>75.77</c:v>
                </c:pt>
                <c:pt idx="3">
                  <c:v>73.989999999999995</c:v>
                </c:pt>
                <c:pt idx="4">
                  <c:v>72.56</c:v>
                </c:pt>
                <c:pt idx="5">
                  <c:v>71.67</c:v>
                </c:pt>
                <c:pt idx="6">
                  <c:v>73.02</c:v>
                </c:pt>
                <c:pt idx="7">
                  <c:v>71.42</c:v>
                </c:pt>
                <c:pt idx="8">
                  <c:v>70.489999999999995</c:v>
                </c:pt>
                <c:pt idx="9">
                  <c:v>70.14</c:v>
                </c:pt>
                <c:pt idx="10">
                  <c:v>69.37</c:v>
                </c:pt>
                <c:pt idx="11">
                  <c:v>67.319999999999993</c:v>
                </c:pt>
                <c:pt idx="13">
                  <c:v>66.599999999999994</c:v>
                </c:pt>
                <c:pt idx="14">
                  <c:v>70.19</c:v>
                </c:pt>
                <c:pt idx="15">
                  <c:v>70.5</c:v>
                </c:pt>
                <c:pt idx="16">
                  <c:v>70.11</c:v>
                </c:pt>
                <c:pt idx="17">
                  <c:v>69.89</c:v>
                </c:pt>
                <c:pt idx="18">
                  <c:v>68.900000000000006</c:v>
                </c:pt>
                <c:pt idx="19">
                  <c:v>67.73</c:v>
                </c:pt>
                <c:pt idx="20">
                  <c:v>68.59</c:v>
                </c:pt>
                <c:pt idx="21">
                  <c:v>70.069999999999993</c:v>
                </c:pt>
                <c:pt idx="22">
                  <c:v>71.180000000000007</c:v>
                </c:pt>
                <c:pt idx="23">
                  <c:v>71.849999999999994</c:v>
                </c:pt>
                <c:pt idx="24">
                  <c:v>71.77</c:v>
                </c:pt>
                <c:pt idx="25">
                  <c:v>72.150000000000006</c:v>
                </c:pt>
                <c:pt idx="26">
                  <c:v>71.44</c:v>
                </c:pt>
                <c:pt idx="27">
                  <c:v>75.930000000000007</c:v>
                </c:pt>
                <c:pt idx="28">
                  <c:v>75.97</c:v>
                </c:pt>
                <c:pt idx="29">
                  <c:v>77.790000000000006</c:v>
                </c:pt>
                <c:pt idx="30">
                  <c:v>78</c:v>
                </c:pt>
                <c:pt idx="31">
                  <c:v>79.48</c:v>
                </c:pt>
                <c:pt idx="32">
                  <c:v>82.27</c:v>
                </c:pt>
                <c:pt idx="33">
                  <c:v>81.81</c:v>
                </c:pt>
                <c:pt idx="34">
                  <c:v>84.59</c:v>
                </c:pt>
                <c:pt idx="35">
                  <c:v>84.86</c:v>
                </c:pt>
                <c:pt idx="36">
                  <c:v>85.56</c:v>
                </c:pt>
                <c:pt idx="37">
                  <c:v>85.59</c:v>
                </c:pt>
                <c:pt idx="38">
                  <c:v>86.78</c:v>
                </c:pt>
                <c:pt idx="39">
                  <c:v>86.85</c:v>
                </c:pt>
                <c:pt idx="40">
                  <c:v>86.07</c:v>
                </c:pt>
                <c:pt idx="41">
                  <c:v>84.08</c:v>
                </c:pt>
                <c:pt idx="42">
                  <c:v>84.27</c:v>
                </c:pt>
                <c:pt idx="43">
                  <c:v>85.06</c:v>
                </c:pt>
                <c:pt idx="44">
                  <c:v>89.79</c:v>
                </c:pt>
                <c:pt idx="45">
                  <c:v>91.02</c:v>
                </c:pt>
                <c:pt idx="46">
                  <c:v>89.35</c:v>
                </c:pt>
                <c:pt idx="47">
                  <c:v>89.44</c:v>
                </c:pt>
                <c:pt idx="48">
                  <c:v>87.68</c:v>
                </c:pt>
                <c:pt idx="49">
                  <c:v>87.55</c:v>
                </c:pt>
                <c:pt idx="50">
                  <c:v>86.32</c:v>
                </c:pt>
                <c:pt idx="51">
                  <c:v>91.52</c:v>
                </c:pt>
                <c:pt idx="52">
                  <c:v>92.06</c:v>
                </c:pt>
                <c:pt idx="53">
                  <c:v>93.11</c:v>
                </c:pt>
                <c:pt idx="54">
                  <c:v>92.15</c:v>
                </c:pt>
                <c:pt idx="55">
                  <c:v>94.81</c:v>
                </c:pt>
                <c:pt idx="56">
                  <c:v>95.06</c:v>
                </c:pt>
                <c:pt idx="57">
                  <c:v>95.38</c:v>
                </c:pt>
                <c:pt idx="58">
                  <c:v>95.4</c:v>
                </c:pt>
                <c:pt idx="59">
                  <c:v>94.55</c:v>
                </c:pt>
                <c:pt idx="60">
                  <c:v>95.56</c:v>
                </c:pt>
                <c:pt idx="61">
                  <c:v>97.56</c:v>
                </c:pt>
                <c:pt idx="62">
                  <c:v>96.85</c:v>
                </c:pt>
                <c:pt idx="63">
                  <c:v>92.49</c:v>
                </c:pt>
                <c:pt idx="64">
                  <c:v>86.97</c:v>
                </c:pt>
                <c:pt idx="65">
                  <c:v>88.3</c:v>
                </c:pt>
                <c:pt idx="66">
                  <c:v>88.96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84656"/>
        <c:axId val="587081128"/>
      </c:lineChart>
      <c:catAx>
        <c:axId val="58708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1128"/>
        <c:crosses val="autoZero"/>
        <c:auto val="1"/>
        <c:lblAlgn val="ctr"/>
        <c:lblOffset val="100"/>
        <c:noMultiLvlLbl val="0"/>
      </c:catAx>
      <c:valAx>
        <c:axId val="5870811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18.82</c:v>
                </c:pt>
                <c:pt idx="1">
                  <c:v>20.05</c:v>
                </c:pt>
                <c:pt idx="2">
                  <c:v>20.79</c:v>
                </c:pt>
                <c:pt idx="3">
                  <c:v>18.37</c:v>
                </c:pt>
                <c:pt idx="4">
                  <c:v>17.38</c:v>
                </c:pt>
                <c:pt idx="5">
                  <c:v>16.670000000000002</c:v>
                </c:pt>
                <c:pt idx="6">
                  <c:v>18.63</c:v>
                </c:pt>
                <c:pt idx="7">
                  <c:v>26.35</c:v>
                </c:pt>
                <c:pt idx="8">
                  <c:v>27.94</c:v>
                </c:pt>
                <c:pt idx="9">
                  <c:v>29.57</c:v>
                </c:pt>
                <c:pt idx="10">
                  <c:v>29.49</c:v>
                </c:pt>
                <c:pt idx="11">
                  <c:v>31.36</c:v>
                </c:pt>
                <c:pt idx="12">
                  <c:v>32.04</c:v>
                </c:pt>
                <c:pt idx="13">
                  <c:v>33.76</c:v>
                </c:pt>
                <c:pt idx="14">
                  <c:v>35.65</c:v>
                </c:pt>
                <c:pt idx="15">
                  <c:v>35.619999999999997</c:v>
                </c:pt>
                <c:pt idx="16">
                  <c:v>32.840000000000003</c:v>
                </c:pt>
                <c:pt idx="17">
                  <c:v>34.24</c:v>
                </c:pt>
                <c:pt idx="18">
                  <c:v>30.62</c:v>
                </c:pt>
                <c:pt idx="19">
                  <c:v>32.04</c:v>
                </c:pt>
                <c:pt idx="20">
                  <c:v>31.77</c:v>
                </c:pt>
                <c:pt idx="21">
                  <c:v>33.82</c:v>
                </c:pt>
                <c:pt idx="22">
                  <c:v>31.09</c:v>
                </c:pt>
                <c:pt idx="23">
                  <c:v>35.200000000000003</c:v>
                </c:pt>
                <c:pt idx="24">
                  <c:v>37.119999999999997</c:v>
                </c:pt>
                <c:pt idx="25">
                  <c:v>42.76</c:v>
                </c:pt>
                <c:pt idx="26">
                  <c:v>44.72</c:v>
                </c:pt>
                <c:pt idx="27">
                  <c:v>47.69</c:v>
                </c:pt>
                <c:pt idx="28">
                  <c:v>48.81</c:v>
                </c:pt>
                <c:pt idx="29">
                  <c:v>47.07</c:v>
                </c:pt>
                <c:pt idx="30">
                  <c:v>50.2</c:v>
                </c:pt>
                <c:pt idx="31">
                  <c:v>50.44</c:v>
                </c:pt>
                <c:pt idx="32">
                  <c:v>52.79</c:v>
                </c:pt>
                <c:pt idx="33">
                  <c:v>51.02</c:v>
                </c:pt>
                <c:pt idx="34">
                  <c:v>50.8</c:v>
                </c:pt>
                <c:pt idx="35">
                  <c:v>49.74</c:v>
                </c:pt>
                <c:pt idx="36">
                  <c:v>51.31</c:v>
                </c:pt>
                <c:pt idx="37">
                  <c:v>51.98</c:v>
                </c:pt>
                <c:pt idx="38">
                  <c:v>51.48</c:v>
                </c:pt>
                <c:pt idx="39">
                  <c:v>51.32</c:v>
                </c:pt>
                <c:pt idx="40">
                  <c:v>55.09</c:v>
                </c:pt>
                <c:pt idx="41">
                  <c:v>56.91</c:v>
                </c:pt>
                <c:pt idx="42">
                  <c:v>57.26</c:v>
                </c:pt>
                <c:pt idx="43">
                  <c:v>53.69</c:v>
                </c:pt>
                <c:pt idx="44">
                  <c:v>40.049999999999997</c:v>
                </c:pt>
                <c:pt idx="45">
                  <c:v>41.59</c:v>
                </c:pt>
                <c:pt idx="46">
                  <c:v>37.04</c:v>
                </c:pt>
                <c:pt idx="47">
                  <c:v>36.65</c:v>
                </c:pt>
                <c:pt idx="48">
                  <c:v>35.840000000000003</c:v>
                </c:pt>
                <c:pt idx="49">
                  <c:v>34.619999999999997</c:v>
                </c:pt>
                <c:pt idx="50">
                  <c:v>35.9</c:v>
                </c:pt>
                <c:pt idx="51">
                  <c:v>35.99</c:v>
                </c:pt>
                <c:pt idx="52">
                  <c:v>36.24</c:v>
                </c:pt>
                <c:pt idx="53">
                  <c:v>34.35</c:v>
                </c:pt>
                <c:pt idx="54">
                  <c:v>31.39</c:v>
                </c:pt>
                <c:pt idx="55">
                  <c:v>28.76</c:v>
                </c:pt>
                <c:pt idx="56">
                  <c:v>29.87</c:v>
                </c:pt>
                <c:pt idx="57">
                  <c:v>29.26</c:v>
                </c:pt>
                <c:pt idx="58">
                  <c:v>28.57</c:v>
                </c:pt>
                <c:pt idx="59">
                  <c:v>28.21</c:v>
                </c:pt>
                <c:pt idx="60">
                  <c:v>29.04</c:v>
                </c:pt>
                <c:pt idx="61">
                  <c:v>28.7</c:v>
                </c:pt>
                <c:pt idx="62">
                  <c:v>27.75</c:v>
                </c:pt>
                <c:pt idx="63">
                  <c:v>26</c:v>
                </c:pt>
                <c:pt idx="64">
                  <c:v>27.84</c:v>
                </c:pt>
                <c:pt idx="65">
                  <c:v>25.85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82696"/>
        <c:axId val="587083480"/>
      </c:lineChart>
      <c:dateAx>
        <c:axId val="587082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3480"/>
        <c:crosses val="autoZero"/>
        <c:auto val="1"/>
        <c:lblOffset val="100"/>
        <c:baseTimeUnit val="days"/>
      </c:dateAx>
      <c:valAx>
        <c:axId val="587083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8.8000000000000007</c:v>
                </c:pt>
                <c:pt idx="1">
                  <c:v>8.99</c:v>
                </c:pt>
                <c:pt idx="2">
                  <c:v>8.9499999999999993</c:v>
                </c:pt>
                <c:pt idx="3">
                  <c:v>9</c:v>
                </c:pt>
                <c:pt idx="4">
                  <c:v>8.89</c:v>
                </c:pt>
                <c:pt idx="5">
                  <c:v>8.67</c:v>
                </c:pt>
                <c:pt idx="6">
                  <c:v>8.89</c:v>
                </c:pt>
                <c:pt idx="7">
                  <c:v>8.89</c:v>
                </c:pt>
                <c:pt idx="8">
                  <c:v>9.06</c:v>
                </c:pt>
                <c:pt idx="9">
                  <c:v>8.81</c:v>
                </c:pt>
                <c:pt idx="10">
                  <c:v>9.0399999999999991</c:v>
                </c:pt>
                <c:pt idx="11">
                  <c:v>8.82</c:v>
                </c:pt>
                <c:pt idx="12">
                  <c:v>9.1</c:v>
                </c:pt>
                <c:pt idx="13">
                  <c:v>9.2899999999999991</c:v>
                </c:pt>
                <c:pt idx="14">
                  <c:v>9.1999999999999993</c:v>
                </c:pt>
                <c:pt idx="15">
                  <c:v>9.1300000000000008</c:v>
                </c:pt>
                <c:pt idx="16">
                  <c:v>8.3000000000000007</c:v>
                </c:pt>
                <c:pt idx="17">
                  <c:v>8.1300000000000008</c:v>
                </c:pt>
                <c:pt idx="18">
                  <c:v>8.11</c:v>
                </c:pt>
                <c:pt idx="19">
                  <c:v>8.3000000000000007</c:v>
                </c:pt>
                <c:pt idx="20">
                  <c:v>8.0399999999999991</c:v>
                </c:pt>
                <c:pt idx="21">
                  <c:v>7.9</c:v>
                </c:pt>
                <c:pt idx="22">
                  <c:v>8.23</c:v>
                </c:pt>
                <c:pt idx="23">
                  <c:v>7.93</c:v>
                </c:pt>
                <c:pt idx="24">
                  <c:v>8.2799999999999994</c:v>
                </c:pt>
                <c:pt idx="25">
                  <c:v>8.08</c:v>
                </c:pt>
                <c:pt idx="26">
                  <c:v>8.14</c:v>
                </c:pt>
                <c:pt idx="27">
                  <c:v>7.94</c:v>
                </c:pt>
                <c:pt idx="28">
                  <c:v>7.85</c:v>
                </c:pt>
                <c:pt idx="29">
                  <c:v>7.8</c:v>
                </c:pt>
                <c:pt idx="30">
                  <c:v>8</c:v>
                </c:pt>
                <c:pt idx="31">
                  <c:v>8.2799999999999994</c:v>
                </c:pt>
                <c:pt idx="32">
                  <c:v>7.92</c:v>
                </c:pt>
                <c:pt idx="33">
                  <c:v>8.3000000000000007</c:v>
                </c:pt>
                <c:pt idx="34">
                  <c:v>8.35</c:v>
                </c:pt>
                <c:pt idx="35">
                  <c:v>8.56</c:v>
                </c:pt>
                <c:pt idx="36">
                  <c:v>8.43</c:v>
                </c:pt>
                <c:pt idx="37">
                  <c:v>8.4600000000000009</c:v>
                </c:pt>
                <c:pt idx="38">
                  <c:v>8.56</c:v>
                </c:pt>
                <c:pt idx="39">
                  <c:v>8.4700000000000006</c:v>
                </c:pt>
                <c:pt idx="40">
                  <c:v>8.49</c:v>
                </c:pt>
                <c:pt idx="41">
                  <c:v>8.56</c:v>
                </c:pt>
                <c:pt idx="42">
                  <c:v>8.69</c:v>
                </c:pt>
                <c:pt idx="43">
                  <c:v>8.85</c:v>
                </c:pt>
                <c:pt idx="44">
                  <c:v>8.74</c:v>
                </c:pt>
                <c:pt idx="45">
                  <c:v>8.81</c:v>
                </c:pt>
                <c:pt idx="46">
                  <c:v>8.85</c:v>
                </c:pt>
                <c:pt idx="47">
                  <c:v>8.9499999999999993</c:v>
                </c:pt>
                <c:pt idx="48">
                  <c:v>9.02</c:v>
                </c:pt>
                <c:pt idx="49">
                  <c:v>8.9</c:v>
                </c:pt>
                <c:pt idx="50">
                  <c:v>9.23</c:v>
                </c:pt>
                <c:pt idx="51">
                  <c:v>9.16</c:v>
                </c:pt>
                <c:pt idx="52">
                  <c:v>9.1</c:v>
                </c:pt>
                <c:pt idx="53">
                  <c:v>9.19</c:v>
                </c:pt>
                <c:pt idx="54">
                  <c:v>9.4</c:v>
                </c:pt>
                <c:pt idx="55">
                  <c:v>9.08</c:v>
                </c:pt>
                <c:pt idx="56">
                  <c:v>9.3000000000000007</c:v>
                </c:pt>
                <c:pt idx="57">
                  <c:v>9.3000000000000007</c:v>
                </c:pt>
                <c:pt idx="58">
                  <c:v>9.24</c:v>
                </c:pt>
                <c:pt idx="59">
                  <c:v>8.9600000000000009</c:v>
                </c:pt>
                <c:pt idx="60">
                  <c:v>8.98</c:v>
                </c:pt>
                <c:pt idx="61">
                  <c:v>9.06</c:v>
                </c:pt>
                <c:pt idx="62">
                  <c:v>8.74</c:v>
                </c:pt>
                <c:pt idx="63">
                  <c:v>8.16</c:v>
                </c:pt>
                <c:pt idx="64">
                  <c:v>8.17</c:v>
                </c:pt>
                <c:pt idx="65">
                  <c:v>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83872"/>
        <c:axId val="587085048"/>
      </c:lineChart>
      <c:dateAx>
        <c:axId val="58708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5048"/>
        <c:crosses val="autoZero"/>
        <c:auto val="1"/>
        <c:lblOffset val="100"/>
        <c:baseTimeUnit val="days"/>
      </c:dateAx>
      <c:valAx>
        <c:axId val="58708504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08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2-Feb-16</c:v>
                </c:pt>
                <c:pt idx="13">
                  <c:v>1-Feb-16</c:v>
                </c:pt>
                <c:pt idx="14">
                  <c:v>29-Jan-16</c:v>
                </c:pt>
                <c:pt idx="15">
                  <c:v>28-Jan-16</c:v>
                </c:pt>
                <c:pt idx="16">
                  <c:v>27-Jan-16</c:v>
                </c:pt>
                <c:pt idx="17">
                  <c:v>26-Jan-16</c:v>
                </c:pt>
                <c:pt idx="18">
                  <c:v>25-Jan-16</c:v>
                </c:pt>
                <c:pt idx="19">
                  <c:v>22-Jan-16</c:v>
                </c:pt>
                <c:pt idx="20">
                  <c:v>21-Jan-16</c:v>
                </c:pt>
                <c:pt idx="21">
                  <c:v>20-Jan-16</c:v>
                </c:pt>
                <c:pt idx="22">
                  <c:v>19-Jan-16</c:v>
                </c:pt>
                <c:pt idx="23">
                  <c:v>15-Jan-16</c:v>
                </c:pt>
                <c:pt idx="24">
                  <c:v>14-Jan-16</c:v>
                </c:pt>
                <c:pt idx="25">
                  <c:v>13-Jan-16</c:v>
                </c:pt>
                <c:pt idx="26">
                  <c:v>12-Jan-16</c:v>
                </c:pt>
                <c:pt idx="27">
                  <c:v>11-Jan-16</c:v>
                </c:pt>
                <c:pt idx="28">
                  <c:v>8-Jan-16</c:v>
                </c:pt>
                <c:pt idx="29">
                  <c:v>7-Jan-16</c:v>
                </c:pt>
                <c:pt idx="30">
                  <c:v>6-Jan-16</c:v>
                </c:pt>
                <c:pt idx="31">
                  <c:v>5-Jan-16</c:v>
                </c:pt>
                <c:pt idx="32">
                  <c:v>4-Jan-16</c:v>
                </c:pt>
                <c:pt idx="33">
                  <c:v>31-Dec-15</c:v>
                </c:pt>
                <c:pt idx="34">
                  <c:v>30-Dec-15</c:v>
                </c:pt>
                <c:pt idx="35">
                  <c:v>29-Dec-15</c:v>
                </c:pt>
                <c:pt idx="36">
                  <c:v>28-Dec-15</c:v>
                </c:pt>
                <c:pt idx="37">
                  <c:v>24-Dec-15</c:v>
                </c:pt>
                <c:pt idx="38">
                  <c:v>23-Dec-15</c:v>
                </c:pt>
                <c:pt idx="39">
                  <c:v>22-Dec-15</c:v>
                </c:pt>
                <c:pt idx="40">
                  <c:v>21-Dec-15</c:v>
                </c:pt>
                <c:pt idx="41">
                  <c:v>18-Dec-15</c:v>
                </c:pt>
                <c:pt idx="42">
                  <c:v>17-Dec-15</c:v>
                </c:pt>
                <c:pt idx="43">
                  <c:v>16-Dec-15</c:v>
                </c:pt>
                <c:pt idx="44">
                  <c:v>16-Dec-15</c:v>
                </c:pt>
                <c:pt idx="45">
                  <c:v>15-Dec-15</c:v>
                </c:pt>
                <c:pt idx="46">
                  <c:v>14-Dec-15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128.66999999999999</c:v>
                </c:pt>
                <c:pt idx="1">
                  <c:v>127.07</c:v>
                </c:pt>
                <c:pt idx="2">
                  <c:v>130.68</c:v>
                </c:pt>
                <c:pt idx="3">
                  <c:v>126.24</c:v>
                </c:pt>
                <c:pt idx="4">
                  <c:v>121.66</c:v>
                </c:pt>
                <c:pt idx="5">
                  <c:v>116.31</c:v>
                </c:pt>
                <c:pt idx="6">
                  <c:v>119.2</c:v>
                </c:pt>
                <c:pt idx="7">
                  <c:v>119.71</c:v>
                </c:pt>
                <c:pt idx="8">
                  <c:v>121.86</c:v>
                </c:pt>
                <c:pt idx="9">
                  <c:v>128.36000000000001</c:v>
                </c:pt>
                <c:pt idx="10">
                  <c:v>136.12</c:v>
                </c:pt>
                <c:pt idx="11">
                  <c:v>131.36000000000001</c:v>
                </c:pt>
                <c:pt idx="12">
                  <c:v>133.24</c:v>
                </c:pt>
                <c:pt idx="13">
                  <c:v>137.68</c:v>
                </c:pt>
                <c:pt idx="14">
                  <c:v>133.71</c:v>
                </c:pt>
                <c:pt idx="15">
                  <c:v>126.37</c:v>
                </c:pt>
                <c:pt idx="16">
                  <c:v>122.35</c:v>
                </c:pt>
                <c:pt idx="17">
                  <c:v>124.39</c:v>
                </c:pt>
                <c:pt idx="18">
                  <c:v>124.49</c:v>
                </c:pt>
                <c:pt idx="19">
                  <c:v>124.51</c:v>
                </c:pt>
                <c:pt idx="20">
                  <c:v>124.53</c:v>
                </c:pt>
                <c:pt idx="21">
                  <c:v>123.83</c:v>
                </c:pt>
                <c:pt idx="22">
                  <c:v>120.07</c:v>
                </c:pt>
                <c:pt idx="23">
                  <c:v>119.97</c:v>
                </c:pt>
                <c:pt idx="24">
                  <c:v>125.19</c:v>
                </c:pt>
                <c:pt idx="25">
                  <c:v>123.31</c:v>
                </c:pt>
                <c:pt idx="26">
                  <c:v>129.91999999999999</c:v>
                </c:pt>
                <c:pt idx="27">
                  <c:v>128.04</c:v>
                </c:pt>
                <c:pt idx="28">
                  <c:v>128.19999999999999</c:v>
                </c:pt>
                <c:pt idx="29">
                  <c:v>129.05000000000001</c:v>
                </c:pt>
                <c:pt idx="30">
                  <c:v>133.29</c:v>
                </c:pt>
                <c:pt idx="31">
                  <c:v>137.52000000000001</c:v>
                </c:pt>
                <c:pt idx="32">
                  <c:v>142.28</c:v>
                </c:pt>
                <c:pt idx="33">
                  <c:v>145.15</c:v>
                </c:pt>
                <c:pt idx="34">
                  <c:v>147.37</c:v>
                </c:pt>
                <c:pt idx="35">
                  <c:v>147.94</c:v>
                </c:pt>
                <c:pt idx="36">
                  <c:v>146.35</c:v>
                </c:pt>
                <c:pt idx="37">
                  <c:v>146.32</c:v>
                </c:pt>
                <c:pt idx="38">
                  <c:v>146.51</c:v>
                </c:pt>
                <c:pt idx="39">
                  <c:v>145.1</c:v>
                </c:pt>
                <c:pt idx="40">
                  <c:v>145.80000000000001</c:v>
                </c:pt>
                <c:pt idx="41">
                  <c:v>140.19999999999999</c:v>
                </c:pt>
                <c:pt idx="42">
                  <c:v>140.47999999999999</c:v>
                </c:pt>
                <c:pt idx="43">
                  <c:v>143.88</c:v>
                </c:pt>
                <c:pt idx="45">
                  <c:v>143.27000000000001</c:v>
                </c:pt>
                <c:pt idx="46">
                  <c:v>142.51</c:v>
                </c:pt>
                <c:pt idx="47">
                  <c:v>144.41999999999999</c:v>
                </c:pt>
                <c:pt idx="48">
                  <c:v>147.33000000000001</c:v>
                </c:pt>
                <c:pt idx="49">
                  <c:v>145.65</c:v>
                </c:pt>
                <c:pt idx="50">
                  <c:v>147.78</c:v>
                </c:pt>
                <c:pt idx="51">
                  <c:v>148.83000000000001</c:v>
                </c:pt>
                <c:pt idx="52">
                  <c:v>147.56</c:v>
                </c:pt>
                <c:pt idx="53">
                  <c:v>144.78</c:v>
                </c:pt>
                <c:pt idx="54">
                  <c:v>132.21</c:v>
                </c:pt>
                <c:pt idx="55">
                  <c:v>132.88999999999999</c:v>
                </c:pt>
                <c:pt idx="56">
                  <c:v>130.44999999999999</c:v>
                </c:pt>
                <c:pt idx="57">
                  <c:v>130.04</c:v>
                </c:pt>
                <c:pt idx="58">
                  <c:v>128.38999999999999</c:v>
                </c:pt>
                <c:pt idx="59">
                  <c:v>128.34</c:v>
                </c:pt>
                <c:pt idx="60">
                  <c:v>124.41</c:v>
                </c:pt>
                <c:pt idx="61">
                  <c:v>126.4</c:v>
                </c:pt>
                <c:pt idx="62">
                  <c:v>125.21</c:v>
                </c:pt>
                <c:pt idx="63">
                  <c:v>125.92</c:v>
                </c:pt>
                <c:pt idx="64">
                  <c:v>122.06</c:v>
                </c:pt>
                <c:pt idx="65">
                  <c:v>121.47</c:v>
                </c:pt>
                <c:pt idx="66">
                  <c:v>117.54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00416"/>
        <c:axId val="589200808"/>
      </c:lineChart>
      <c:catAx>
        <c:axId val="58920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0808"/>
        <c:crosses val="autoZero"/>
        <c:auto val="1"/>
        <c:lblAlgn val="ctr"/>
        <c:lblOffset val="100"/>
        <c:noMultiLvlLbl val="0"/>
      </c:catAx>
      <c:valAx>
        <c:axId val="5892008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42412</c:v>
                </c:pt>
                <c:pt idx="6">
                  <c:v>42411</c:v>
                </c:pt>
                <c:pt idx="7">
                  <c:v>42410</c:v>
                </c:pt>
                <c:pt idx="8">
                  <c:v>42409</c:v>
                </c:pt>
                <c:pt idx="9">
                  <c:v>42408</c:v>
                </c:pt>
                <c:pt idx="10">
                  <c:v>42405</c:v>
                </c:pt>
                <c:pt idx="11">
                  <c:v>42404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  <c:pt idx="0">
                  <c:v>46.72</c:v>
                </c:pt>
                <c:pt idx="1">
                  <c:v>46.46</c:v>
                </c:pt>
                <c:pt idx="2">
                  <c:v>46.1</c:v>
                </c:pt>
                <c:pt idx="3">
                  <c:v>44.58</c:v>
                </c:pt>
                <c:pt idx="4">
                  <c:v>42.99</c:v>
                </c:pt>
                <c:pt idx="6">
                  <c:v>42.7</c:v>
                </c:pt>
                <c:pt idx="7">
                  <c:v>43.27</c:v>
                </c:pt>
                <c:pt idx="8">
                  <c:v>41.98</c:v>
                </c:pt>
                <c:pt idx="9">
                  <c:v>40.770000000000003</c:v>
                </c:pt>
                <c:pt idx="10">
                  <c:v>42.01</c:v>
                </c:pt>
                <c:pt idx="11">
                  <c:v>44.04</c:v>
                </c:pt>
                <c:pt idx="12">
                  <c:v>43.8</c:v>
                </c:pt>
                <c:pt idx="13">
                  <c:v>43.61</c:v>
                </c:pt>
                <c:pt idx="14">
                  <c:v>45.21</c:v>
                </c:pt>
                <c:pt idx="15">
                  <c:v>44.29</c:v>
                </c:pt>
                <c:pt idx="16">
                  <c:v>43.2</c:v>
                </c:pt>
                <c:pt idx="17">
                  <c:v>44.72</c:v>
                </c:pt>
                <c:pt idx="18">
                  <c:v>46.11</c:v>
                </c:pt>
                <c:pt idx="19">
                  <c:v>45.94</c:v>
                </c:pt>
                <c:pt idx="20">
                  <c:v>46.76</c:v>
                </c:pt>
                <c:pt idx="21">
                  <c:v>46.52</c:v>
                </c:pt>
                <c:pt idx="22">
                  <c:v>45.69</c:v>
                </c:pt>
                <c:pt idx="23">
                  <c:v>45.96</c:v>
                </c:pt>
                <c:pt idx="24">
                  <c:v>44.5</c:v>
                </c:pt>
                <c:pt idx="25">
                  <c:v>45.34</c:v>
                </c:pt>
                <c:pt idx="26">
                  <c:v>44.94</c:v>
                </c:pt>
                <c:pt idx="27">
                  <c:v>46.96</c:v>
                </c:pt>
                <c:pt idx="28">
                  <c:v>46.74</c:v>
                </c:pt>
                <c:pt idx="29">
                  <c:v>46.61</c:v>
                </c:pt>
                <c:pt idx="30">
                  <c:v>47</c:v>
                </c:pt>
                <c:pt idx="31">
                  <c:v>48.93</c:v>
                </c:pt>
                <c:pt idx="32">
                  <c:v>48.57</c:v>
                </c:pt>
                <c:pt idx="33">
                  <c:v>48.66</c:v>
                </c:pt>
                <c:pt idx="34">
                  <c:v>50.69</c:v>
                </c:pt>
                <c:pt idx="35">
                  <c:v>51.17</c:v>
                </c:pt>
                <c:pt idx="36">
                  <c:v>52.17</c:v>
                </c:pt>
                <c:pt idx="37">
                  <c:v>51.95</c:v>
                </c:pt>
                <c:pt idx="38">
                  <c:v>52.26</c:v>
                </c:pt>
                <c:pt idx="39">
                  <c:v>51.74</c:v>
                </c:pt>
                <c:pt idx="40">
                  <c:v>51.75</c:v>
                </c:pt>
                <c:pt idx="41">
                  <c:v>51.46</c:v>
                </c:pt>
                <c:pt idx="42">
                  <c:v>49.96</c:v>
                </c:pt>
                <c:pt idx="43">
                  <c:v>51.03</c:v>
                </c:pt>
                <c:pt idx="44">
                  <c:v>52.12</c:v>
                </c:pt>
                <c:pt idx="45">
                  <c:v>51.15</c:v>
                </c:pt>
                <c:pt idx="46">
                  <c:v>50.18</c:v>
                </c:pt>
                <c:pt idx="47">
                  <c:v>49.28</c:v>
                </c:pt>
                <c:pt idx="48">
                  <c:v>51.28</c:v>
                </c:pt>
                <c:pt idx="49">
                  <c:v>49.51</c:v>
                </c:pt>
                <c:pt idx="50">
                  <c:v>50.27</c:v>
                </c:pt>
                <c:pt idx="51">
                  <c:v>51.78</c:v>
                </c:pt>
                <c:pt idx="52">
                  <c:v>49.78</c:v>
                </c:pt>
                <c:pt idx="53">
                  <c:v>48.22</c:v>
                </c:pt>
                <c:pt idx="54">
                  <c:v>48.33</c:v>
                </c:pt>
                <c:pt idx="55">
                  <c:v>47.67</c:v>
                </c:pt>
                <c:pt idx="56">
                  <c:v>46.46</c:v>
                </c:pt>
                <c:pt idx="57">
                  <c:v>47.14</c:v>
                </c:pt>
                <c:pt idx="58">
                  <c:v>46.87</c:v>
                </c:pt>
                <c:pt idx="59">
                  <c:v>47.24</c:v>
                </c:pt>
                <c:pt idx="60">
                  <c:v>48.74</c:v>
                </c:pt>
                <c:pt idx="61">
                  <c:v>48.76</c:v>
                </c:pt>
                <c:pt idx="62">
                  <c:v>48.51</c:v>
                </c:pt>
                <c:pt idx="63">
                  <c:v>47.75</c:v>
                </c:pt>
                <c:pt idx="64">
                  <c:v>47.77</c:v>
                </c:pt>
                <c:pt idx="65">
                  <c:v>47.93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02376"/>
        <c:axId val="589210216"/>
      </c:lineChart>
      <c:dateAx>
        <c:axId val="58920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10216"/>
        <c:crosses val="autoZero"/>
        <c:auto val="1"/>
        <c:lblOffset val="100"/>
        <c:baseTimeUnit val="days"/>
      </c:dateAx>
      <c:valAx>
        <c:axId val="589210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95.01</c:v>
                </c:pt>
                <c:pt idx="1">
                  <c:v>95.17</c:v>
                </c:pt>
                <c:pt idx="2">
                  <c:v>95.5</c:v>
                </c:pt>
                <c:pt idx="3">
                  <c:v>92.91</c:v>
                </c:pt>
                <c:pt idx="4">
                  <c:v>91.15</c:v>
                </c:pt>
                <c:pt idx="5">
                  <c:v>90.31</c:v>
                </c:pt>
                <c:pt idx="6">
                  <c:v>88.85</c:v>
                </c:pt>
                <c:pt idx="7">
                  <c:v>92.32</c:v>
                </c:pt>
                <c:pt idx="8">
                  <c:v>92.12</c:v>
                </c:pt>
                <c:pt idx="9">
                  <c:v>93.9</c:v>
                </c:pt>
                <c:pt idx="10">
                  <c:v>95.43</c:v>
                </c:pt>
                <c:pt idx="11">
                  <c:v>95.14</c:v>
                </c:pt>
                <c:pt idx="12">
                  <c:v>93.12</c:v>
                </c:pt>
                <c:pt idx="13">
                  <c:v>95.15</c:v>
                </c:pt>
                <c:pt idx="14">
                  <c:v>95.82</c:v>
                </c:pt>
                <c:pt idx="15">
                  <c:v>93.53</c:v>
                </c:pt>
                <c:pt idx="16">
                  <c:v>94.32</c:v>
                </c:pt>
                <c:pt idx="17">
                  <c:v>96.27</c:v>
                </c:pt>
                <c:pt idx="18">
                  <c:v>95.29</c:v>
                </c:pt>
                <c:pt idx="19">
                  <c:v>96.9</c:v>
                </c:pt>
                <c:pt idx="20">
                  <c:v>94.02</c:v>
                </c:pt>
                <c:pt idx="21">
                  <c:v>92.54</c:v>
                </c:pt>
                <c:pt idx="22">
                  <c:v>93.97</c:v>
                </c:pt>
                <c:pt idx="23">
                  <c:v>93.9</c:v>
                </c:pt>
                <c:pt idx="24">
                  <c:v>99.11</c:v>
                </c:pt>
                <c:pt idx="25">
                  <c:v>98.48</c:v>
                </c:pt>
                <c:pt idx="26">
                  <c:v>101.46</c:v>
                </c:pt>
                <c:pt idx="27">
                  <c:v>99.92</c:v>
                </c:pt>
                <c:pt idx="28">
                  <c:v>99.25</c:v>
                </c:pt>
                <c:pt idx="29">
                  <c:v>99.5</c:v>
                </c:pt>
                <c:pt idx="30">
                  <c:v>100.36</c:v>
                </c:pt>
                <c:pt idx="31">
                  <c:v>100.9</c:v>
                </c:pt>
                <c:pt idx="32">
                  <c:v>102.98</c:v>
                </c:pt>
                <c:pt idx="33">
                  <c:v>105.08</c:v>
                </c:pt>
                <c:pt idx="34">
                  <c:v>106.34</c:v>
                </c:pt>
                <c:pt idx="35">
                  <c:v>107.08</c:v>
                </c:pt>
                <c:pt idx="36">
                  <c:v>107.25</c:v>
                </c:pt>
                <c:pt idx="37">
                  <c:v>105.86</c:v>
                </c:pt>
                <c:pt idx="38">
                  <c:v>105.56</c:v>
                </c:pt>
                <c:pt idx="39">
                  <c:v>106.74</c:v>
                </c:pt>
                <c:pt idx="40">
                  <c:v>106.59</c:v>
                </c:pt>
                <c:pt idx="41">
                  <c:v>107.72</c:v>
                </c:pt>
                <c:pt idx="42">
                  <c:v>112.01</c:v>
                </c:pt>
                <c:pt idx="43">
                  <c:v>113.79</c:v>
                </c:pt>
                <c:pt idx="44">
                  <c:v>112.16</c:v>
                </c:pt>
                <c:pt idx="45">
                  <c:v>109.35</c:v>
                </c:pt>
                <c:pt idx="46">
                  <c:v>108.04</c:v>
                </c:pt>
                <c:pt idx="47">
                  <c:v>110.76</c:v>
                </c:pt>
                <c:pt idx="49">
                  <c:v>111.47</c:v>
                </c:pt>
                <c:pt idx="50">
                  <c:v>112.48</c:v>
                </c:pt>
                <c:pt idx="51">
                  <c:v>113.83</c:v>
                </c:pt>
                <c:pt idx="52">
                  <c:v>114.24</c:v>
                </c:pt>
                <c:pt idx="53">
                  <c:v>111.89</c:v>
                </c:pt>
                <c:pt idx="54">
                  <c:v>114</c:v>
                </c:pt>
                <c:pt idx="55">
                  <c:v>115.39</c:v>
                </c:pt>
                <c:pt idx="56">
                  <c:v>113.47</c:v>
                </c:pt>
                <c:pt idx="57">
                  <c:v>115.13</c:v>
                </c:pt>
                <c:pt idx="58">
                  <c:v>118.67</c:v>
                </c:pt>
                <c:pt idx="59">
                  <c:v>117.95</c:v>
                </c:pt>
                <c:pt idx="60">
                  <c:v>119.42</c:v>
                </c:pt>
                <c:pt idx="61">
                  <c:v>120.07</c:v>
                </c:pt>
                <c:pt idx="62">
                  <c:v>118.71</c:v>
                </c:pt>
                <c:pt idx="63">
                  <c:v>118.14</c:v>
                </c:pt>
                <c:pt idx="64">
                  <c:v>116.13</c:v>
                </c:pt>
                <c:pt idx="65">
                  <c:v>115.92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01592"/>
        <c:axId val="589211000"/>
      </c:lineChart>
      <c:dateAx>
        <c:axId val="58920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11000"/>
        <c:crosses val="autoZero"/>
        <c:auto val="1"/>
        <c:lblOffset val="100"/>
        <c:baseTimeUnit val="days"/>
      </c:dateAx>
      <c:valAx>
        <c:axId val="589211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4.4400000000000004</c:v>
                </c:pt>
                <c:pt idx="1">
                  <c:v>4.54</c:v>
                </c:pt>
                <c:pt idx="2">
                  <c:v>4.42</c:v>
                </c:pt>
                <c:pt idx="3">
                  <c:v>4.25</c:v>
                </c:pt>
                <c:pt idx="4">
                  <c:v>4.24</c:v>
                </c:pt>
                <c:pt idx="5">
                  <c:v>4.17</c:v>
                </c:pt>
                <c:pt idx="6">
                  <c:v>4.17</c:v>
                </c:pt>
                <c:pt idx="7">
                  <c:v>4.32</c:v>
                </c:pt>
                <c:pt idx="8">
                  <c:v>4.32</c:v>
                </c:pt>
                <c:pt idx="9">
                  <c:v>4.68</c:v>
                </c:pt>
                <c:pt idx="10">
                  <c:v>4.7</c:v>
                </c:pt>
                <c:pt idx="11">
                  <c:v>4.5999999999999996</c:v>
                </c:pt>
                <c:pt idx="12">
                  <c:v>4.3499999999999996</c:v>
                </c:pt>
                <c:pt idx="13">
                  <c:v>4.58</c:v>
                </c:pt>
                <c:pt idx="14">
                  <c:v>4.55</c:v>
                </c:pt>
                <c:pt idx="15">
                  <c:v>4.51</c:v>
                </c:pt>
                <c:pt idx="16">
                  <c:v>4.45</c:v>
                </c:pt>
                <c:pt idx="17">
                  <c:v>4.42</c:v>
                </c:pt>
                <c:pt idx="18">
                  <c:v>4.1900000000000004</c:v>
                </c:pt>
                <c:pt idx="19">
                  <c:v>4.3600000000000003</c:v>
                </c:pt>
                <c:pt idx="20">
                  <c:v>4</c:v>
                </c:pt>
                <c:pt idx="21">
                  <c:v>3.94</c:v>
                </c:pt>
                <c:pt idx="22">
                  <c:v>4.18</c:v>
                </c:pt>
                <c:pt idx="23">
                  <c:v>4.24</c:v>
                </c:pt>
                <c:pt idx="24">
                  <c:v>4.37</c:v>
                </c:pt>
                <c:pt idx="25">
                  <c:v>4.17</c:v>
                </c:pt>
                <c:pt idx="26">
                  <c:v>4.38</c:v>
                </c:pt>
                <c:pt idx="27">
                  <c:v>4.51</c:v>
                </c:pt>
                <c:pt idx="28">
                  <c:v>4.67</c:v>
                </c:pt>
                <c:pt idx="29">
                  <c:v>4.6900000000000004</c:v>
                </c:pt>
                <c:pt idx="30">
                  <c:v>4.76</c:v>
                </c:pt>
                <c:pt idx="31">
                  <c:v>4.72</c:v>
                </c:pt>
                <c:pt idx="32">
                  <c:v>4.6500000000000004</c:v>
                </c:pt>
                <c:pt idx="33">
                  <c:v>4.67</c:v>
                </c:pt>
                <c:pt idx="34">
                  <c:v>4.66</c:v>
                </c:pt>
                <c:pt idx="35">
                  <c:v>4.82</c:v>
                </c:pt>
                <c:pt idx="36">
                  <c:v>4.8499999999999996</c:v>
                </c:pt>
                <c:pt idx="37">
                  <c:v>4.8600000000000003</c:v>
                </c:pt>
                <c:pt idx="38">
                  <c:v>4.8499999999999996</c:v>
                </c:pt>
                <c:pt idx="39">
                  <c:v>4.6500000000000004</c:v>
                </c:pt>
                <c:pt idx="40">
                  <c:v>4.6399999999999997</c:v>
                </c:pt>
                <c:pt idx="41">
                  <c:v>4.6399999999999997</c:v>
                </c:pt>
                <c:pt idx="42">
                  <c:v>4.79</c:v>
                </c:pt>
                <c:pt idx="43">
                  <c:v>4.74</c:v>
                </c:pt>
                <c:pt idx="44">
                  <c:v>4.5199999999999996</c:v>
                </c:pt>
                <c:pt idx="45">
                  <c:v>4.5</c:v>
                </c:pt>
                <c:pt idx="46">
                  <c:v>4.57</c:v>
                </c:pt>
                <c:pt idx="48">
                  <c:v>4.88</c:v>
                </c:pt>
                <c:pt idx="49">
                  <c:v>4.92</c:v>
                </c:pt>
                <c:pt idx="50">
                  <c:v>4.95</c:v>
                </c:pt>
                <c:pt idx="51">
                  <c:v>5.0599999999999996</c:v>
                </c:pt>
                <c:pt idx="52">
                  <c:v>5.0999999999999996</c:v>
                </c:pt>
                <c:pt idx="53">
                  <c:v>5.01</c:v>
                </c:pt>
                <c:pt idx="54">
                  <c:v>4.99</c:v>
                </c:pt>
                <c:pt idx="55">
                  <c:v>5.08</c:v>
                </c:pt>
                <c:pt idx="56">
                  <c:v>4.99</c:v>
                </c:pt>
                <c:pt idx="57">
                  <c:v>4.96</c:v>
                </c:pt>
                <c:pt idx="58">
                  <c:v>4.9000000000000004</c:v>
                </c:pt>
                <c:pt idx="59">
                  <c:v>4.9000000000000004</c:v>
                </c:pt>
                <c:pt idx="60">
                  <c:v>4.96</c:v>
                </c:pt>
                <c:pt idx="61">
                  <c:v>4.92</c:v>
                </c:pt>
                <c:pt idx="62">
                  <c:v>4.96</c:v>
                </c:pt>
                <c:pt idx="63">
                  <c:v>4.87</c:v>
                </c:pt>
                <c:pt idx="64">
                  <c:v>4.78</c:v>
                </c:pt>
                <c:pt idx="65">
                  <c:v>4.76</c:v>
                </c:pt>
                <c:pt idx="66">
                  <c:v>4.6399999999999997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05512"/>
        <c:axId val="589203944"/>
      </c:lineChart>
      <c:dateAx>
        <c:axId val="589205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3944"/>
        <c:crosses val="autoZero"/>
        <c:auto val="1"/>
        <c:lblOffset val="100"/>
        <c:baseTimeUnit val="days"/>
      </c:dateAx>
      <c:valAx>
        <c:axId val="58920394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2-Feb-16</c:v>
                </c:pt>
                <c:pt idx="13">
                  <c:v>1-Feb-16</c:v>
                </c:pt>
                <c:pt idx="14">
                  <c:v>29-Jan-16</c:v>
                </c:pt>
                <c:pt idx="15">
                  <c:v>28-Jan-16</c:v>
                </c:pt>
                <c:pt idx="16">
                  <c:v>27-Jan-16</c:v>
                </c:pt>
                <c:pt idx="17">
                  <c:v>26-Jan-16</c:v>
                </c:pt>
                <c:pt idx="18">
                  <c:v>25-Jan-16</c:v>
                </c:pt>
                <c:pt idx="19">
                  <c:v>22-Jan-16</c:v>
                </c:pt>
                <c:pt idx="20">
                  <c:v>21-Jan-16</c:v>
                </c:pt>
                <c:pt idx="21">
                  <c:v>20-Jan-16</c:v>
                </c:pt>
                <c:pt idx="22">
                  <c:v>19-Jan-16</c:v>
                </c:pt>
                <c:pt idx="23">
                  <c:v>15-Jan-16</c:v>
                </c:pt>
                <c:pt idx="24">
                  <c:v>14-Jan-16</c:v>
                </c:pt>
                <c:pt idx="25">
                  <c:v>13-Jan-16</c:v>
                </c:pt>
                <c:pt idx="26">
                  <c:v>12-Jan-16</c:v>
                </c:pt>
                <c:pt idx="27">
                  <c:v>11-Jan-16</c:v>
                </c:pt>
                <c:pt idx="28">
                  <c:v>8-Jan-16</c:v>
                </c:pt>
                <c:pt idx="29">
                  <c:v>7-Jan-16</c:v>
                </c:pt>
                <c:pt idx="30">
                  <c:v>6-Jan-16</c:v>
                </c:pt>
                <c:pt idx="31">
                  <c:v>5-Jan-16</c:v>
                </c:pt>
                <c:pt idx="32">
                  <c:v>4-Jan-16</c:v>
                </c:pt>
                <c:pt idx="33">
                  <c:v>31-Dec-15</c:v>
                </c:pt>
                <c:pt idx="34">
                  <c:v>30-Dec-15</c:v>
                </c:pt>
                <c:pt idx="35">
                  <c:v>29-Dec-15</c:v>
                </c:pt>
                <c:pt idx="36">
                  <c:v>28-Dec-15</c:v>
                </c:pt>
                <c:pt idx="37">
                  <c:v>24-Dec-15</c:v>
                </c:pt>
                <c:pt idx="38">
                  <c:v>23-Dec-15</c:v>
                </c:pt>
                <c:pt idx="39">
                  <c:v>22-Dec-15</c:v>
                </c:pt>
                <c:pt idx="40">
                  <c:v>21-Dec-15</c:v>
                </c:pt>
                <c:pt idx="41">
                  <c:v>18-Dec-15</c:v>
                </c:pt>
                <c:pt idx="42">
                  <c:v>17-Dec-15</c:v>
                </c:pt>
                <c:pt idx="43">
                  <c:v>16-Dec-15</c:v>
                </c:pt>
                <c:pt idx="44">
                  <c:v>15-Dec-15</c:v>
                </c:pt>
                <c:pt idx="45">
                  <c:v>14-Dec-15</c:v>
                </c:pt>
                <c:pt idx="46">
                  <c:v>14-Dec-15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87.44</c:v>
                </c:pt>
                <c:pt idx="1">
                  <c:v>88.99</c:v>
                </c:pt>
                <c:pt idx="2">
                  <c:v>89.36</c:v>
                </c:pt>
                <c:pt idx="3">
                  <c:v>91.15</c:v>
                </c:pt>
                <c:pt idx="4">
                  <c:v>89.44</c:v>
                </c:pt>
                <c:pt idx="5">
                  <c:v>87.36</c:v>
                </c:pt>
                <c:pt idx="6">
                  <c:v>87.8</c:v>
                </c:pt>
                <c:pt idx="7">
                  <c:v>87.25</c:v>
                </c:pt>
                <c:pt idx="8">
                  <c:v>85.26</c:v>
                </c:pt>
                <c:pt idx="9">
                  <c:v>85.14</c:v>
                </c:pt>
                <c:pt idx="10">
                  <c:v>86.68</c:v>
                </c:pt>
                <c:pt idx="11">
                  <c:v>86.39</c:v>
                </c:pt>
                <c:pt idx="12">
                  <c:v>82.71</c:v>
                </c:pt>
                <c:pt idx="13">
                  <c:v>84.05</c:v>
                </c:pt>
                <c:pt idx="14">
                  <c:v>83</c:v>
                </c:pt>
                <c:pt idx="15">
                  <c:v>87.53</c:v>
                </c:pt>
                <c:pt idx="16">
                  <c:v>89.63</c:v>
                </c:pt>
                <c:pt idx="17">
                  <c:v>92.21</c:v>
                </c:pt>
                <c:pt idx="18">
                  <c:v>90.61</c:v>
                </c:pt>
                <c:pt idx="19">
                  <c:v>91.83</c:v>
                </c:pt>
                <c:pt idx="20">
                  <c:v>88.87</c:v>
                </c:pt>
                <c:pt idx="21">
                  <c:v>90.55</c:v>
                </c:pt>
                <c:pt idx="22">
                  <c:v>89.9</c:v>
                </c:pt>
                <c:pt idx="23">
                  <c:v>91.84</c:v>
                </c:pt>
                <c:pt idx="24">
                  <c:v>93.02</c:v>
                </c:pt>
                <c:pt idx="25">
                  <c:v>92.54</c:v>
                </c:pt>
                <c:pt idx="26">
                  <c:v>97.1</c:v>
                </c:pt>
                <c:pt idx="27">
                  <c:v>96.5</c:v>
                </c:pt>
                <c:pt idx="28">
                  <c:v>96.45</c:v>
                </c:pt>
                <c:pt idx="29">
                  <c:v>96.25</c:v>
                </c:pt>
                <c:pt idx="30">
                  <c:v>100.3</c:v>
                </c:pt>
                <c:pt idx="31">
                  <c:v>99.26</c:v>
                </c:pt>
                <c:pt idx="32">
                  <c:v>98.01</c:v>
                </c:pt>
                <c:pt idx="33">
                  <c:v>101.19</c:v>
                </c:pt>
                <c:pt idx="34">
                  <c:v>102.16</c:v>
                </c:pt>
                <c:pt idx="35">
                  <c:v>103.36</c:v>
                </c:pt>
                <c:pt idx="36">
                  <c:v>101.68</c:v>
                </c:pt>
                <c:pt idx="37">
                  <c:v>103.58</c:v>
                </c:pt>
                <c:pt idx="38">
                  <c:v>103.14</c:v>
                </c:pt>
                <c:pt idx="39">
                  <c:v>102.86</c:v>
                </c:pt>
                <c:pt idx="40">
                  <c:v>102.63</c:v>
                </c:pt>
                <c:pt idx="41">
                  <c:v>101.6</c:v>
                </c:pt>
                <c:pt idx="42">
                  <c:v>102.36</c:v>
                </c:pt>
                <c:pt idx="43">
                  <c:v>103.34</c:v>
                </c:pt>
                <c:pt idx="44">
                  <c:v>101.97</c:v>
                </c:pt>
                <c:pt idx="45">
                  <c:v>100.49</c:v>
                </c:pt>
                <c:pt idx="47">
                  <c:v>100.03</c:v>
                </c:pt>
                <c:pt idx="48">
                  <c:v>102.62</c:v>
                </c:pt>
                <c:pt idx="49">
                  <c:v>101.95</c:v>
                </c:pt>
                <c:pt idx="50">
                  <c:v>103.53</c:v>
                </c:pt>
                <c:pt idx="51">
                  <c:v>102.91</c:v>
                </c:pt>
                <c:pt idx="52">
                  <c:v>104.07</c:v>
                </c:pt>
                <c:pt idx="53">
                  <c:v>101.38</c:v>
                </c:pt>
                <c:pt idx="54">
                  <c:v>104.44</c:v>
                </c:pt>
                <c:pt idx="55">
                  <c:v>105.85</c:v>
                </c:pt>
                <c:pt idx="56">
                  <c:v>105.96</c:v>
                </c:pt>
                <c:pt idx="57">
                  <c:v>108</c:v>
                </c:pt>
                <c:pt idx="58">
                  <c:v>107.78</c:v>
                </c:pt>
                <c:pt idx="59">
                  <c:v>106.57</c:v>
                </c:pt>
                <c:pt idx="60">
                  <c:v>106.36</c:v>
                </c:pt>
                <c:pt idx="61">
                  <c:v>106.54</c:v>
                </c:pt>
                <c:pt idx="62">
                  <c:v>106.51</c:v>
                </c:pt>
                <c:pt idx="63">
                  <c:v>108.13</c:v>
                </c:pt>
                <c:pt idx="64">
                  <c:v>104.53</c:v>
                </c:pt>
                <c:pt idx="65">
                  <c:v>103.81</c:v>
                </c:pt>
                <c:pt idx="66">
                  <c:v>102.57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07080"/>
        <c:axId val="589207472"/>
      </c:lineChart>
      <c:catAx>
        <c:axId val="58920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7472"/>
        <c:crosses val="autoZero"/>
        <c:auto val="1"/>
        <c:lblAlgn val="ctr"/>
        <c:lblOffset val="100"/>
        <c:noMultiLvlLbl val="0"/>
      </c:catAx>
      <c:valAx>
        <c:axId val="5892074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18-Feb-16</c:v>
                </c:pt>
                <c:pt idx="3">
                  <c:v>17-Feb-16</c:v>
                </c:pt>
                <c:pt idx="4">
                  <c:v>16-Feb-16</c:v>
                </c:pt>
                <c:pt idx="5">
                  <c:v>12-Feb-16</c:v>
                </c:pt>
                <c:pt idx="6">
                  <c:v>11-Feb-16</c:v>
                </c:pt>
                <c:pt idx="7">
                  <c:v>10-Feb-16</c:v>
                </c:pt>
                <c:pt idx="8">
                  <c:v>9-Feb-16</c:v>
                </c:pt>
                <c:pt idx="9">
                  <c:v>8-Feb-16</c:v>
                </c:pt>
                <c:pt idx="10">
                  <c:v>5-Feb-16</c:v>
                </c:pt>
                <c:pt idx="11">
                  <c:v>4-Feb-16</c:v>
                </c:pt>
                <c:pt idx="12">
                  <c:v>3-Feb-16</c:v>
                </c:pt>
                <c:pt idx="13">
                  <c:v>2-Feb-16</c:v>
                </c:pt>
                <c:pt idx="14">
                  <c:v>1-Feb-16</c:v>
                </c:pt>
                <c:pt idx="15">
                  <c:v>29-Jan-16</c:v>
                </c:pt>
                <c:pt idx="16">
                  <c:v>28-Jan-16</c:v>
                </c:pt>
                <c:pt idx="17">
                  <c:v>27-Jan-16</c:v>
                </c:pt>
                <c:pt idx="18">
                  <c:v>26-Jan-16</c:v>
                </c:pt>
                <c:pt idx="19">
                  <c:v>25-Jan-16</c:v>
                </c:pt>
                <c:pt idx="20">
                  <c:v>22-Jan-16</c:v>
                </c:pt>
                <c:pt idx="21">
                  <c:v>21-Jan-16</c:v>
                </c:pt>
                <c:pt idx="22">
                  <c:v>20-Jan-16</c:v>
                </c:pt>
                <c:pt idx="23">
                  <c:v>19-Jan-16</c:v>
                </c:pt>
                <c:pt idx="24">
                  <c:v>15-Jan-16</c:v>
                </c:pt>
                <c:pt idx="25">
                  <c:v>14-Jan-16</c:v>
                </c:pt>
                <c:pt idx="26">
                  <c:v>13-Jan-16</c:v>
                </c:pt>
                <c:pt idx="27">
                  <c:v>12-Jan-16</c:v>
                </c:pt>
                <c:pt idx="28">
                  <c:v>11-Jan-16</c:v>
                </c:pt>
                <c:pt idx="29">
                  <c:v>8-Jan-16</c:v>
                </c:pt>
                <c:pt idx="30">
                  <c:v>7-Jan-16</c:v>
                </c:pt>
                <c:pt idx="31">
                  <c:v>6-Jan-16</c:v>
                </c:pt>
                <c:pt idx="32">
                  <c:v>5-Jan-16</c:v>
                </c:pt>
                <c:pt idx="33">
                  <c:v>4-Jan-16</c:v>
                </c:pt>
                <c:pt idx="34">
                  <c:v>31-Dec-15</c:v>
                </c:pt>
                <c:pt idx="35">
                  <c:v>30-Dec-15</c:v>
                </c:pt>
                <c:pt idx="36">
                  <c:v>29-Dec-15</c:v>
                </c:pt>
                <c:pt idx="37">
                  <c:v>28-Dec-15</c:v>
                </c:pt>
                <c:pt idx="38">
                  <c:v>24-Dec-15</c:v>
                </c:pt>
                <c:pt idx="39">
                  <c:v>23-Dec-15</c:v>
                </c:pt>
                <c:pt idx="40">
                  <c:v>22-Dec-15</c:v>
                </c:pt>
                <c:pt idx="41">
                  <c:v>21-Dec-15</c:v>
                </c:pt>
                <c:pt idx="42">
                  <c:v>18-Dec-15</c:v>
                </c:pt>
                <c:pt idx="43">
                  <c:v>17-Dec-15</c:v>
                </c:pt>
                <c:pt idx="44">
                  <c:v>16-Dec-15</c:v>
                </c:pt>
                <c:pt idx="45">
                  <c:v>15-Dec-15</c:v>
                </c:pt>
                <c:pt idx="46">
                  <c:v>14-Dec-15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47.2</c:v>
                </c:pt>
                <c:pt idx="2">
                  <c:v>47.48</c:v>
                </c:pt>
                <c:pt idx="3">
                  <c:v>46.31</c:v>
                </c:pt>
                <c:pt idx="4">
                  <c:v>44.19</c:v>
                </c:pt>
                <c:pt idx="5">
                  <c:v>42.91</c:v>
                </c:pt>
                <c:pt idx="6">
                  <c:v>44</c:v>
                </c:pt>
                <c:pt idx="7">
                  <c:v>43.79</c:v>
                </c:pt>
                <c:pt idx="8">
                  <c:v>44.4</c:v>
                </c:pt>
                <c:pt idx="9">
                  <c:v>45.11</c:v>
                </c:pt>
                <c:pt idx="10">
                  <c:v>45.56</c:v>
                </c:pt>
                <c:pt idx="11">
                  <c:v>45</c:v>
                </c:pt>
                <c:pt idx="12">
                  <c:v>44.45</c:v>
                </c:pt>
                <c:pt idx="13">
                  <c:v>45.81</c:v>
                </c:pt>
                <c:pt idx="14">
                  <c:v>46.19</c:v>
                </c:pt>
                <c:pt idx="15">
                  <c:v>45.37</c:v>
                </c:pt>
                <c:pt idx="16">
                  <c:v>45.45</c:v>
                </c:pt>
                <c:pt idx="17">
                  <c:v>46.3</c:v>
                </c:pt>
                <c:pt idx="18">
                  <c:v>44.75</c:v>
                </c:pt>
                <c:pt idx="19">
                  <c:v>45.67</c:v>
                </c:pt>
                <c:pt idx="20">
                  <c:v>44.03</c:v>
                </c:pt>
                <c:pt idx="21">
                  <c:v>43.48</c:v>
                </c:pt>
                <c:pt idx="22">
                  <c:v>44.95</c:v>
                </c:pt>
                <c:pt idx="23">
                  <c:v>44.94</c:v>
                </c:pt>
                <c:pt idx="24">
                  <c:v>46.31</c:v>
                </c:pt>
                <c:pt idx="25">
                  <c:v>45.93</c:v>
                </c:pt>
                <c:pt idx="26">
                  <c:v>47.14</c:v>
                </c:pt>
                <c:pt idx="27">
                  <c:v>46.61</c:v>
                </c:pt>
                <c:pt idx="28">
                  <c:v>46.1</c:v>
                </c:pt>
                <c:pt idx="29">
                  <c:v>46.89</c:v>
                </c:pt>
                <c:pt idx="30">
                  <c:v>48.86</c:v>
                </c:pt>
                <c:pt idx="31">
                  <c:v>50.23</c:v>
                </c:pt>
                <c:pt idx="32">
                  <c:v>49.76</c:v>
                </c:pt>
                <c:pt idx="33">
                  <c:v>49.66</c:v>
                </c:pt>
                <c:pt idx="34">
                  <c:v>50.84</c:v>
                </c:pt>
                <c:pt idx="35">
                  <c:v>50.99</c:v>
                </c:pt>
                <c:pt idx="36">
                  <c:v>50.55</c:v>
                </c:pt>
                <c:pt idx="37">
                  <c:v>51.13</c:v>
                </c:pt>
                <c:pt idx="38">
                  <c:v>50.7</c:v>
                </c:pt>
                <c:pt idx="39">
                  <c:v>50.01</c:v>
                </c:pt>
                <c:pt idx="40">
                  <c:v>49.22</c:v>
                </c:pt>
                <c:pt idx="41">
                  <c:v>49.05</c:v>
                </c:pt>
                <c:pt idx="42">
                  <c:v>49.71</c:v>
                </c:pt>
                <c:pt idx="43">
                  <c:v>50.21</c:v>
                </c:pt>
                <c:pt idx="44">
                  <c:v>49.17</c:v>
                </c:pt>
                <c:pt idx="45">
                  <c:v>48.71</c:v>
                </c:pt>
                <c:pt idx="46">
                  <c:v>48.25</c:v>
                </c:pt>
                <c:pt idx="47">
                  <c:v>48.55</c:v>
                </c:pt>
                <c:pt idx="48">
                  <c:v>47.92</c:v>
                </c:pt>
                <c:pt idx="49">
                  <c:v>48.4</c:v>
                </c:pt>
                <c:pt idx="50">
                  <c:v>49.99</c:v>
                </c:pt>
                <c:pt idx="51">
                  <c:v>50.88</c:v>
                </c:pt>
                <c:pt idx="52">
                  <c:v>49.84</c:v>
                </c:pt>
                <c:pt idx="53">
                  <c:v>50.84</c:v>
                </c:pt>
                <c:pt idx="54">
                  <c:v>50.74</c:v>
                </c:pt>
                <c:pt idx="55">
                  <c:v>50.43</c:v>
                </c:pt>
                <c:pt idx="56">
                  <c:v>50.15</c:v>
                </c:pt>
                <c:pt idx="57">
                  <c:v>49.68</c:v>
                </c:pt>
                <c:pt idx="58">
                  <c:v>49.83</c:v>
                </c:pt>
                <c:pt idx="59">
                  <c:v>48.79</c:v>
                </c:pt>
                <c:pt idx="60">
                  <c:v>48.31</c:v>
                </c:pt>
                <c:pt idx="61">
                  <c:v>48.09</c:v>
                </c:pt>
                <c:pt idx="62">
                  <c:v>47.64</c:v>
                </c:pt>
                <c:pt idx="63">
                  <c:v>46.31</c:v>
                </c:pt>
                <c:pt idx="64">
                  <c:v>46.63</c:v>
                </c:pt>
                <c:pt idx="65">
                  <c:v>46.06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09824"/>
        <c:axId val="589216096"/>
      </c:lineChart>
      <c:catAx>
        <c:axId val="589209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16096"/>
        <c:crosses val="autoZero"/>
        <c:auto val="1"/>
        <c:lblAlgn val="ctr"/>
        <c:lblOffset val="100"/>
        <c:noMultiLvlLbl val="0"/>
      </c:catAx>
      <c:valAx>
        <c:axId val="5892160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213352"/>
        <c:axId val="589215312"/>
      </c:lineChart>
      <c:catAx>
        <c:axId val="58921335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15312"/>
        <c:crosses val="autoZero"/>
        <c:auto val="1"/>
        <c:lblAlgn val="ctr"/>
        <c:lblOffset val="100"/>
        <c:noMultiLvlLbl val="0"/>
      </c:catAx>
      <c:valAx>
        <c:axId val="589215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21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2-Feb-16</c:v>
                </c:pt>
                <c:pt idx="13">
                  <c:v>1-Feb-16</c:v>
                </c:pt>
                <c:pt idx="14">
                  <c:v>29-Jan-16</c:v>
                </c:pt>
                <c:pt idx="15">
                  <c:v>28-Jan-16</c:v>
                </c:pt>
                <c:pt idx="16">
                  <c:v>27-Jan-16</c:v>
                </c:pt>
                <c:pt idx="17">
                  <c:v>26-Jan-16</c:v>
                </c:pt>
                <c:pt idx="18">
                  <c:v>25-Jan-16</c:v>
                </c:pt>
                <c:pt idx="19">
                  <c:v>22-Jan-16</c:v>
                </c:pt>
                <c:pt idx="20">
                  <c:v>21-Jan-16</c:v>
                </c:pt>
                <c:pt idx="21">
                  <c:v>20-Jan-16</c:v>
                </c:pt>
                <c:pt idx="22">
                  <c:v>19-Jan-16</c:v>
                </c:pt>
                <c:pt idx="23">
                  <c:v>15-Jan-16</c:v>
                </c:pt>
                <c:pt idx="24">
                  <c:v>14-Jan-16</c:v>
                </c:pt>
                <c:pt idx="25">
                  <c:v>13-Jan-16</c:v>
                </c:pt>
                <c:pt idx="26">
                  <c:v>12-Jan-16</c:v>
                </c:pt>
                <c:pt idx="27">
                  <c:v>11-Jan-16</c:v>
                </c:pt>
                <c:pt idx="28">
                  <c:v>8-Jan-16</c:v>
                </c:pt>
                <c:pt idx="29">
                  <c:v>7-Jan-16</c:v>
                </c:pt>
                <c:pt idx="30">
                  <c:v>6-Jan-16</c:v>
                </c:pt>
                <c:pt idx="31">
                  <c:v>5-Jan-16</c:v>
                </c:pt>
                <c:pt idx="32">
                  <c:v>4-Jan-16</c:v>
                </c:pt>
                <c:pt idx="33">
                  <c:v>31-Dec-15</c:v>
                </c:pt>
                <c:pt idx="34">
                  <c:v>30-Dec-15</c:v>
                </c:pt>
                <c:pt idx="35">
                  <c:v>29-Dec-15</c:v>
                </c:pt>
                <c:pt idx="36">
                  <c:v>28-Dec-15</c:v>
                </c:pt>
                <c:pt idx="37">
                  <c:v>24-Dec-15</c:v>
                </c:pt>
                <c:pt idx="38">
                  <c:v>23-Dec-15</c:v>
                </c:pt>
                <c:pt idx="39">
                  <c:v>22-Dec-15</c:v>
                </c:pt>
                <c:pt idx="40">
                  <c:v>21-Dec-15</c:v>
                </c:pt>
                <c:pt idx="41">
                  <c:v>18-Dec-15</c:v>
                </c:pt>
                <c:pt idx="42">
                  <c:v>17-Dec-15</c:v>
                </c:pt>
                <c:pt idx="43">
                  <c:v>16-Dec-15</c:v>
                </c:pt>
                <c:pt idx="44">
                  <c:v>16-Dec-15</c:v>
                </c:pt>
                <c:pt idx="45">
                  <c:v>15-Dec-15</c:v>
                </c:pt>
                <c:pt idx="46">
                  <c:v>14-Dec-15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28.78</c:v>
                </c:pt>
                <c:pt idx="1">
                  <c:v>29.03</c:v>
                </c:pt>
                <c:pt idx="2">
                  <c:v>29.27</c:v>
                </c:pt>
                <c:pt idx="3">
                  <c:v>28.58</c:v>
                </c:pt>
                <c:pt idx="4">
                  <c:v>27.71</c:v>
                </c:pt>
                <c:pt idx="5">
                  <c:v>26.9</c:v>
                </c:pt>
                <c:pt idx="6">
                  <c:v>27.71</c:v>
                </c:pt>
                <c:pt idx="7">
                  <c:v>27.87</c:v>
                </c:pt>
                <c:pt idx="8">
                  <c:v>28.68</c:v>
                </c:pt>
                <c:pt idx="9">
                  <c:v>28.54</c:v>
                </c:pt>
                <c:pt idx="10">
                  <c:v>28.64</c:v>
                </c:pt>
                <c:pt idx="11">
                  <c:v>28.92</c:v>
                </c:pt>
                <c:pt idx="12">
                  <c:v>29.65</c:v>
                </c:pt>
                <c:pt idx="13">
                  <c:v>30.11</c:v>
                </c:pt>
                <c:pt idx="14">
                  <c:v>29.64</c:v>
                </c:pt>
                <c:pt idx="15">
                  <c:v>29.02</c:v>
                </c:pt>
                <c:pt idx="16">
                  <c:v>29.21</c:v>
                </c:pt>
                <c:pt idx="17">
                  <c:v>29.65</c:v>
                </c:pt>
                <c:pt idx="18">
                  <c:v>29.23</c:v>
                </c:pt>
                <c:pt idx="19">
                  <c:v>29.28</c:v>
                </c:pt>
                <c:pt idx="20">
                  <c:v>29.55</c:v>
                </c:pt>
                <c:pt idx="21">
                  <c:v>29.42</c:v>
                </c:pt>
                <c:pt idx="22">
                  <c:v>29.4</c:v>
                </c:pt>
                <c:pt idx="23">
                  <c:v>29.57</c:v>
                </c:pt>
                <c:pt idx="24">
                  <c:v>30.3</c:v>
                </c:pt>
                <c:pt idx="25">
                  <c:v>30.49</c:v>
                </c:pt>
                <c:pt idx="26">
                  <c:v>30.3</c:v>
                </c:pt>
                <c:pt idx="27">
                  <c:v>30.25</c:v>
                </c:pt>
                <c:pt idx="28">
                  <c:v>29.53</c:v>
                </c:pt>
                <c:pt idx="29">
                  <c:v>29.99</c:v>
                </c:pt>
                <c:pt idx="30">
                  <c:v>31.27</c:v>
                </c:pt>
                <c:pt idx="31">
                  <c:v>32.43</c:v>
                </c:pt>
                <c:pt idx="32">
                  <c:v>33.31</c:v>
                </c:pt>
                <c:pt idx="33">
                  <c:v>34.01</c:v>
                </c:pt>
                <c:pt idx="34">
                  <c:v>34.33</c:v>
                </c:pt>
                <c:pt idx="35">
                  <c:v>34.5</c:v>
                </c:pt>
                <c:pt idx="36">
                  <c:v>34.51</c:v>
                </c:pt>
                <c:pt idx="37">
                  <c:v>34.6</c:v>
                </c:pt>
                <c:pt idx="38">
                  <c:v>34.78</c:v>
                </c:pt>
                <c:pt idx="39">
                  <c:v>34.29</c:v>
                </c:pt>
                <c:pt idx="40">
                  <c:v>33.83</c:v>
                </c:pt>
                <c:pt idx="41">
                  <c:v>33.67</c:v>
                </c:pt>
                <c:pt idx="42">
                  <c:v>34.11</c:v>
                </c:pt>
                <c:pt idx="43">
                  <c:v>35.14</c:v>
                </c:pt>
                <c:pt idx="45">
                  <c:v>34.54</c:v>
                </c:pt>
                <c:pt idx="46">
                  <c:v>34.39</c:v>
                </c:pt>
                <c:pt idx="47">
                  <c:v>34.549999999999997</c:v>
                </c:pt>
                <c:pt idx="48">
                  <c:v>35.630000000000003</c:v>
                </c:pt>
                <c:pt idx="49">
                  <c:v>35.450000000000003</c:v>
                </c:pt>
                <c:pt idx="50">
                  <c:v>35.479999999999997</c:v>
                </c:pt>
                <c:pt idx="51">
                  <c:v>36.130000000000003</c:v>
                </c:pt>
                <c:pt idx="52">
                  <c:v>36.25</c:v>
                </c:pt>
                <c:pt idx="53">
                  <c:v>35.47</c:v>
                </c:pt>
                <c:pt idx="54">
                  <c:v>35.729999999999997</c:v>
                </c:pt>
                <c:pt idx="55">
                  <c:v>36.26</c:v>
                </c:pt>
                <c:pt idx="56">
                  <c:v>36.200000000000003</c:v>
                </c:pt>
                <c:pt idx="57">
                  <c:v>36.369999999999997</c:v>
                </c:pt>
                <c:pt idx="58">
                  <c:v>36.340000000000003</c:v>
                </c:pt>
                <c:pt idx="59">
                  <c:v>36.22</c:v>
                </c:pt>
                <c:pt idx="60">
                  <c:v>36.08</c:v>
                </c:pt>
                <c:pt idx="61">
                  <c:v>36.340000000000003</c:v>
                </c:pt>
                <c:pt idx="62">
                  <c:v>36.14</c:v>
                </c:pt>
                <c:pt idx="63">
                  <c:v>36.46</c:v>
                </c:pt>
                <c:pt idx="64">
                  <c:v>35.21</c:v>
                </c:pt>
                <c:pt idx="65">
                  <c:v>35.17</c:v>
                </c:pt>
                <c:pt idx="66">
                  <c:v>34.31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63120"/>
        <c:axId val="590463904"/>
      </c:lineChart>
      <c:catAx>
        <c:axId val="590463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63904"/>
        <c:crosses val="autoZero"/>
        <c:auto val="1"/>
        <c:lblAlgn val="ctr"/>
        <c:lblOffset val="100"/>
        <c:noMultiLvlLbl val="0"/>
      </c:catAx>
      <c:valAx>
        <c:axId val="590463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6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19-Feb-16</c:v>
                </c:pt>
                <c:pt idx="1">
                  <c:v>18-Feb-16</c:v>
                </c:pt>
                <c:pt idx="2">
                  <c:v>17-Feb-16</c:v>
                </c:pt>
                <c:pt idx="3">
                  <c:v>16-Feb-16</c:v>
                </c:pt>
                <c:pt idx="4">
                  <c:v>12-Feb-16</c:v>
                </c:pt>
                <c:pt idx="5">
                  <c:v>11-Feb-16</c:v>
                </c:pt>
                <c:pt idx="6">
                  <c:v>10-Feb-16</c:v>
                </c:pt>
                <c:pt idx="7">
                  <c:v>9-Feb-16</c:v>
                </c:pt>
                <c:pt idx="8">
                  <c:v>8-Feb-16</c:v>
                </c:pt>
                <c:pt idx="9">
                  <c:v>5-Feb-16</c:v>
                </c:pt>
                <c:pt idx="10">
                  <c:v>4-Feb-16</c:v>
                </c:pt>
                <c:pt idx="11">
                  <c:v>3-Feb-16</c:v>
                </c:pt>
                <c:pt idx="12">
                  <c:v>2-Feb-16</c:v>
                </c:pt>
                <c:pt idx="13">
                  <c:v>1-Feb-16</c:v>
                </c:pt>
                <c:pt idx="14">
                  <c:v>29-Jan-16</c:v>
                </c:pt>
                <c:pt idx="15">
                  <c:v>28-Jan-16</c:v>
                </c:pt>
                <c:pt idx="16">
                  <c:v>27-Jan-16</c:v>
                </c:pt>
                <c:pt idx="17">
                  <c:v>26-Jan-16</c:v>
                </c:pt>
                <c:pt idx="18">
                  <c:v>25-Jan-16</c:v>
                </c:pt>
                <c:pt idx="19">
                  <c:v>22-Jan-16</c:v>
                </c:pt>
                <c:pt idx="20">
                  <c:v>21-Jan-16</c:v>
                </c:pt>
                <c:pt idx="21">
                  <c:v>20-Jan-16</c:v>
                </c:pt>
                <c:pt idx="22">
                  <c:v>19-Jan-16</c:v>
                </c:pt>
                <c:pt idx="23">
                  <c:v>15-Jan-16</c:v>
                </c:pt>
                <c:pt idx="24">
                  <c:v>14-Jan-16</c:v>
                </c:pt>
                <c:pt idx="25">
                  <c:v>13-Jan-16</c:v>
                </c:pt>
                <c:pt idx="26">
                  <c:v>12-Jan-16</c:v>
                </c:pt>
                <c:pt idx="27">
                  <c:v>11-Jan-16</c:v>
                </c:pt>
                <c:pt idx="28">
                  <c:v>8-Jan-16</c:v>
                </c:pt>
                <c:pt idx="29">
                  <c:v>7-Jan-16</c:v>
                </c:pt>
                <c:pt idx="30">
                  <c:v>6-Jan-16</c:v>
                </c:pt>
                <c:pt idx="31">
                  <c:v>5-Jan-16</c:v>
                </c:pt>
                <c:pt idx="32">
                  <c:v>4-Jan-16</c:v>
                </c:pt>
                <c:pt idx="33">
                  <c:v>31-Dec-15</c:v>
                </c:pt>
                <c:pt idx="34">
                  <c:v>30-Dec-15</c:v>
                </c:pt>
                <c:pt idx="35">
                  <c:v>29-Dec-15</c:v>
                </c:pt>
                <c:pt idx="36">
                  <c:v>28-Dec-15</c:v>
                </c:pt>
                <c:pt idx="37">
                  <c:v>24-Dec-15</c:v>
                </c:pt>
                <c:pt idx="38">
                  <c:v>23-Dec-15</c:v>
                </c:pt>
                <c:pt idx="39">
                  <c:v>22-Dec-15</c:v>
                </c:pt>
                <c:pt idx="40">
                  <c:v>21-Dec-15</c:v>
                </c:pt>
                <c:pt idx="41">
                  <c:v>18-Dec-15</c:v>
                </c:pt>
                <c:pt idx="42">
                  <c:v>17-Dec-15</c:v>
                </c:pt>
                <c:pt idx="43">
                  <c:v>16-Dec-15</c:v>
                </c:pt>
                <c:pt idx="44">
                  <c:v>15-Dec-15</c:v>
                </c:pt>
                <c:pt idx="45">
                  <c:v>14-Dec-15</c:v>
                </c:pt>
                <c:pt idx="46">
                  <c:v>11-Dec-15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18-Nov-15</c:v>
                </c:pt>
                <c:pt idx="64">
                  <c:v>17-Nov-15</c:v>
                </c:pt>
                <c:pt idx="65">
                  <c:v>16-Nov-15</c:v>
                </c:pt>
                <c:pt idx="66">
                  <c:v>13-Nov-15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130.16</c:v>
                </c:pt>
                <c:pt idx="1">
                  <c:v>129.69</c:v>
                </c:pt>
                <c:pt idx="2">
                  <c:v>130.69999999999999</c:v>
                </c:pt>
                <c:pt idx="3">
                  <c:v>127.42</c:v>
                </c:pt>
                <c:pt idx="4">
                  <c:v>126.48</c:v>
                </c:pt>
                <c:pt idx="5">
                  <c:v>123.3</c:v>
                </c:pt>
                <c:pt idx="6">
                  <c:v>125.46</c:v>
                </c:pt>
                <c:pt idx="7">
                  <c:v>124.45</c:v>
                </c:pt>
                <c:pt idx="8">
                  <c:v>121.94</c:v>
                </c:pt>
                <c:pt idx="9">
                  <c:v>123.18</c:v>
                </c:pt>
                <c:pt idx="10">
                  <c:v>127.8</c:v>
                </c:pt>
                <c:pt idx="11">
                  <c:v>126.05</c:v>
                </c:pt>
                <c:pt idx="12">
                  <c:v>126.89</c:v>
                </c:pt>
                <c:pt idx="13">
                  <c:v>130.69</c:v>
                </c:pt>
                <c:pt idx="14">
                  <c:v>132.06</c:v>
                </c:pt>
                <c:pt idx="15">
                  <c:v>128.16999999999999</c:v>
                </c:pt>
                <c:pt idx="16">
                  <c:v>135.83000000000001</c:v>
                </c:pt>
                <c:pt idx="17">
                  <c:v>134.1</c:v>
                </c:pt>
                <c:pt idx="18">
                  <c:v>134.72999999999999</c:v>
                </c:pt>
                <c:pt idx="19">
                  <c:v>135.31</c:v>
                </c:pt>
                <c:pt idx="20">
                  <c:v>131.68</c:v>
                </c:pt>
                <c:pt idx="21">
                  <c:v>133.05000000000001</c:v>
                </c:pt>
                <c:pt idx="22">
                  <c:v>134.91</c:v>
                </c:pt>
                <c:pt idx="23">
                  <c:v>132.76</c:v>
                </c:pt>
                <c:pt idx="24">
                  <c:v>135.79</c:v>
                </c:pt>
                <c:pt idx="25">
                  <c:v>133.77000000000001</c:v>
                </c:pt>
                <c:pt idx="26">
                  <c:v>136.97</c:v>
                </c:pt>
                <c:pt idx="27">
                  <c:v>134.88</c:v>
                </c:pt>
                <c:pt idx="28">
                  <c:v>134.16</c:v>
                </c:pt>
                <c:pt idx="29">
                  <c:v>134.31</c:v>
                </c:pt>
                <c:pt idx="30">
                  <c:v>137.44999999999999</c:v>
                </c:pt>
                <c:pt idx="31">
                  <c:v>138.51</c:v>
                </c:pt>
                <c:pt idx="32">
                  <c:v>138.75</c:v>
                </c:pt>
                <c:pt idx="33">
                  <c:v>141.85</c:v>
                </c:pt>
                <c:pt idx="34">
                  <c:v>142.86000000000001</c:v>
                </c:pt>
                <c:pt idx="35">
                  <c:v>143.03</c:v>
                </c:pt>
                <c:pt idx="36">
                  <c:v>140.69999999999999</c:v>
                </c:pt>
                <c:pt idx="37">
                  <c:v>141.32</c:v>
                </c:pt>
                <c:pt idx="38">
                  <c:v>141.02000000000001</c:v>
                </c:pt>
                <c:pt idx="39">
                  <c:v>139.53</c:v>
                </c:pt>
                <c:pt idx="40">
                  <c:v>137.55000000000001</c:v>
                </c:pt>
                <c:pt idx="41">
                  <c:v>134.51</c:v>
                </c:pt>
                <c:pt idx="42">
                  <c:v>138.16</c:v>
                </c:pt>
                <c:pt idx="43">
                  <c:v>140.44999999999999</c:v>
                </c:pt>
                <c:pt idx="44">
                  <c:v>137.49</c:v>
                </c:pt>
                <c:pt idx="45">
                  <c:v>135.41</c:v>
                </c:pt>
                <c:pt idx="46">
                  <c:v>134.19999999999999</c:v>
                </c:pt>
                <c:pt idx="48">
                  <c:v>135.13</c:v>
                </c:pt>
                <c:pt idx="49">
                  <c:v>134.38999999999999</c:v>
                </c:pt>
                <c:pt idx="50">
                  <c:v>136.05000000000001</c:v>
                </c:pt>
                <c:pt idx="51">
                  <c:v>135.53</c:v>
                </c:pt>
                <c:pt idx="52">
                  <c:v>137.07</c:v>
                </c:pt>
                <c:pt idx="53">
                  <c:v>132.57</c:v>
                </c:pt>
                <c:pt idx="54">
                  <c:v>136.77000000000001</c:v>
                </c:pt>
                <c:pt idx="55">
                  <c:v>138.35</c:v>
                </c:pt>
                <c:pt idx="56">
                  <c:v>138.4</c:v>
                </c:pt>
                <c:pt idx="57">
                  <c:v>139.96</c:v>
                </c:pt>
                <c:pt idx="58">
                  <c:v>138.66</c:v>
                </c:pt>
                <c:pt idx="59">
                  <c:v>137.96</c:v>
                </c:pt>
                <c:pt idx="60">
                  <c:v>137.6</c:v>
                </c:pt>
                <c:pt idx="61">
                  <c:v>137.84</c:v>
                </c:pt>
                <c:pt idx="62">
                  <c:v>137.4</c:v>
                </c:pt>
                <c:pt idx="63">
                  <c:v>137.72999999999999</c:v>
                </c:pt>
                <c:pt idx="64">
                  <c:v>135.44</c:v>
                </c:pt>
                <c:pt idx="65">
                  <c:v>135.54</c:v>
                </c:pt>
                <c:pt idx="66">
                  <c:v>132.33000000000001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61160"/>
        <c:axId val="590461552"/>
      </c:lineChart>
      <c:catAx>
        <c:axId val="59046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61552"/>
        <c:crosses val="autoZero"/>
        <c:auto val="1"/>
        <c:lblAlgn val="ctr"/>
        <c:lblOffset val="100"/>
        <c:noMultiLvlLbl val="0"/>
      </c:catAx>
      <c:valAx>
        <c:axId val="590461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6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19-Feb-16</c:v>
                </c:pt>
                <c:pt idx="1">
                  <c:v>19-Feb-16</c:v>
                </c:pt>
                <c:pt idx="2">
                  <c:v>18-Feb-16</c:v>
                </c:pt>
                <c:pt idx="3">
                  <c:v>17-Feb-16</c:v>
                </c:pt>
                <c:pt idx="4">
                  <c:v>16-Feb-16</c:v>
                </c:pt>
                <c:pt idx="5">
                  <c:v>12-Feb-16</c:v>
                </c:pt>
                <c:pt idx="6">
                  <c:v>11-Feb-16</c:v>
                </c:pt>
                <c:pt idx="7">
                  <c:v>10-Feb-16</c:v>
                </c:pt>
                <c:pt idx="8">
                  <c:v>9-Feb-16</c:v>
                </c:pt>
                <c:pt idx="9">
                  <c:v>8-Feb-16</c:v>
                </c:pt>
                <c:pt idx="10">
                  <c:v>5-Feb-16</c:v>
                </c:pt>
                <c:pt idx="11">
                  <c:v>4-Feb-16</c:v>
                </c:pt>
                <c:pt idx="12">
                  <c:v>3-Feb-16</c:v>
                </c:pt>
                <c:pt idx="13">
                  <c:v>2-Feb-16</c:v>
                </c:pt>
                <c:pt idx="14">
                  <c:v>1-Feb-16</c:v>
                </c:pt>
                <c:pt idx="15">
                  <c:v>29-Jan-16</c:v>
                </c:pt>
                <c:pt idx="16">
                  <c:v>28-Jan-16</c:v>
                </c:pt>
                <c:pt idx="17">
                  <c:v>27-Jan-16</c:v>
                </c:pt>
                <c:pt idx="18">
                  <c:v>26-Jan-16</c:v>
                </c:pt>
                <c:pt idx="19">
                  <c:v>25-Jan-16</c:v>
                </c:pt>
                <c:pt idx="20">
                  <c:v>22-Jan-16</c:v>
                </c:pt>
                <c:pt idx="21">
                  <c:v>21-Jan-16</c:v>
                </c:pt>
                <c:pt idx="22">
                  <c:v>20-Jan-16</c:v>
                </c:pt>
                <c:pt idx="23">
                  <c:v>19-Jan-16</c:v>
                </c:pt>
                <c:pt idx="24">
                  <c:v>15-Jan-16</c:v>
                </c:pt>
                <c:pt idx="25">
                  <c:v>14-Jan-16</c:v>
                </c:pt>
                <c:pt idx="26">
                  <c:v>13-Jan-16</c:v>
                </c:pt>
                <c:pt idx="27">
                  <c:v>12-Jan-16</c:v>
                </c:pt>
                <c:pt idx="28">
                  <c:v>11-Jan-16</c:v>
                </c:pt>
                <c:pt idx="29">
                  <c:v>8-Jan-16</c:v>
                </c:pt>
                <c:pt idx="30">
                  <c:v>7-Jan-16</c:v>
                </c:pt>
                <c:pt idx="31">
                  <c:v>6-Jan-16</c:v>
                </c:pt>
                <c:pt idx="32">
                  <c:v>5-Jan-16</c:v>
                </c:pt>
                <c:pt idx="33">
                  <c:v>4-Jan-16</c:v>
                </c:pt>
                <c:pt idx="34">
                  <c:v>31-Dec-15</c:v>
                </c:pt>
                <c:pt idx="35">
                  <c:v>30-Dec-15</c:v>
                </c:pt>
                <c:pt idx="36">
                  <c:v>29-Dec-15</c:v>
                </c:pt>
                <c:pt idx="37">
                  <c:v>28-Dec-15</c:v>
                </c:pt>
                <c:pt idx="38">
                  <c:v>24-Dec-15</c:v>
                </c:pt>
                <c:pt idx="39">
                  <c:v>23-Dec-15</c:v>
                </c:pt>
                <c:pt idx="40">
                  <c:v>22-Dec-15</c:v>
                </c:pt>
                <c:pt idx="41">
                  <c:v>21-Dec-15</c:v>
                </c:pt>
                <c:pt idx="42">
                  <c:v>18-Dec-15</c:v>
                </c:pt>
                <c:pt idx="43">
                  <c:v>17-Dec-15</c:v>
                </c:pt>
                <c:pt idx="44">
                  <c:v>16-Dec-15</c:v>
                </c:pt>
                <c:pt idx="45">
                  <c:v>15-Dec-15</c:v>
                </c:pt>
                <c:pt idx="46">
                  <c:v>14-Dec-15</c:v>
                </c:pt>
                <c:pt idx="47">
                  <c:v>11-Dec-15</c:v>
                </c:pt>
                <c:pt idx="48">
                  <c:v>10-Dec-15</c:v>
                </c:pt>
                <c:pt idx="49">
                  <c:v>9-Dec-15</c:v>
                </c:pt>
                <c:pt idx="50">
                  <c:v>8-Dec-15</c:v>
                </c:pt>
                <c:pt idx="51">
                  <c:v>7-Dec-15</c:v>
                </c:pt>
                <c:pt idx="52">
                  <c:v>4-Dec-15</c:v>
                </c:pt>
                <c:pt idx="53">
                  <c:v>3-Dec-15</c:v>
                </c:pt>
                <c:pt idx="54">
                  <c:v>2-Dec-15</c:v>
                </c:pt>
                <c:pt idx="55">
                  <c:v>1-Dec-15</c:v>
                </c:pt>
                <c:pt idx="56">
                  <c:v>30-Nov-15</c:v>
                </c:pt>
                <c:pt idx="57">
                  <c:v>27-Nov-15</c:v>
                </c:pt>
                <c:pt idx="58">
                  <c:v>25-Nov-15</c:v>
                </c:pt>
                <c:pt idx="59">
                  <c:v>24-Nov-15</c:v>
                </c:pt>
                <c:pt idx="60">
                  <c:v>23-Nov-15</c:v>
                </c:pt>
                <c:pt idx="61">
                  <c:v>20-Nov-15</c:v>
                </c:pt>
                <c:pt idx="62">
                  <c:v>19-Nov-15</c:v>
                </c:pt>
                <c:pt idx="63">
                  <c:v>19-Nov-15</c:v>
                </c:pt>
                <c:pt idx="64">
                  <c:v>18-Nov-15</c:v>
                </c:pt>
                <c:pt idx="65">
                  <c:v>17-Nov-15</c:v>
                </c:pt>
                <c:pt idx="66">
                  <c:v>16-Nov-15</c:v>
                </c:pt>
                <c:pt idx="67">
                  <c:v>13-Nov-15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30.14</c:v>
                </c:pt>
                <c:pt idx="2">
                  <c:v>30.81</c:v>
                </c:pt>
                <c:pt idx="3">
                  <c:v>30.71</c:v>
                </c:pt>
                <c:pt idx="4">
                  <c:v>30.36</c:v>
                </c:pt>
                <c:pt idx="5">
                  <c:v>29.89</c:v>
                </c:pt>
                <c:pt idx="6">
                  <c:v>28.1</c:v>
                </c:pt>
                <c:pt idx="7">
                  <c:v>28.21</c:v>
                </c:pt>
                <c:pt idx="8">
                  <c:v>29</c:v>
                </c:pt>
                <c:pt idx="9">
                  <c:v>29.09</c:v>
                </c:pt>
                <c:pt idx="10">
                  <c:v>29.52</c:v>
                </c:pt>
                <c:pt idx="11">
                  <c:v>29.32</c:v>
                </c:pt>
                <c:pt idx="12">
                  <c:v>28.02</c:v>
                </c:pt>
                <c:pt idx="13">
                  <c:v>25.51</c:v>
                </c:pt>
                <c:pt idx="14">
                  <c:v>26.15</c:v>
                </c:pt>
                <c:pt idx="15">
                  <c:v>26.55</c:v>
                </c:pt>
                <c:pt idx="16">
                  <c:v>25.41</c:v>
                </c:pt>
                <c:pt idx="17">
                  <c:v>25.15</c:v>
                </c:pt>
                <c:pt idx="18">
                  <c:v>25.01</c:v>
                </c:pt>
                <c:pt idx="19">
                  <c:v>23.65</c:v>
                </c:pt>
                <c:pt idx="20">
                  <c:v>24.26</c:v>
                </c:pt>
                <c:pt idx="21">
                  <c:v>23.55</c:v>
                </c:pt>
                <c:pt idx="22">
                  <c:v>23.41</c:v>
                </c:pt>
                <c:pt idx="23">
                  <c:v>23.5</c:v>
                </c:pt>
                <c:pt idx="24">
                  <c:v>24.52</c:v>
                </c:pt>
                <c:pt idx="25">
                  <c:v>24.79</c:v>
                </c:pt>
                <c:pt idx="26">
                  <c:v>24.79</c:v>
                </c:pt>
                <c:pt idx="27">
                  <c:v>25.5</c:v>
                </c:pt>
                <c:pt idx="28">
                  <c:v>25.32</c:v>
                </c:pt>
                <c:pt idx="29">
                  <c:v>25.74</c:v>
                </c:pt>
                <c:pt idx="30">
                  <c:v>26.7</c:v>
                </c:pt>
                <c:pt idx="31">
                  <c:v>27.46</c:v>
                </c:pt>
                <c:pt idx="32">
                  <c:v>27.82</c:v>
                </c:pt>
                <c:pt idx="33">
                  <c:v>28.33</c:v>
                </c:pt>
                <c:pt idx="34">
                  <c:v>28.59</c:v>
                </c:pt>
                <c:pt idx="35">
                  <c:v>28.66</c:v>
                </c:pt>
                <c:pt idx="36">
                  <c:v>28.61</c:v>
                </c:pt>
                <c:pt idx="37">
                  <c:v>28.45</c:v>
                </c:pt>
                <c:pt idx="38">
                  <c:v>28.98</c:v>
                </c:pt>
                <c:pt idx="39">
                  <c:v>28.84</c:v>
                </c:pt>
                <c:pt idx="40">
                  <c:v>27.9</c:v>
                </c:pt>
                <c:pt idx="41">
                  <c:v>27.37</c:v>
                </c:pt>
                <c:pt idx="42">
                  <c:v>27.08</c:v>
                </c:pt>
                <c:pt idx="43">
                  <c:v>27.26</c:v>
                </c:pt>
                <c:pt idx="44">
                  <c:v>28.03</c:v>
                </c:pt>
                <c:pt idx="45">
                  <c:v>27.95</c:v>
                </c:pt>
                <c:pt idx="46">
                  <c:v>28.49</c:v>
                </c:pt>
                <c:pt idx="47">
                  <c:v>28.79</c:v>
                </c:pt>
                <c:pt idx="48">
                  <c:v>29.49</c:v>
                </c:pt>
                <c:pt idx="49">
                  <c:v>29.7</c:v>
                </c:pt>
                <c:pt idx="50">
                  <c:v>29.65</c:v>
                </c:pt>
                <c:pt idx="51">
                  <c:v>30.88</c:v>
                </c:pt>
                <c:pt idx="52">
                  <c:v>31.33</c:v>
                </c:pt>
                <c:pt idx="53">
                  <c:v>31.33</c:v>
                </c:pt>
                <c:pt idx="54">
                  <c:v>31.46</c:v>
                </c:pt>
                <c:pt idx="55">
                  <c:v>32.08</c:v>
                </c:pt>
                <c:pt idx="56">
                  <c:v>32.24</c:v>
                </c:pt>
                <c:pt idx="57">
                  <c:v>32.159999999999997</c:v>
                </c:pt>
                <c:pt idx="58">
                  <c:v>32.04</c:v>
                </c:pt>
                <c:pt idx="59">
                  <c:v>32.159999999999997</c:v>
                </c:pt>
                <c:pt idx="60">
                  <c:v>31.59</c:v>
                </c:pt>
                <c:pt idx="61">
                  <c:v>31.75</c:v>
                </c:pt>
                <c:pt idx="62">
                  <c:v>31.21</c:v>
                </c:pt>
                <c:pt idx="64">
                  <c:v>31.28</c:v>
                </c:pt>
                <c:pt idx="65">
                  <c:v>30.73</c:v>
                </c:pt>
                <c:pt idx="66">
                  <c:v>31.2</c:v>
                </c:pt>
                <c:pt idx="67">
                  <c:v>30.52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63512"/>
        <c:axId val="590464688"/>
      </c:lineChart>
      <c:catAx>
        <c:axId val="59046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64688"/>
        <c:crosses val="autoZero"/>
        <c:auto val="1"/>
        <c:lblAlgn val="ctr"/>
        <c:lblOffset val="100"/>
        <c:noMultiLvlLbl val="0"/>
      </c:catAx>
      <c:valAx>
        <c:axId val="590464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6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1.75</c:v>
                </c:pt>
                <c:pt idx="1">
                  <c:v>1.8</c:v>
                </c:pt>
                <c:pt idx="2">
                  <c:v>1.75</c:v>
                </c:pt>
                <c:pt idx="3">
                  <c:v>1.66</c:v>
                </c:pt>
                <c:pt idx="4">
                  <c:v>1.68</c:v>
                </c:pt>
                <c:pt idx="5">
                  <c:v>1.51</c:v>
                </c:pt>
                <c:pt idx="6">
                  <c:v>1.48</c:v>
                </c:pt>
                <c:pt idx="7">
                  <c:v>1.5</c:v>
                </c:pt>
                <c:pt idx="8">
                  <c:v>1.56</c:v>
                </c:pt>
                <c:pt idx="9">
                  <c:v>1.69</c:v>
                </c:pt>
                <c:pt idx="10">
                  <c:v>1.7</c:v>
                </c:pt>
                <c:pt idx="11">
                  <c:v>1.71</c:v>
                </c:pt>
                <c:pt idx="12">
                  <c:v>1.64</c:v>
                </c:pt>
                <c:pt idx="13">
                  <c:v>1.7</c:v>
                </c:pt>
                <c:pt idx="14">
                  <c:v>1.59</c:v>
                </c:pt>
                <c:pt idx="15">
                  <c:v>1.6</c:v>
                </c:pt>
                <c:pt idx="16">
                  <c:v>1.61</c:v>
                </c:pt>
                <c:pt idx="17">
                  <c:v>1.7</c:v>
                </c:pt>
                <c:pt idx="18">
                  <c:v>1.67</c:v>
                </c:pt>
                <c:pt idx="19">
                  <c:v>1.73</c:v>
                </c:pt>
                <c:pt idx="20">
                  <c:v>1.7</c:v>
                </c:pt>
                <c:pt idx="21">
                  <c:v>1.53</c:v>
                </c:pt>
                <c:pt idx="22">
                  <c:v>1.52</c:v>
                </c:pt>
                <c:pt idx="23">
                  <c:v>1.63</c:v>
                </c:pt>
                <c:pt idx="24">
                  <c:v>1.68</c:v>
                </c:pt>
                <c:pt idx="25">
                  <c:v>1.66</c:v>
                </c:pt>
                <c:pt idx="26">
                  <c:v>1.85</c:v>
                </c:pt>
                <c:pt idx="27">
                  <c:v>1.91</c:v>
                </c:pt>
                <c:pt idx="28">
                  <c:v>2.1800000000000002</c:v>
                </c:pt>
                <c:pt idx="29">
                  <c:v>2.11</c:v>
                </c:pt>
                <c:pt idx="30">
                  <c:v>2.2599999999999998</c:v>
                </c:pt>
                <c:pt idx="31">
                  <c:v>2.34</c:v>
                </c:pt>
                <c:pt idx="32">
                  <c:v>2.4300000000000002</c:v>
                </c:pt>
                <c:pt idx="33">
                  <c:v>2.37</c:v>
                </c:pt>
                <c:pt idx="34">
                  <c:v>2.38</c:v>
                </c:pt>
                <c:pt idx="35">
                  <c:v>2.6</c:v>
                </c:pt>
                <c:pt idx="36">
                  <c:v>2.73</c:v>
                </c:pt>
                <c:pt idx="37">
                  <c:v>2.85</c:v>
                </c:pt>
                <c:pt idx="38">
                  <c:v>2.79</c:v>
                </c:pt>
                <c:pt idx="39">
                  <c:v>2.71</c:v>
                </c:pt>
                <c:pt idx="40">
                  <c:v>2.48</c:v>
                </c:pt>
                <c:pt idx="41">
                  <c:v>2.23</c:v>
                </c:pt>
                <c:pt idx="42">
                  <c:v>2.2799999999999998</c:v>
                </c:pt>
                <c:pt idx="43">
                  <c:v>2.37</c:v>
                </c:pt>
                <c:pt idx="44">
                  <c:v>2.4900000000000002</c:v>
                </c:pt>
                <c:pt idx="45">
                  <c:v>2.52</c:v>
                </c:pt>
                <c:pt idx="46">
                  <c:v>2.65</c:v>
                </c:pt>
                <c:pt idx="47">
                  <c:v>2.78</c:v>
                </c:pt>
                <c:pt idx="48">
                  <c:v>2.77</c:v>
                </c:pt>
                <c:pt idx="49">
                  <c:v>2.93</c:v>
                </c:pt>
                <c:pt idx="50">
                  <c:v>2.95</c:v>
                </c:pt>
                <c:pt idx="51">
                  <c:v>3.01</c:v>
                </c:pt>
                <c:pt idx="52">
                  <c:v>3.03</c:v>
                </c:pt>
                <c:pt idx="53">
                  <c:v>3.21</c:v>
                </c:pt>
                <c:pt idx="54">
                  <c:v>3.26</c:v>
                </c:pt>
                <c:pt idx="55">
                  <c:v>3.28</c:v>
                </c:pt>
                <c:pt idx="56">
                  <c:v>3.28</c:v>
                </c:pt>
                <c:pt idx="57">
                  <c:v>3.26</c:v>
                </c:pt>
                <c:pt idx="58">
                  <c:v>3.2</c:v>
                </c:pt>
                <c:pt idx="59">
                  <c:v>3.17</c:v>
                </c:pt>
                <c:pt idx="60">
                  <c:v>3.18</c:v>
                </c:pt>
                <c:pt idx="61">
                  <c:v>3</c:v>
                </c:pt>
                <c:pt idx="62">
                  <c:v>3.02</c:v>
                </c:pt>
                <c:pt idx="63">
                  <c:v>3.14</c:v>
                </c:pt>
                <c:pt idx="64">
                  <c:v>3.19</c:v>
                </c:pt>
                <c:pt idx="65">
                  <c:v>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43128"/>
        <c:axId val="590436856"/>
      </c:lineChart>
      <c:dateAx>
        <c:axId val="590443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36856"/>
        <c:crosses val="autoZero"/>
        <c:auto val="1"/>
        <c:lblOffset val="100"/>
        <c:baseTimeUnit val="days"/>
      </c:dateAx>
      <c:valAx>
        <c:axId val="59043685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4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42417</c:v>
                </c:pt>
                <c:pt idx="4">
                  <c:v>42416</c:v>
                </c:pt>
                <c:pt idx="5">
                  <c:v>42412</c:v>
                </c:pt>
                <c:pt idx="6">
                  <c:v>42411</c:v>
                </c:pt>
                <c:pt idx="7">
                  <c:v>42410</c:v>
                </c:pt>
                <c:pt idx="8">
                  <c:v>42409</c:v>
                </c:pt>
                <c:pt idx="9">
                  <c:v>42408</c:v>
                </c:pt>
                <c:pt idx="10">
                  <c:v>42405</c:v>
                </c:pt>
                <c:pt idx="11">
                  <c:v>42404</c:v>
                </c:pt>
                <c:pt idx="12">
                  <c:v>42403</c:v>
                </c:pt>
                <c:pt idx="13">
                  <c:v>42402</c:v>
                </c:pt>
                <c:pt idx="14">
                  <c:v>42401</c:v>
                </c:pt>
                <c:pt idx="15">
                  <c:v>42398</c:v>
                </c:pt>
                <c:pt idx="16">
                  <c:v>42397</c:v>
                </c:pt>
                <c:pt idx="17">
                  <c:v>42396</c:v>
                </c:pt>
                <c:pt idx="18">
                  <c:v>42395</c:v>
                </c:pt>
                <c:pt idx="19">
                  <c:v>42394</c:v>
                </c:pt>
                <c:pt idx="20">
                  <c:v>42391</c:v>
                </c:pt>
                <c:pt idx="21">
                  <c:v>42390</c:v>
                </c:pt>
                <c:pt idx="22">
                  <c:v>42389</c:v>
                </c:pt>
                <c:pt idx="23">
                  <c:v>42388</c:v>
                </c:pt>
                <c:pt idx="24">
                  <c:v>42384</c:v>
                </c:pt>
                <c:pt idx="25">
                  <c:v>42383</c:v>
                </c:pt>
                <c:pt idx="26">
                  <c:v>42382</c:v>
                </c:pt>
                <c:pt idx="27">
                  <c:v>42381</c:v>
                </c:pt>
                <c:pt idx="28">
                  <c:v>42380</c:v>
                </c:pt>
                <c:pt idx="29">
                  <c:v>42377</c:v>
                </c:pt>
                <c:pt idx="30">
                  <c:v>42376</c:v>
                </c:pt>
                <c:pt idx="31">
                  <c:v>42375</c:v>
                </c:pt>
                <c:pt idx="32">
                  <c:v>42374</c:v>
                </c:pt>
                <c:pt idx="33">
                  <c:v>42373</c:v>
                </c:pt>
                <c:pt idx="34">
                  <c:v>42369</c:v>
                </c:pt>
                <c:pt idx="35">
                  <c:v>42368</c:v>
                </c:pt>
                <c:pt idx="36">
                  <c:v>42367</c:v>
                </c:pt>
                <c:pt idx="37">
                  <c:v>42366</c:v>
                </c:pt>
                <c:pt idx="38">
                  <c:v>42362</c:v>
                </c:pt>
                <c:pt idx="39">
                  <c:v>42361</c:v>
                </c:pt>
                <c:pt idx="40">
                  <c:v>42360</c:v>
                </c:pt>
                <c:pt idx="41">
                  <c:v>42359</c:v>
                </c:pt>
                <c:pt idx="42">
                  <c:v>42356</c:v>
                </c:pt>
                <c:pt idx="43">
                  <c:v>42355</c:v>
                </c:pt>
                <c:pt idx="44">
                  <c:v>42354</c:v>
                </c:pt>
                <c:pt idx="45">
                  <c:v>42353</c:v>
                </c:pt>
                <c:pt idx="46">
                  <c:v>42352</c:v>
                </c:pt>
                <c:pt idx="47">
                  <c:v>42349</c:v>
                </c:pt>
                <c:pt idx="48">
                  <c:v>42348</c:v>
                </c:pt>
                <c:pt idx="49">
                  <c:v>42347</c:v>
                </c:pt>
                <c:pt idx="50">
                  <c:v>42346</c:v>
                </c:pt>
                <c:pt idx="51">
                  <c:v>42345</c:v>
                </c:pt>
                <c:pt idx="52">
                  <c:v>42342</c:v>
                </c:pt>
                <c:pt idx="53">
                  <c:v>42341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88.23</c:v>
                </c:pt>
                <c:pt idx="1">
                  <c:v>88.36</c:v>
                </c:pt>
                <c:pt idx="2">
                  <c:v>88.12</c:v>
                </c:pt>
                <c:pt idx="4">
                  <c:v>86.48</c:v>
                </c:pt>
                <c:pt idx="5">
                  <c:v>85.95</c:v>
                </c:pt>
                <c:pt idx="6">
                  <c:v>84.66</c:v>
                </c:pt>
                <c:pt idx="7">
                  <c:v>86.96</c:v>
                </c:pt>
                <c:pt idx="8">
                  <c:v>87.24</c:v>
                </c:pt>
                <c:pt idx="9">
                  <c:v>86.78</c:v>
                </c:pt>
                <c:pt idx="10">
                  <c:v>87.84</c:v>
                </c:pt>
                <c:pt idx="11">
                  <c:v>88.12</c:v>
                </c:pt>
                <c:pt idx="12">
                  <c:v>85.96</c:v>
                </c:pt>
                <c:pt idx="13">
                  <c:v>85.42</c:v>
                </c:pt>
                <c:pt idx="14">
                  <c:v>87.56</c:v>
                </c:pt>
                <c:pt idx="15">
                  <c:v>87.69</c:v>
                </c:pt>
                <c:pt idx="16">
                  <c:v>86.45</c:v>
                </c:pt>
                <c:pt idx="17">
                  <c:v>85.81</c:v>
                </c:pt>
                <c:pt idx="18">
                  <c:v>85.65</c:v>
                </c:pt>
                <c:pt idx="19">
                  <c:v>84.9</c:v>
                </c:pt>
                <c:pt idx="20">
                  <c:v>86.35</c:v>
                </c:pt>
                <c:pt idx="21">
                  <c:v>85.57</c:v>
                </c:pt>
                <c:pt idx="22">
                  <c:v>84.83</c:v>
                </c:pt>
                <c:pt idx="23">
                  <c:v>85.24</c:v>
                </c:pt>
                <c:pt idx="24">
                  <c:v>85.63</c:v>
                </c:pt>
                <c:pt idx="25">
                  <c:v>89.01</c:v>
                </c:pt>
                <c:pt idx="26">
                  <c:v>88.83</c:v>
                </c:pt>
                <c:pt idx="27">
                  <c:v>90.5</c:v>
                </c:pt>
                <c:pt idx="28">
                  <c:v>90.5</c:v>
                </c:pt>
                <c:pt idx="29">
                  <c:v>90.4</c:v>
                </c:pt>
                <c:pt idx="30">
                  <c:v>91.9</c:v>
                </c:pt>
                <c:pt idx="31">
                  <c:v>93.12</c:v>
                </c:pt>
                <c:pt idx="32">
                  <c:v>95.72</c:v>
                </c:pt>
                <c:pt idx="33">
                  <c:v>95.57</c:v>
                </c:pt>
                <c:pt idx="34">
                  <c:v>96.07</c:v>
                </c:pt>
                <c:pt idx="35">
                  <c:v>96.9</c:v>
                </c:pt>
                <c:pt idx="36">
                  <c:v>97.27</c:v>
                </c:pt>
                <c:pt idx="37">
                  <c:v>96.09</c:v>
                </c:pt>
                <c:pt idx="38">
                  <c:v>96.3</c:v>
                </c:pt>
                <c:pt idx="39">
                  <c:v>96.3</c:v>
                </c:pt>
                <c:pt idx="40">
                  <c:v>94.87</c:v>
                </c:pt>
                <c:pt idx="41">
                  <c:v>93.61</c:v>
                </c:pt>
                <c:pt idx="42">
                  <c:v>92.34</c:v>
                </c:pt>
                <c:pt idx="43">
                  <c:v>93.87</c:v>
                </c:pt>
                <c:pt idx="44">
                  <c:v>95.13</c:v>
                </c:pt>
                <c:pt idx="45">
                  <c:v>93.26</c:v>
                </c:pt>
                <c:pt idx="46">
                  <c:v>93.03</c:v>
                </c:pt>
                <c:pt idx="47">
                  <c:v>93.3</c:v>
                </c:pt>
                <c:pt idx="48">
                  <c:v>93.87</c:v>
                </c:pt>
                <c:pt idx="49">
                  <c:v>94.16</c:v>
                </c:pt>
                <c:pt idx="50">
                  <c:v>94.23</c:v>
                </c:pt>
                <c:pt idx="51">
                  <c:v>95.91</c:v>
                </c:pt>
                <c:pt idx="52">
                  <c:v>95.73</c:v>
                </c:pt>
                <c:pt idx="53">
                  <c:v>94.7</c:v>
                </c:pt>
                <c:pt idx="54">
                  <c:v>95.25</c:v>
                </c:pt>
                <c:pt idx="55">
                  <c:v>96.7</c:v>
                </c:pt>
                <c:pt idx="56">
                  <c:v>96.05</c:v>
                </c:pt>
                <c:pt idx="57">
                  <c:v>96.8</c:v>
                </c:pt>
                <c:pt idx="58">
                  <c:v>97.27</c:v>
                </c:pt>
                <c:pt idx="59">
                  <c:v>97.36</c:v>
                </c:pt>
                <c:pt idx="60">
                  <c:v>98.09</c:v>
                </c:pt>
                <c:pt idx="61">
                  <c:v>98.22</c:v>
                </c:pt>
                <c:pt idx="62">
                  <c:v>98.3</c:v>
                </c:pt>
                <c:pt idx="63">
                  <c:v>97.71</c:v>
                </c:pt>
                <c:pt idx="64">
                  <c:v>97.55</c:v>
                </c:pt>
                <c:pt idx="65">
                  <c:v>97.83</c:v>
                </c:pt>
                <c:pt idx="66">
                  <c:v>96.48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38424"/>
        <c:axId val="590438816"/>
      </c:lineChart>
      <c:dateAx>
        <c:axId val="590438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38816"/>
        <c:crosses val="autoZero"/>
        <c:auto val="1"/>
        <c:lblOffset val="100"/>
        <c:baseTimeUnit val="days"/>
      </c:dateAx>
      <c:valAx>
        <c:axId val="5904388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3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42340</c:v>
                </c:pt>
                <c:pt idx="55">
                  <c:v>42339</c:v>
                </c:pt>
                <c:pt idx="56">
                  <c:v>42338</c:v>
                </c:pt>
                <c:pt idx="57">
                  <c:v>42335</c:v>
                </c:pt>
                <c:pt idx="58">
                  <c:v>42333</c:v>
                </c:pt>
                <c:pt idx="59">
                  <c:v>42332</c:v>
                </c:pt>
                <c:pt idx="60">
                  <c:v>42331</c:v>
                </c:pt>
                <c:pt idx="61">
                  <c:v>42328</c:v>
                </c:pt>
                <c:pt idx="62">
                  <c:v>42327</c:v>
                </c:pt>
                <c:pt idx="63">
                  <c:v>42326</c:v>
                </c:pt>
                <c:pt idx="64">
                  <c:v>42325</c:v>
                </c:pt>
                <c:pt idx="65">
                  <c:v>42324</c:v>
                </c:pt>
                <c:pt idx="66">
                  <c:v>42321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117.68</c:v>
                </c:pt>
                <c:pt idx="1">
                  <c:v>117.45</c:v>
                </c:pt>
                <c:pt idx="2">
                  <c:v>118.3</c:v>
                </c:pt>
                <c:pt idx="3">
                  <c:v>115.15</c:v>
                </c:pt>
                <c:pt idx="4">
                  <c:v>111.82</c:v>
                </c:pt>
                <c:pt idx="5">
                  <c:v>110.62</c:v>
                </c:pt>
                <c:pt idx="6">
                  <c:v>112.74</c:v>
                </c:pt>
                <c:pt idx="7">
                  <c:v>111.16</c:v>
                </c:pt>
                <c:pt idx="8">
                  <c:v>110.02</c:v>
                </c:pt>
                <c:pt idx="9">
                  <c:v>111.72</c:v>
                </c:pt>
                <c:pt idx="10">
                  <c:v>114.2</c:v>
                </c:pt>
                <c:pt idx="11">
                  <c:v>112.75</c:v>
                </c:pt>
                <c:pt idx="12">
                  <c:v>113.88</c:v>
                </c:pt>
                <c:pt idx="13">
                  <c:v>115.89</c:v>
                </c:pt>
                <c:pt idx="14">
                  <c:v>115.16</c:v>
                </c:pt>
                <c:pt idx="15">
                  <c:v>111.38</c:v>
                </c:pt>
                <c:pt idx="16">
                  <c:v>112.33</c:v>
                </c:pt>
                <c:pt idx="17">
                  <c:v>113.96</c:v>
                </c:pt>
                <c:pt idx="18">
                  <c:v>113.38</c:v>
                </c:pt>
                <c:pt idx="19">
                  <c:v>114.33</c:v>
                </c:pt>
                <c:pt idx="20">
                  <c:v>113.5</c:v>
                </c:pt>
                <c:pt idx="21">
                  <c:v>114.79</c:v>
                </c:pt>
                <c:pt idx="22">
                  <c:v>112.58</c:v>
                </c:pt>
                <c:pt idx="23">
                  <c:v>109.27</c:v>
                </c:pt>
                <c:pt idx="24">
                  <c:v>110.76</c:v>
                </c:pt>
                <c:pt idx="25">
                  <c:v>109.23</c:v>
                </c:pt>
                <c:pt idx="26">
                  <c:v>112.26</c:v>
                </c:pt>
                <c:pt idx="27">
                  <c:v>109.58</c:v>
                </c:pt>
                <c:pt idx="28">
                  <c:v>110.16</c:v>
                </c:pt>
                <c:pt idx="29">
                  <c:v>112.09</c:v>
                </c:pt>
                <c:pt idx="30">
                  <c:v>115.49</c:v>
                </c:pt>
                <c:pt idx="31">
                  <c:v>116.68</c:v>
                </c:pt>
                <c:pt idx="32">
                  <c:v>116.46</c:v>
                </c:pt>
                <c:pt idx="33">
                  <c:v>117.64</c:v>
                </c:pt>
                <c:pt idx="34">
                  <c:v>118.92</c:v>
                </c:pt>
                <c:pt idx="35">
                  <c:v>119.82</c:v>
                </c:pt>
                <c:pt idx="36">
                  <c:v>118.33</c:v>
                </c:pt>
                <c:pt idx="37">
                  <c:v>118.34</c:v>
                </c:pt>
                <c:pt idx="38">
                  <c:v>118.69</c:v>
                </c:pt>
                <c:pt idx="39">
                  <c:v>117.44</c:v>
                </c:pt>
                <c:pt idx="40">
                  <c:v>117.41</c:v>
                </c:pt>
                <c:pt idx="41">
                  <c:v>115.82</c:v>
                </c:pt>
                <c:pt idx="42">
                  <c:v>119.22</c:v>
                </c:pt>
                <c:pt idx="43">
                  <c:v>118.83</c:v>
                </c:pt>
                <c:pt idx="44">
                  <c:v>117.61</c:v>
                </c:pt>
                <c:pt idx="45">
                  <c:v>115.85</c:v>
                </c:pt>
                <c:pt idx="46">
                  <c:v>115.98</c:v>
                </c:pt>
                <c:pt idx="47">
                  <c:v>116.21</c:v>
                </c:pt>
                <c:pt idx="48">
                  <c:v>115.05</c:v>
                </c:pt>
                <c:pt idx="49">
                  <c:v>115.88</c:v>
                </c:pt>
                <c:pt idx="50">
                  <c:v>115.91</c:v>
                </c:pt>
                <c:pt idx="51">
                  <c:v>117.74</c:v>
                </c:pt>
                <c:pt idx="52">
                  <c:v>115</c:v>
                </c:pt>
                <c:pt idx="53">
                  <c:v>117.64</c:v>
                </c:pt>
                <c:pt idx="55">
                  <c:v>116.26</c:v>
                </c:pt>
                <c:pt idx="56">
                  <c:v>112.71</c:v>
                </c:pt>
                <c:pt idx="57">
                  <c:v>114.34</c:v>
                </c:pt>
                <c:pt idx="58">
                  <c:v>114.41</c:v>
                </c:pt>
                <c:pt idx="59">
                  <c:v>113.19</c:v>
                </c:pt>
                <c:pt idx="60">
                  <c:v>112.16</c:v>
                </c:pt>
                <c:pt idx="61">
                  <c:v>112.97</c:v>
                </c:pt>
                <c:pt idx="62">
                  <c:v>110.63</c:v>
                </c:pt>
                <c:pt idx="63">
                  <c:v>117.25</c:v>
                </c:pt>
                <c:pt idx="64">
                  <c:v>114.39</c:v>
                </c:pt>
                <c:pt idx="65">
                  <c:v>113.82</c:v>
                </c:pt>
                <c:pt idx="66">
                  <c:v>111.41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39992"/>
        <c:axId val="590441560"/>
      </c:lineChart>
      <c:dateAx>
        <c:axId val="590439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41560"/>
        <c:crosses val="autoZero"/>
        <c:auto val="1"/>
        <c:lblOffset val="100"/>
        <c:baseTimeUnit val="days"/>
      </c:dateAx>
      <c:valAx>
        <c:axId val="590441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3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261.39999999999998</c:v>
                </c:pt>
                <c:pt idx="1">
                  <c:v>259.05</c:v>
                </c:pt>
                <c:pt idx="2">
                  <c:v>265.63</c:v>
                </c:pt>
                <c:pt idx="3">
                  <c:v>256.52</c:v>
                </c:pt>
                <c:pt idx="4">
                  <c:v>247.22</c:v>
                </c:pt>
                <c:pt idx="5">
                  <c:v>245.11</c:v>
                </c:pt>
                <c:pt idx="6">
                  <c:v>252.2</c:v>
                </c:pt>
                <c:pt idx="7">
                  <c:v>249.99</c:v>
                </c:pt>
                <c:pt idx="8">
                  <c:v>250.77</c:v>
                </c:pt>
                <c:pt idx="9">
                  <c:v>263.86</c:v>
                </c:pt>
                <c:pt idx="10">
                  <c:v>273.27</c:v>
                </c:pt>
                <c:pt idx="11">
                  <c:v>270.43</c:v>
                </c:pt>
                <c:pt idx="12">
                  <c:v>266.06</c:v>
                </c:pt>
                <c:pt idx="13">
                  <c:v>273.45</c:v>
                </c:pt>
                <c:pt idx="14">
                  <c:v>273.06</c:v>
                </c:pt>
                <c:pt idx="15">
                  <c:v>265.95999999999998</c:v>
                </c:pt>
                <c:pt idx="16">
                  <c:v>273.26</c:v>
                </c:pt>
                <c:pt idx="17">
                  <c:v>259.87</c:v>
                </c:pt>
                <c:pt idx="18">
                  <c:v>262.10000000000002</c:v>
                </c:pt>
                <c:pt idx="19">
                  <c:v>268.92</c:v>
                </c:pt>
                <c:pt idx="20">
                  <c:v>262.08</c:v>
                </c:pt>
                <c:pt idx="21">
                  <c:v>269.35000000000002</c:v>
                </c:pt>
                <c:pt idx="22">
                  <c:v>269.85000000000002</c:v>
                </c:pt>
                <c:pt idx="23">
                  <c:v>273.33</c:v>
                </c:pt>
                <c:pt idx="24">
                  <c:v>280.57</c:v>
                </c:pt>
                <c:pt idx="25">
                  <c:v>267.25</c:v>
                </c:pt>
                <c:pt idx="26">
                  <c:v>278.67</c:v>
                </c:pt>
                <c:pt idx="27">
                  <c:v>278.54000000000002</c:v>
                </c:pt>
                <c:pt idx="28">
                  <c:v>280.58999999999997</c:v>
                </c:pt>
                <c:pt idx="29">
                  <c:v>284.01</c:v>
                </c:pt>
                <c:pt idx="30">
                  <c:v>293.68</c:v>
                </c:pt>
                <c:pt idx="31">
                  <c:v>296.7</c:v>
                </c:pt>
                <c:pt idx="32">
                  <c:v>294.62</c:v>
                </c:pt>
                <c:pt idx="33">
                  <c:v>306.35000000000002</c:v>
                </c:pt>
                <c:pt idx="34">
                  <c:v>308.33999999999997</c:v>
                </c:pt>
                <c:pt idx="35">
                  <c:v>309.67</c:v>
                </c:pt>
                <c:pt idx="36">
                  <c:v>303.83999999999997</c:v>
                </c:pt>
                <c:pt idx="37">
                  <c:v>302.29000000000002</c:v>
                </c:pt>
                <c:pt idx="38">
                  <c:v>300.19</c:v>
                </c:pt>
                <c:pt idx="39">
                  <c:v>300.77</c:v>
                </c:pt>
                <c:pt idx="40">
                  <c:v>297.56</c:v>
                </c:pt>
                <c:pt idx="41">
                  <c:v>293.37</c:v>
                </c:pt>
                <c:pt idx="42">
                  <c:v>297.17</c:v>
                </c:pt>
                <c:pt idx="43">
                  <c:v>299.29000000000002</c:v>
                </c:pt>
                <c:pt idx="44">
                  <c:v>289.11</c:v>
                </c:pt>
                <c:pt idx="45">
                  <c:v>282.39</c:v>
                </c:pt>
                <c:pt idx="46">
                  <c:v>283.45999999999998</c:v>
                </c:pt>
                <c:pt idx="47">
                  <c:v>289.88</c:v>
                </c:pt>
                <c:pt idx="48">
                  <c:v>284.61</c:v>
                </c:pt>
                <c:pt idx="49">
                  <c:v>288.45999999999998</c:v>
                </c:pt>
                <c:pt idx="50">
                  <c:v>281.63</c:v>
                </c:pt>
                <c:pt idx="51">
                  <c:v>284.45</c:v>
                </c:pt>
                <c:pt idx="52">
                  <c:v>275.44</c:v>
                </c:pt>
                <c:pt idx="53">
                  <c:v>284.95999999999998</c:v>
                </c:pt>
                <c:pt idx="54">
                  <c:v>290.04000000000002</c:v>
                </c:pt>
                <c:pt idx="55">
                  <c:v>286.86</c:v>
                </c:pt>
                <c:pt idx="56">
                  <c:v>293.20999999999998</c:v>
                </c:pt>
                <c:pt idx="57">
                  <c:v>292.3</c:v>
                </c:pt>
                <c:pt idx="58">
                  <c:v>289.14999999999998</c:v>
                </c:pt>
                <c:pt idx="59">
                  <c:v>294.25</c:v>
                </c:pt>
                <c:pt idx="60">
                  <c:v>290.16000000000003</c:v>
                </c:pt>
                <c:pt idx="61">
                  <c:v>289.44</c:v>
                </c:pt>
                <c:pt idx="62">
                  <c:v>291.98</c:v>
                </c:pt>
                <c:pt idx="63">
                  <c:v>279.49</c:v>
                </c:pt>
                <c:pt idx="64">
                  <c:v>283.52999999999997</c:v>
                </c:pt>
                <c:pt idx="65">
                  <c:v>284.83999999999997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43520"/>
        <c:axId val="590436072"/>
      </c:lineChart>
      <c:dateAx>
        <c:axId val="59044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36072"/>
        <c:crosses val="autoZero"/>
        <c:auto val="1"/>
        <c:lblOffset val="100"/>
        <c:baseTimeUnit val="days"/>
      </c:dateAx>
      <c:valAx>
        <c:axId val="5904360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5.5</c:v>
                </c:pt>
                <c:pt idx="1">
                  <c:v>5.25</c:v>
                </c:pt>
                <c:pt idx="2">
                  <c:v>5.2</c:v>
                </c:pt>
                <c:pt idx="3">
                  <c:v>4.96</c:v>
                </c:pt>
                <c:pt idx="4">
                  <c:v>4.8</c:v>
                </c:pt>
                <c:pt idx="5">
                  <c:v>4.75</c:v>
                </c:pt>
                <c:pt idx="6">
                  <c:v>4.57</c:v>
                </c:pt>
                <c:pt idx="7">
                  <c:v>4.1500000000000004</c:v>
                </c:pt>
                <c:pt idx="8">
                  <c:v>4.1900000000000004</c:v>
                </c:pt>
                <c:pt idx="9">
                  <c:v>4.4400000000000004</c:v>
                </c:pt>
                <c:pt idx="10">
                  <c:v>4.71</c:v>
                </c:pt>
                <c:pt idx="11">
                  <c:v>4.7</c:v>
                </c:pt>
                <c:pt idx="12">
                  <c:v>4.8099999999999996</c:v>
                </c:pt>
                <c:pt idx="13">
                  <c:v>5.22</c:v>
                </c:pt>
                <c:pt idx="14">
                  <c:v>6</c:v>
                </c:pt>
                <c:pt idx="15">
                  <c:v>5.84</c:v>
                </c:pt>
                <c:pt idx="16">
                  <c:v>6.3</c:v>
                </c:pt>
                <c:pt idx="17">
                  <c:v>6.5</c:v>
                </c:pt>
                <c:pt idx="18">
                  <c:v>6.38</c:v>
                </c:pt>
                <c:pt idx="19">
                  <c:v>6.42</c:v>
                </c:pt>
                <c:pt idx="20">
                  <c:v>6.24</c:v>
                </c:pt>
                <c:pt idx="21">
                  <c:v>6.18</c:v>
                </c:pt>
                <c:pt idx="22">
                  <c:v>5.75</c:v>
                </c:pt>
                <c:pt idx="23">
                  <c:v>6.07</c:v>
                </c:pt>
                <c:pt idx="24">
                  <c:v>6</c:v>
                </c:pt>
                <c:pt idx="25">
                  <c:v>6.02</c:v>
                </c:pt>
                <c:pt idx="26">
                  <c:v>6.33</c:v>
                </c:pt>
                <c:pt idx="27">
                  <c:v>6.65</c:v>
                </c:pt>
                <c:pt idx="28">
                  <c:v>7.28</c:v>
                </c:pt>
                <c:pt idx="29">
                  <c:v>7.51</c:v>
                </c:pt>
                <c:pt idx="30">
                  <c:v>7.95</c:v>
                </c:pt>
                <c:pt idx="31">
                  <c:v>8.8000000000000007</c:v>
                </c:pt>
                <c:pt idx="32">
                  <c:v>8.69</c:v>
                </c:pt>
                <c:pt idx="33">
                  <c:v>9.52</c:v>
                </c:pt>
                <c:pt idx="34">
                  <c:v>9.4499999999999993</c:v>
                </c:pt>
                <c:pt idx="35">
                  <c:v>9.7100000000000009</c:v>
                </c:pt>
                <c:pt idx="36">
                  <c:v>9.26</c:v>
                </c:pt>
                <c:pt idx="37">
                  <c:v>9.5500000000000007</c:v>
                </c:pt>
                <c:pt idx="38">
                  <c:v>9.31</c:v>
                </c:pt>
                <c:pt idx="39">
                  <c:v>9.27</c:v>
                </c:pt>
                <c:pt idx="40">
                  <c:v>9.69</c:v>
                </c:pt>
                <c:pt idx="41">
                  <c:v>9.23</c:v>
                </c:pt>
                <c:pt idx="42">
                  <c:v>8.9</c:v>
                </c:pt>
                <c:pt idx="43">
                  <c:v>9.09</c:v>
                </c:pt>
                <c:pt idx="44">
                  <c:v>8.85</c:v>
                </c:pt>
                <c:pt idx="45">
                  <c:v>8.36</c:v>
                </c:pt>
                <c:pt idx="46">
                  <c:v>8.5399999999999991</c:v>
                </c:pt>
                <c:pt idx="47">
                  <c:v>9.0500000000000007</c:v>
                </c:pt>
                <c:pt idx="48">
                  <c:v>9.0399999999999991</c:v>
                </c:pt>
                <c:pt idx="49">
                  <c:v>9.2899999999999991</c:v>
                </c:pt>
                <c:pt idx="50">
                  <c:v>8.93</c:v>
                </c:pt>
                <c:pt idx="51">
                  <c:v>9.3800000000000008</c:v>
                </c:pt>
                <c:pt idx="52">
                  <c:v>9.24</c:v>
                </c:pt>
                <c:pt idx="53">
                  <c:v>10.02</c:v>
                </c:pt>
                <c:pt idx="54">
                  <c:v>9.94</c:v>
                </c:pt>
                <c:pt idx="55">
                  <c:v>10.48</c:v>
                </c:pt>
                <c:pt idx="56">
                  <c:v>10.1</c:v>
                </c:pt>
                <c:pt idx="57">
                  <c:v>9.9499999999999993</c:v>
                </c:pt>
                <c:pt idx="58">
                  <c:v>9.51</c:v>
                </c:pt>
                <c:pt idx="59">
                  <c:v>9.15</c:v>
                </c:pt>
                <c:pt idx="60">
                  <c:v>8.7100000000000009</c:v>
                </c:pt>
                <c:pt idx="61">
                  <c:v>8.4600000000000009</c:v>
                </c:pt>
                <c:pt idx="62">
                  <c:v>8.43</c:v>
                </c:pt>
                <c:pt idx="63">
                  <c:v>7.75</c:v>
                </c:pt>
                <c:pt idx="64">
                  <c:v>7.84</c:v>
                </c:pt>
                <c:pt idx="65">
                  <c:v>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45088"/>
        <c:axId val="590445480"/>
      </c:lineChart>
      <c:dateAx>
        <c:axId val="59044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45480"/>
        <c:crosses val="autoZero"/>
        <c:auto val="1"/>
        <c:lblOffset val="100"/>
        <c:baseTimeUnit val="days"/>
      </c:dateAx>
      <c:valAx>
        <c:axId val="59044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4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42419</c:v>
                </c:pt>
                <c:pt idx="1">
                  <c:v>42418</c:v>
                </c:pt>
                <c:pt idx="2">
                  <c:v>42417</c:v>
                </c:pt>
                <c:pt idx="3">
                  <c:v>42416</c:v>
                </c:pt>
                <c:pt idx="4">
                  <c:v>42412</c:v>
                </c:pt>
                <c:pt idx="5">
                  <c:v>42411</c:v>
                </c:pt>
                <c:pt idx="6">
                  <c:v>42410</c:v>
                </c:pt>
                <c:pt idx="7">
                  <c:v>42409</c:v>
                </c:pt>
                <c:pt idx="8">
                  <c:v>42408</c:v>
                </c:pt>
                <c:pt idx="9">
                  <c:v>42405</c:v>
                </c:pt>
                <c:pt idx="10">
                  <c:v>42404</c:v>
                </c:pt>
                <c:pt idx="11">
                  <c:v>42403</c:v>
                </c:pt>
                <c:pt idx="12">
                  <c:v>42402</c:v>
                </c:pt>
                <c:pt idx="13">
                  <c:v>42401</c:v>
                </c:pt>
                <c:pt idx="14">
                  <c:v>42398</c:v>
                </c:pt>
                <c:pt idx="15">
                  <c:v>42397</c:v>
                </c:pt>
                <c:pt idx="16">
                  <c:v>42396</c:v>
                </c:pt>
                <c:pt idx="17">
                  <c:v>42395</c:v>
                </c:pt>
                <c:pt idx="18">
                  <c:v>42394</c:v>
                </c:pt>
                <c:pt idx="19">
                  <c:v>42391</c:v>
                </c:pt>
                <c:pt idx="20">
                  <c:v>42390</c:v>
                </c:pt>
                <c:pt idx="21">
                  <c:v>42389</c:v>
                </c:pt>
                <c:pt idx="22">
                  <c:v>42388</c:v>
                </c:pt>
                <c:pt idx="23">
                  <c:v>42384</c:v>
                </c:pt>
                <c:pt idx="24">
                  <c:v>42383</c:v>
                </c:pt>
                <c:pt idx="25">
                  <c:v>42382</c:v>
                </c:pt>
                <c:pt idx="26">
                  <c:v>42381</c:v>
                </c:pt>
                <c:pt idx="27">
                  <c:v>42380</c:v>
                </c:pt>
                <c:pt idx="28">
                  <c:v>42377</c:v>
                </c:pt>
                <c:pt idx="29">
                  <c:v>42376</c:v>
                </c:pt>
                <c:pt idx="30">
                  <c:v>42375</c:v>
                </c:pt>
                <c:pt idx="31">
                  <c:v>42374</c:v>
                </c:pt>
                <c:pt idx="32">
                  <c:v>42373</c:v>
                </c:pt>
                <c:pt idx="33">
                  <c:v>42369</c:v>
                </c:pt>
                <c:pt idx="34">
                  <c:v>42368</c:v>
                </c:pt>
                <c:pt idx="35">
                  <c:v>42367</c:v>
                </c:pt>
                <c:pt idx="36">
                  <c:v>42366</c:v>
                </c:pt>
                <c:pt idx="37">
                  <c:v>42362</c:v>
                </c:pt>
                <c:pt idx="38">
                  <c:v>42361</c:v>
                </c:pt>
                <c:pt idx="39">
                  <c:v>42360</c:v>
                </c:pt>
                <c:pt idx="40">
                  <c:v>42359</c:v>
                </c:pt>
                <c:pt idx="41">
                  <c:v>42356</c:v>
                </c:pt>
                <c:pt idx="42">
                  <c:v>42355</c:v>
                </c:pt>
                <c:pt idx="43">
                  <c:v>42354</c:v>
                </c:pt>
                <c:pt idx="44">
                  <c:v>42353</c:v>
                </c:pt>
                <c:pt idx="45">
                  <c:v>42352</c:v>
                </c:pt>
                <c:pt idx="46">
                  <c:v>42349</c:v>
                </c:pt>
                <c:pt idx="47">
                  <c:v>42348</c:v>
                </c:pt>
                <c:pt idx="48">
                  <c:v>42347</c:v>
                </c:pt>
                <c:pt idx="49">
                  <c:v>42346</c:v>
                </c:pt>
                <c:pt idx="50">
                  <c:v>42345</c:v>
                </c:pt>
                <c:pt idx="51">
                  <c:v>42342</c:v>
                </c:pt>
                <c:pt idx="52">
                  <c:v>42341</c:v>
                </c:pt>
                <c:pt idx="53">
                  <c:v>42340</c:v>
                </c:pt>
                <c:pt idx="54">
                  <c:v>42339</c:v>
                </c:pt>
                <c:pt idx="55">
                  <c:v>42338</c:v>
                </c:pt>
                <c:pt idx="56">
                  <c:v>42335</c:v>
                </c:pt>
                <c:pt idx="57">
                  <c:v>42333</c:v>
                </c:pt>
                <c:pt idx="58">
                  <c:v>42332</c:v>
                </c:pt>
                <c:pt idx="59">
                  <c:v>42331</c:v>
                </c:pt>
                <c:pt idx="60">
                  <c:v>42328</c:v>
                </c:pt>
                <c:pt idx="61">
                  <c:v>42327</c:v>
                </c:pt>
                <c:pt idx="62">
                  <c:v>42326</c:v>
                </c:pt>
                <c:pt idx="63">
                  <c:v>42325</c:v>
                </c:pt>
                <c:pt idx="64">
                  <c:v>42324</c:v>
                </c:pt>
                <c:pt idx="65">
                  <c:v>42321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52.05</c:v>
                </c:pt>
                <c:pt idx="1">
                  <c:v>52.1</c:v>
                </c:pt>
                <c:pt idx="2">
                  <c:v>54.24</c:v>
                </c:pt>
                <c:pt idx="3">
                  <c:v>50.13</c:v>
                </c:pt>
                <c:pt idx="4">
                  <c:v>44.55</c:v>
                </c:pt>
                <c:pt idx="5">
                  <c:v>43.32</c:v>
                </c:pt>
                <c:pt idx="6">
                  <c:v>45.99</c:v>
                </c:pt>
                <c:pt idx="7">
                  <c:v>45.79</c:v>
                </c:pt>
                <c:pt idx="8">
                  <c:v>45.63</c:v>
                </c:pt>
                <c:pt idx="9">
                  <c:v>47.73</c:v>
                </c:pt>
                <c:pt idx="10">
                  <c:v>49.28</c:v>
                </c:pt>
                <c:pt idx="11">
                  <c:v>45.3</c:v>
                </c:pt>
                <c:pt idx="12">
                  <c:v>42.37</c:v>
                </c:pt>
                <c:pt idx="13">
                  <c:v>45.75</c:v>
                </c:pt>
                <c:pt idx="14">
                  <c:v>41.36</c:v>
                </c:pt>
                <c:pt idx="15">
                  <c:v>39.659999999999997</c:v>
                </c:pt>
                <c:pt idx="16">
                  <c:v>42.53</c:v>
                </c:pt>
                <c:pt idx="17">
                  <c:v>45.24</c:v>
                </c:pt>
                <c:pt idx="18">
                  <c:v>44.14</c:v>
                </c:pt>
                <c:pt idx="19">
                  <c:v>45.03</c:v>
                </c:pt>
                <c:pt idx="20">
                  <c:v>42.96</c:v>
                </c:pt>
                <c:pt idx="21">
                  <c:v>44.22</c:v>
                </c:pt>
                <c:pt idx="22">
                  <c:v>41.84</c:v>
                </c:pt>
                <c:pt idx="23">
                  <c:v>44.64</c:v>
                </c:pt>
                <c:pt idx="24">
                  <c:v>46.57</c:v>
                </c:pt>
                <c:pt idx="25">
                  <c:v>46.17</c:v>
                </c:pt>
                <c:pt idx="26">
                  <c:v>49.81</c:v>
                </c:pt>
                <c:pt idx="27">
                  <c:v>44.64</c:v>
                </c:pt>
                <c:pt idx="28">
                  <c:v>55.44</c:v>
                </c:pt>
                <c:pt idx="29">
                  <c:v>54.1</c:v>
                </c:pt>
                <c:pt idx="30">
                  <c:v>58.23</c:v>
                </c:pt>
                <c:pt idx="31">
                  <c:v>61.76</c:v>
                </c:pt>
                <c:pt idx="32">
                  <c:v>63.47</c:v>
                </c:pt>
                <c:pt idx="33">
                  <c:v>64.22</c:v>
                </c:pt>
                <c:pt idx="34">
                  <c:v>64.760000000000005</c:v>
                </c:pt>
                <c:pt idx="35">
                  <c:v>66.17</c:v>
                </c:pt>
                <c:pt idx="36">
                  <c:v>65.66</c:v>
                </c:pt>
                <c:pt idx="37">
                  <c:v>66.180000000000007</c:v>
                </c:pt>
                <c:pt idx="38">
                  <c:v>65.180000000000007</c:v>
                </c:pt>
                <c:pt idx="39">
                  <c:v>64.12</c:v>
                </c:pt>
                <c:pt idx="40">
                  <c:v>64.569999999999993</c:v>
                </c:pt>
                <c:pt idx="41">
                  <c:v>61.45</c:v>
                </c:pt>
                <c:pt idx="42">
                  <c:v>62</c:v>
                </c:pt>
                <c:pt idx="43">
                  <c:v>60.44</c:v>
                </c:pt>
                <c:pt idx="44">
                  <c:v>59.97</c:v>
                </c:pt>
                <c:pt idx="45">
                  <c:v>58.12</c:v>
                </c:pt>
                <c:pt idx="46">
                  <c:v>59.52</c:v>
                </c:pt>
                <c:pt idx="47">
                  <c:v>61.75</c:v>
                </c:pt>
                <c:pt idx="48">
                  <c:v>56.53</c:v>
                </c:pt>
                <c:pt idx="49">
                  <c:v>55.24</c:v>
                </c:pt>
                <c:pt idx="50">
                  <c:v>52.25</c:v>
                </c:pt>
                <c:pt idx="51">
                  <c:v>83.66</c:v>
                </c:pt>
                <c:pt idx="52">
                  <c:v>78.61</c:v>
                </c:pt>
                <c:pt idx="53">
                  <c:v>81.010000000000005</c:v>
                </c:pt>
                <c:pt idx="54">
                  <c:v>80.34</c:v>
                </c:pt>
                <c:pt idx="55">
                  <c:v>88.75</c:v>
                </c:pt>
                <c:pt idx="56">
                  <c:v>92.6</c:v>
                </c:pt>
                <c:pt idx="57">
                  <c:v>89.47</c:v>
                </c:pt>
                <c:pt idx="58">
                  <c:v>85.21</c:v>
                </c:pt>
                <c:pt idx="59">
                  <c:v>84.68</c:v>
                </c:pt>
                <c:pt idx="60">
                  <c:v>80.650000000000006</c:v>
                </c:pt>
                <c:pt idx="61">
                  <c:v>79.73</c:v>
                </c:pt>
                <c:pt idx="62">
                  <c:v>84.59</c:v>
                </c:pt>
                <c:pt idx="63">
                  <c:v>79.61</c:v>
                </c:pt>
                <c:pt idx="64">
                  <c:v>74.45</c:v>
                </c:pt>
                <c:pt idx="65">
                  <c:v>71.39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454104"/>
        <c:axId val="590455280"/>
      </c:lineChart>
      <c:dateAx>
        <c:axId val="59045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55280"/>
        <c:crosses val="autoZero"/>
        <c:auto val="1"/>
        <c:lblOffset val="100"/>
        <c:baseTimeUnit val="days"/>
      </c:dateAx>
      <c:valAx>
        <c:axId val="590455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45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HES" backgroundRefres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connectionId="6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queryTable" Target="../queryTables/queryTable48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30"/>
  <sheetViews>
    <sheetView zoomScaleNormal="100" workbookViewId="0">
      <pane ySplit="1" topLeftCell="A116" activePane="bottomLeft" state="frozen"/>
      <selection pane="bottomLeft" activeCell="H139" sqref="H139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153</v>
      </c>
      <c r="D1" s="215" t="s">
        <v>155</v>
      </c>
      <c r="E1" s="215" t="s">
        <v>175</v>
      </c>
      <c r="F1" s="215" t="s">
        <v>197</v>
      </c>
      <c r="G1" s="215" t="s">
        <v>198</v>
      </c>
      <c r="H1" s="215" t="s">
        <v>199</v>
      </c>
      <c r="I1" s="212" t="s">
        <v>89</v>
      </c>
      <c r="J1" s="212" t="s">
        <v>91</v>
      </c>
      <c r="K1" s="214" t="s">
        <v>152</v>
      </c>
      <c r="L1" s="214" t="s">
        <v>154</v>
      </c>
      <c r="M1" s="216" t="s">
        <v>103</v>
      </c>
      <c r="N1" s="216" t="s">
        <v>76</v>
      </c>
      <c r="O1" s="214" t="s">
        <v>192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193</v>
      </c>
      <c r="Q2" s="282">
        <f>LOOKUP(2,1/(M:M&lt;&gt;""),M:M)</f>
        <v>-163854.82999999999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K3/I2</f>
        <v>-8.0417694124654861E-3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194</v>
      </c>
      <c r="Q3" s="283">
        <f>COUNTIF(O:O, TRUE)/COUNTIF(O:O,FALSE)</f>
        <v>0.80281690140845074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K4/I3</f>
        <v>-2.5482506658014836E-2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-3.2524298214936055E-2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-2.1888984728108792E-2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-4.0659206524195309E-2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0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-2.1731481297339698E-2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2.8485948436865412E-2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5.5860187155806013E-2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2.3934324252556174E-2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1.0585304863209938E-2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-2.8148778966474854E-2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1.1680785753900852E-2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6.7091586180176802E-3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-1.0023601899875863E-2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2.0572161214097585E-2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-2.9617033544130814E-2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4.9644106040017139E-3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-1.0833668661172126E-3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9.2128322084558591E-3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7.7081858775227595E-3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1.4233731879895812E-2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2.1251486285031439E-3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-2.7832216435752195E-2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6.5075406543850202E-3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-2.4254577051669533E-2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-2.0719373487690471E-2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5.0554781984579267E-3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-8.4534625484500754E-3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-3.693033922780295E-2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1.0247357511262472E-2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2.762682152208254E-2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4.0856565785595605E-3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4.4612036219254164E-2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3.4854530416691835E-2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4.0025625088474254E-3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6.3806469857625942E-3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8.119149791415264E-3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-7.9983906470236527E-3</v>
      </c>
      <c r="M40" s="327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-8.0329966068027839E-3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-3.8931479804411363E-3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8.1755101363105796E-3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9.5245706681881745E-3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-4.8580865013311799E-3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4.6835178414057167E-3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-1.8165964348016334E-2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-1.9539428665532883E-2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9.2675843931406664E-3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3.93341526051081E-3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-2.2532446812437011E-2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-3.9263789393489401E-3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2.2453122421969698E-2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-1.1944174015418261E-2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5.759929286588846E-3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1.6547060490376297E-2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1.4905862832264393E-2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-1.697686672107972E-3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-2.7614704667510995E-2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-6.0622615502874632E-4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-1.2630690907849275E-2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-1.5180893836504894E-3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-1.472984632036977E-2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-1.7235691520022196E-2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1.3543343079366133E-3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2.047711747108992E-2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-4.2916348036146747E-3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29" si="116">K68/I67</f>
        <v>2.4065930740545461E-2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5.5256863920240375E-3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-4.8380422801687275E-3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7.3505472252554807E-3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1.309399478325456E-2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2.6855581521394098E-3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-6.9560726644265942E-3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7.8737204697855653E-3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8.4285175534382795E-3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-3.2220572571707129E-2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-1.4902763175506763E-2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0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-9.7724481955115388E-3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-5.1337217152231981E-2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-8.1773337445149464E-3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-4.5383508722334669E-3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1.5005081183742965E-2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-2.8595586555834832E-2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6.8362037665776303E-3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-6.3590146242326487E-3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1.5728451102314352E-2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1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-1.6261109302811161E-2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0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2.0305994336769022E-3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1.6871554400359711E-2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3.3592138968197506E-3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2.7434742874851679E-2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2.2320649730403676E-3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-2.1233899711445021E-2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5.6379132055478813E-3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-2.5163165912162881E-2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8.9014356372278634E-3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8.950733398253816E-3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7.3019081286623787E-3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-5.7970012373646844E-2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-3.503878224814979E-2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-1.5994590671607068E-2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-4.5242893231630298E-2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-2.2372076812491589E-2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-4.8552671345394142E-2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3.0945496004333228E-2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7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-6.619740195164403E-2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-3.0876523776875723E-2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-1.1152308691906121E-2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6.6903119795536106E-2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2.0029294308661447E-2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-7.0177176127795435E-2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2.5676525055364861E-2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1.4231448219445353E-2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7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2.027873119686888E-2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6.1763832767924937E-2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2">
        <v>42401</v>
      </c>
      <c r="C117" s="333">
        <v>1939.38</v>
      </c>
      <c r="D117" s="225">
        <f t="shared" si="284"/>
        <v>-4.4324413474616542E-4</v>
      </c>
      <c r="E117" s="334">
        <f t="shared" si="285"/>
        <v>-7.755750461368692E-2</v>
      </c>
      <c r="F117" s="335">
        <v>4620.3599999999997</v>
      </c>
      <c r="G117" s="225">
        <f t="shared" si="260"/>
        <v>1.3892651632548803E-3</v>
      </c>
      <c r="H117" s="336">
        <f t="shared" si="261"/>
        <v>-9.2570261405817339E-2</v>
      </c>
      <c r="I117" s="337">
        <v>271687.27</v>
      </c>
      <c r="J117" s="338">
        <v>400000</v>
      </c>
      <c r="K117" s="338">
        <f t="shared" ref="K117" si="294">I117-I116-J117+J116</f>
        <v>-854.3399999999674</v>
      </c>
      <c r="L117" s="225">
        <f t="shared" si="116"/>
        <v>-3.1347139983504443E-3</v>
      </c>
      <c r="M117" s="339">
        <f t="shared" ref="M117:M118" si="295">I117-J117</f>
        <v>-128312.72999999998</v>
      </c>
      <c r="N117" s="340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2">
        <v>42402</v>
      </c>
      <c r="C118" s="333">
        <v>1903.03</v>
      </c>
      <c r="D118" s="225">
        <f t="shared" si="284"/>
        <v>-1.8743103466056232E-2</v>
      </c>
      <c r="E118" s="334">
        <f t="shared" si="285"/>
        <v>-9.484693974619969E-2</v>
      </c>
      <c r="F118" s="335">
        <v>4516.9399999999996</v>
      </c>
      <c r="G118" s="225">
        <f t="shared" si="260"/>
        <v>-2.2383537213550478E-2</v>
      </c>
      <c r="H118" s="336">
        <f t="shared" si="261"/>
        <v>-0.11288174872832261</v>
      </c>
      <c r="I118" s="337">
        <v>258167.62</v>
      </c>
      <c r="J118" s="338">
        <v>400000</v>
      </c>
      <c r="K118" s="338">
        <f t="shared" ref="K118" si="298">I118-I117-J118+J117</f>
        <v>-13519.650000000023</v>
      </c>
      <c r="L118" s="225">
        <f t="shared" si="116"/>
        <v>-4.9761808862078899E-2</v>
      </c>
      <c r="M118" s="339">
        <f t="shared" si="295"/>
        <v>-141832.38</v>
      </c>
      <c r="N118" s="340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2">
        <v>42403</v>
      </c>
      <c r="C119" s="333">
        <v>1912.53</v>
      </c>
      <c r="D119" s="225">
        <f t="shared" si="284"/>
        <v>4.9920390114711801E-3</v>
      </c>
      <c r="E119" s="334">
        <f t="shared" si="285"/>
        <v>-9.0328380358060192E-2</v>
      </c>
      <c r="F119" s="335">
        <v>4504.2299999999996</v>
      </c>
      <c r="G119" s="225">
        <f t="shared" si="260"/>
        <v>-2.8138518554596779E-3</v>
      </c>
      <c r="H119" s="336">
        <f t="shared" si="261"/>
        <v>-0.11537796806567556</v>
      </c>
      <c r="I119" s="337">
        <v>270997.09999999998</v>
      </c>
      <c r="J119" s="338">
        <v>400000</v>
      </c>
      <c r="K119" s="338">
        <f t="shared" ref="K119" si="299">I119-I118-J119+J118</f>
        <v>12829.479999999981</v>
      </c>
      <c r="L119" s="225">
        <f t="shared" si="116"/>
        <v>4.9694380728303504E-2</v>
      </c>
      <c r="M119" s="339">
        <f t="shared" ref="M119" si="300">I119-J119</f>
        <v>-129002.90000000002</v>
      </c>
      <c r="N119" s="340">
        <f t="shared" ref="N119" si="301">M119/J119</f>
        <v>-0.32250725000000008</v>
      </c>
      <c r="O119" s="278" t="b">
        <f t="shared" ref="O119" si="302">L119&gt;D119</f>
        <v>1</v>
      </c>
    </row>
    <row r="120" spans="2:15" ht="20.100000000000001" customHeight="1" x14ac:dyDescent="0.25">
      <c r="B120" s="332">
        <v>42404</v>
      </c>
      <c r="C120" s="333">
        <v>1915.45</v>
      </c>
      <c r="D120" s="225">
        <f t="shared" si="284"/>
        <v>1.5267734362337181E-3</v>
      </c>
      <c r="E120" s="334">
        <f t="shared" si="285"/>
        <v>-8.8939517893495176E-2</v>
      </c>
      <c r="F120" s="335">
        <v>4509.55</v>
      </c>
      <c r="G120" s="225">
        <f t="shared" si="260"/>
        <v>1.1811119769640137E-3</v>
      </c>
      <c r="H120" s="336">
        <f t="shared" si="261"/>
        <v>-0.1143331303886717</v>
      </c>
      <c r="I120" s="337">
        <v>272162.3</v>
      </c>
      <c r="J120" s="338">
        <v>400000</v>
      </c>
      <c r="K120" s="338">
        <f t="shared" ref="K120" si="303">I120-I119-J120+J119</f>
        <v>1165.2000000000116</v>
      </c>
      <c r="L120" s="225">
        <f t="shared" si="116"/>
        <v>4.2996770076137777E-3</v>
      </c>
      <c r="M120" s="339">
        <f t="shared" ref="M120" si="304">I120-J120</f>
        <v>-127837.70000000001</v>
      </c>
      <c r="N120" s="340">
        <f t="shared" ref="N120" si="305">M120/J120</f>
        <v>-0.31959425000000002</v>
      </c>
      <c r="O120" s="278" t="b">
        <f t="shared" ref="O120" si="306">L120&gt;D120</f>
        <v>1</v>
      </c>
    </row>
    <row r="121" spans="2:15" ht="20.100000000000001" customHeight="1" x14ac:dyDescent="0.25">
      <c r="B121" s="332">
        <v>42405</v>
      </c>
      <c r="C121" s="333">
        <v>1880.02</v>
      </c>
      <c r="D121" s="225">
        <f t="shared" si="284"/>
        <v>-1.8496958939152711E-2</v>
      </c>
      <c r="E121" s="334">
        <f t="shared" si="285"/>
        <v>-0.10579136622210387</v>
      </c>
      <c r="F121" s="335">
        <v>4363.1400000000003</v>
      </c>
      <c r="G121" s="225">
        <f t="shared" si="260"/>
        <v>-3.2466654100741725E-2</v>
      </c>
      <c r="H121" s="336">
        <f t="shared" si="261"/>
        <v>-0.1430877702928294</v>
      </c>
      <c r="I121" s="337">
        <v>257957.43</v>
      </c>
      <c r="J121" s="338">
        <v>400000</v>
      </c>
      <c r="K121" s="338">
        <f t="shared" ref="K121:K122" si="307">I121-I120-J121+J120</f>
        <v>-14204.869999999995</v>
      </c>
      <c r="L121" s="225">
        <f t="shared" si="116"/>
        <v>-5.2192643874629206E-2</v>
      </c>
      <c r="M121" s="339">
        <f t="shared" ref="M121:M122" si="308">I121-J121</f>
        <v>-142042.57</v>
      </c>
      <c r="N121" s="340">
        <f t="shared" ref="N121:N122" si="309">M121/J121</f>
        <v>-0.355106425</v>
      </c>
      <c r="O121" s="278" t="b">
        <f t="shared" ref="O121:O122" si="310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7" si="311">(F122-F$2)/F$2</f>
        <v>-0.15867981224345501</v>
      </c>
      <c r="I122" s="291">
        <v>244544.61</v>
      </c>
      <c r="J122" s="227">
        <v>400000</v>
      </c>
      <c r="K122" s="227">
        <f t="shared" si="307"/>
        <v>-13412.820000000007</v>
      </c>
      <c r="L122" s="225">
        <f t="shared" si="116"/>
        <v>-5.1996253800481756E-2</v>
      </c>
      <c r="M122" s="239">
        <f t="shared" si="308"/>
        <v>-155455.39000000001</v>
      </c>
      <c r="N122" s="241">
        <f t="shared" si="309"/>
        <v>-0.38863847500000004</v>
      </c>
      <c r="O122" s="278" t="b">
        <f t="shared" si="310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1"/>
        <v>-0.16162381915666665</v>
      </c>
      <c r="I123" s="291">
        <v>239055.86</v>
      </c>
      <c r="J123" s="227">
        <v>400000</v>
      </c>
      <c r="K123" s="227">
        <f t="shared" ref="K123:K124" si="312">I123-I122-J123+J122</f>
        <v>-5488.75</v>
      </c>
      <c r="L123" s="225">
        <f t="shared" si="116"/>
        <v>-2.2444780115987838E-2</v>
      </c>
      <c r="M123" s="239">
        <f t="shared" ref="M123:M124" si="313">I123-J123</f>
        <v>-160944.14000000001</v>
      </c>
      <c r="N123" s="241">
        <f t="shared" ref="N123:N124" si="314">M123/J123</f>
        <v>-0.40236035000000003</v>
      </c>
      <c r="O123" s="278" t="b">
        <f t="shared" ref="O123:O124" si="315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1"/>
        <v>-0.15871123593298891</v>
      </c>
      <c r="I124" s="291">
        <v>235873.97</v>
      </c>
      <c r="J124" s="227">
        <v>400000</v>
      </c>
      <c r="K124" s="227">
        <f t="shared" si="312"/>
        <v>-3181.890000000014</v>
      </c>
      <c r="L124" s="225">
        <f t="shared" si="116"/>
        <v>-1.3310236360656518E-2</v>
      </c>
      <c r="M124" s="239">
        <f t="shared" si="313"/>
        <v>-164126.03</v>
      </c>
      <c r="N124" s="241">
        <f t="shared" si="314"/>
        <v>-0.41031507499999997</v>
      </c>
      <c r="O124" s="278" t="b">
        <f t="shared" si="315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si="284"/>
        <v>-1.2301145874958137E-2</v>
      </c>
      <c r="E125" s="271">
        <f t="shared" ref="E125:E127" si="316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1"/>
        <v>-0.16200286741166997</v>
      </c>
      <c r="I125" s="291">
        <v>230609.13</v>
      </c>
      <c r="J125" s="227">
        <v>400000</v>
      </c>
      <c r="K125" s="227">
        <f t="shared" ref="K125:K126" si="317">I125-I124-J125+J124</f>
        <v>-5264.8399999999674</v>
      </c>
      <c r="L125" s="225">
        <f t="shared" si="116"/>
        <v>-2.2320563816346364E-2</v>
      </c>
      <c r="M125" s="239">
        <f t="shared" ref="M125:M126" si="318">I125-J125</f>
        <v>-169390.87</v>
      </c>
      <c r="N125" s="241">
        <f t="shared" ref="N125:N126" si="319">M125/J125</f>
        <v>-0.42347717499999998</v>
      </c>
      <c r="O125" s="278" t="b">
        <f t="shared" ref="O125:O126" si="320">L125&gt;D125</f>
        <v>0</v>
      </c>
    </row>
    <row r="126" spans="2:15" ht="20.100000000000001" customHeight="1" x14ac:dyDescent="0.25">
      <c r="B126" s="226">
        <v>42412</v>
      </c>
      <c r="C126" s="270">
        <v>1864.78</v>
      </c>
      <c r="D126" s="225">
        <f t="shared" si="284"/>
        <v>1.9518009053731956E-2</v>
      </c>
      <c r="E126" s="271">
        <f t="shared" si="316"/>
        <v>-0.11304008675634029</v>
      </c>
      <c r="F126" s="289">
        <v>4337.51</v>
      </c>
      <c r="G126" s="225">
        <f t="shared" si="260"/>
        <v>1.656499087144327E-2</v>
      </c>
      <c r="H126" s="265">
        <f t="shared" si="311"/>
        <v>-0.14812145256004863</v>
      </c>
      <c r="I126" s="291">
        <v>236989.83</v>
      </c>
      <c r="J126" s="227">
        <v>400000</v>
      </c>
      <c r="K126" s="227">
        <f t="shared" si="317"/>
        <v>6380.6999999999534</v>
      </c>
      <c r="L126" s="225">
        <f t="shared" si="116"/>
        <v>2.7668895849873563E-2</v>
      </c>
      <c r="M126" s="239">
        <f t="shared" si="318"/>
        <v>-163010.17000000001</v>
      </c>
      <c r="N126" s="241">
        <f t="shared" si="319"/>
        <v>-0.40752542500000005</v>
      </c>
      <c r="O126" s="278" t="b">
        <f t="shared" si="320"/>
        <v>1</v>
      </c>
    </row>
    <row r="127" spans="2:15" ht="20.100000000000001" customHeight="1" x14ac:dyDescent="0.25">
      <c r="B127" s="332">
        <v>42416</v>
      </c>
      <c r="C127" s="333">
        <v>1895.58</v>
      </c>
      <c r="D127" s="225">
        <f t="shared" si="284"/>
        <v>1.651669365823312E-2</v>
      </c>
      <c r="E127" s="334">
        <f t="shared" si="316"/>
        <v>-9.8390441582161731E-2</v>
      </c>
      <c r="F127" s="335">
        <v>4435.96</v>
      </c>
      <c r="G127" s="225">
        <f t="shared" si="260"/>
        <v>2.2697354011863905E-2</v>
      </c>
      <c r="H127" s="336">
        <f t="shared" si="311"/>
        <v>-0.12878606359369166</v>
      </c>
      <c r="I127" s="337">
        <v>243663.46</v>
      </c>
      <c r="J127" s="338">
        <v>400000</v>
      </c>
      <c r="K127" s="338">
        <f t="shared" ref="K127:K128" si="321">I127-I126-J127+J126</f>
        <v>6673.6300000000047</v>
      </c>
      <c r="L127" s="225">
        <f t="shared" si="116"/>
        <v>2.8159984755463999E-2</v>
      </c>
      <c r="M127" s="339">
        <f t="shared" ref="M127:M128" si="322">I127-J127</f>
        <v>-156336.54</v>
      </c>
      <c r="N127" s="340">
        <f t="shared" ref="N127:N128" si="323">M127/J127</f>
        <v>-0.39084135000000003</v>
      </c>
      <c r="O127" s="278" t="b">
        <f t="shared" ref="O127:O128" si="324">L127&gt;D127</f>
        <v>1</v>
      </c>
    </row>
    <row r="128" spans="2:15" ht="20.100000000000001" customHeight="1" x14ac:dyDescent="0.25">
      <c r="B128" s="332">
        <v>42417</v>
      </c>
      <c r="C128" s="333">
        <v>1926.82</v>
      </c>
      <c r="D128" s="225">
        <f t="shared" ref="D128:D130" si="325">(C128-C127)/C127</f>
        <v>1.648044398020659E-2</v>
      </c>
      <c r="E128" s="334">
        <f t="shared" ref="E128:E130" si="326">(C128-$C$2)/$C$2</f>
        <v>-8.3531515762637745E-2</v>
      </c>
      <c r="F128" s="335">
        <v>4534.0600000000004</v>
      </c>
      <c r="G128" s="225">
        <f t="shared" ref="G128:G130" si="327">(F128-F127)/F127</f>
        <v>2.2114716994743044E-2</v>
      </c>
      <c r="H128" s="336">
        <f t="shared" ref="H128:H130" si="328">(F128-F$2)/F$2</f>
        <v>-0.10951941394819008</v>
      </c>
      <c r="I128" s="337">
        <v>249365.31</v>
      </c>
      <c r="J128" s="338">
        <v>400000</v>
      </c>
      <c r="K128" s="338">
        <f t="shared" si="321"/>
        <v>5701.8499999999767</v>
      </c>
      <c r="L128" s="225">
        <f t="shared" si="116"/>
        <v>2.3400513150391843E-2</v>
      </c>
      <c r="M128" s="339">
        <f t="shared" si="322"/>
        <v>-150634.69</v>
      </c>
      <c r="N128" s="340">
        <f t="shared" si="323"/>
        <v>-0.37658672500000001</v>
      </c>
      <c r="O128" s="278" t="b">
        <f t="shared" si="324"/>
        <v>1</v>
      </c>
    </row>
    <row r="129" spans="2:15" ht="20.100000000000001" customHeight="1" x14ac:dyDescent="0.25">
      <c r="B129" s="332">
        <v>42418</v>
      </c>
      <c r="C129" s="333">
        <v>1917.83</v>
      </c>
      <c r="D129" s="225">
        <f t="shared" si="325"/>
        <v>-4.6657186452289312E-3</v>
      </c>
      <c r="E129" s="334">
        <f t="shared" si="326"/>
        <v>-8.7807499857308707E-2</v>
      </c>
      <c r="F129" s="335">
        <v>4487.53</v>
      </c>
      <c r="G129" s="225">
        <f t="shared" si="327"/>
        <v>-1.0262325597808731E-2</v>
      </c>
      <c r="H129" s="336">
        <f t="shared" si="328"/>
        <v>-0.11865781566078129</v>
      </c>
      <c r="I129" s="337">
        <v>241680.12</v>
      </c>
      <c r="J129" s="338">
        <v>400000</v>
      </c>
      <c r="K129" s="338">
        <f t="shared" ref="K129" si="329">I129-I128-J129+J128</f>
        <v>-7685.1900000000023</v>
      </c>
      <c r="L129" s="225">
        <f t="shared" si="116"/>
        <v>-3.0819002049643562E-2</v>
      </c>
      <c r="M129" s="339">
        <f t="shared" ref="M129" si="330">I129-J129</f>
        <v>-158319.88</v>
      </c>
      <c r="N129" s="340">
        <f t="shared" ref="N129" si="331">M129/J129</f>
        <v>-0.39579970000000003</v>
      </c>
      <c r="O129" s="278" t="b">
        <f t="shared" ref="O129" si="332">L129&gt;D129</f>
        <v>0</v>
      </c>
    </row>
    <row r="130" spans="2:15" ht="20.100000000000001" customHeight="1" x14ac:dyDescent="0.25">
      <c r="B130" s="332">
        <v>42419</v>
      </c>
      <c r="C130" s="333">
        <v>1917.78</v>
      </c>
      <c r="D130" s="225">
        <f t="shared" si="325"/>
        <v>-2.6071132477828863E-5</v>
      </c>
      <c r="E130" s="334">
        <f t="shared" si="326"/>
        <v>-8.7831281748825207E-2</v>
      </c>
      <c r="F130" s="335">
        <v>4504.43</v>
      </c>
      <c r="G130" s="225">
        <f t="shared" si="327"/>
        <v>3.7659915365469529E-3</v>
      </c>
      <c r="H130" s="336">
        <f t="shared" si="328"/>
        <v>-0.11533868845375798</v>
      </c>
      <c r="I130" s="337">
        <v>236145.17</v>
      </c>
      <c r="J130" s="338">
        <v>400000</v>
      </c>
      <c r="K130" s="338">
        <f t="shared" ref="K130" si="333">I130-I129-J130+J129</f>
        <v>-5534.9499999999534</v>
      </c>
      <c r="L130" s="225">
        <f t="shared" ref="L130" si="334">K130/I129</f>
        <v>-2.290196645052954E-2</v>
      </c>
      <c r="M130" s="339">
        <f t="shared" ref="M130" si="335">I130-J130</f>
        <v>-163854.82999999999</v>
      </c>
      <c r="N130" s="340">
        <f t="shared" ref="N130" si="336">M130/J130</f>
        <v>-0.40963707499999996</v>
      </c>
      <c r="O130" s="278" t="b">
        <f t="shared" ref="O130" si="337">L130&gt;D130</f>
        <v>0</v>
      </c>
    </row>
  </sheetData>
  <conditionalFormatting sqref="L131:L1048576 L1:L2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0">
    <cfRule type="colorScale" priority="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7 L129:L130">
    <cfRule type="colorScale" priority="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0">
    <cfRule type="colorScale" priority="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2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L173" sqref="L173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101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150</v>
      </c>
    </row>
    <row r="2" spans="1:17" ht="18" hidden="1" customHeight="1" outlineLevel="1" x14ac:dyDescent="0.25">
      <c r="A2" s="373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73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73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73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73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151</v>
      </c>
    </row>
    <row r="7" spans="1:17" ht="18" hidden="1" customHeight="1" outlineLevel="1" x14ac:dyDescent="0.25">
      <c r="A7" s="374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74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74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151</v>
      </c>
    </row>
    <row r="10" spans="1:17" ht="18" hidden="1" customHeight="1" outlineLevel="1" x14ac:dyDescent="0.25">
      <c r="A10" s="373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73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73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73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73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151</v>
      </c>
    </row>
    <row r="15" spans="1:17" ht="18" hidden="1" customHeight="1" outlineLevel="1" x14ac:dyDescent="0.25">
      <c r="A15" s="374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74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74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151</v>
      </c>
    </row>
    <row r="18" spans="1:16" ht="18" hidden="1" customHeight="1" outlineLevel="1" x14ac:dyDescent="0.25">
      <c r="A18" s="38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8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8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8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8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8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8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8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8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151</v>
      </c>
    </row>
    <row r="27" spans="1:16" ht="18" hidden="1" customHeight="1" outlineLevel="1" x14ac:dyDescent="0.25">
      <c r="A27" s="376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76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76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76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76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76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76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76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76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76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76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76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77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151</v>
      </c>
    </row>
    <row r="40" spans="1:16" ht="18" hidden="1" customHeight="1" outlineLevel="1" x14ac:dyDescent="0.25">
      <c r="A40" s="373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73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73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73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73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151</v>
      </c>
    </row>
    <row r="45" spans="1:16" ht="18" hidden="1" customHeight="1" outlineLevel="1" x14ac:dyDescent="0.25">
      <c r="A45" s="38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8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86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8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8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8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151</v>
      </c>
    </row>
    <row r="51" spans="1:16" ht="18" hidden="1" customHeight="1" outlineLevel="1" x14ac:dyDescent="0.25">
      <c r="A51" s="38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8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8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8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151</v>
      </c>
    </row>
    <row r="55" spans="1:16" ht="18" hidden="1" customHeight="1" outlineLevel="1" x14ac:dyDescent="0.25">
      <c r="A55" s="374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74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74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151</v>
      </c>
    </row>
    <row r="58" spans="1:16" ht="18" hidden="1" customHeight="1" outlineLevel="1" x14ac:dyDescent="0.25">
      <c r="A58" s="373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73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73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73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73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73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151</v>
      </c>
    </row>
    <row r="64" spans="1:16" ht="18" hidden="1" customHeight="1" outlineLevel="1" x14ac:dyDescent="0.25">
      <c r="A64" s="374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74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74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74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74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74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74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74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74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74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74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74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74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74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74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74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74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74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74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74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74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74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74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74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74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74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74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74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74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74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74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74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151</v>
      </c>
    </row>
    <row r="96" spans="1:16" ht="18" hidden="1" customHeight="1" outlineLevel="1" x14ac:dyDescent="0.25">
      <c r="A96" s="373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73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73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151</v>
      </c>
    </row>
    <row r="99" spans="1:16" ht="18" hidden="1" customHeight="1" outlineLevel="1" x14ac:dyDescent="0.25">
      <c r="A99" s="374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74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74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74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151</v>
      </c>
    </row>
    <row r="103" spans="1:16" ht="18" hidden="1" customHeight="1" outlineLevel="1" x14ac:dyDescent="0.25">
      <c r="A103" s="373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73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73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73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73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73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73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151</v>
      </c>
    </row>
    <row r="110" spans="1:16" ht="18" hidden="1" customHeight="1" outlineLevel="1" x14ac:dyDescent="0.25">
      <c r="A110" s="375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76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76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76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76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76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76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151</v>
      </c>
    </row>
    <row r="117" spans="1:16" ht="18" hidden="1" customHeight="1" outlineLevel="1" x14ac:dyDescent="0.25">
      <c r="A117" s="378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78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78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78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78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79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151</v>
      </c>
    </row>
    <row r="123" spans="1:16" ht="18" hidden="1" customHeight="1" outlineLevel="1" x14ac:dyDescent="0.25">
      <c r="A123" s="37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76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77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151</v>
      </c>
    </row>
    <row r="126" spans="1:16" ht="18" hidden="1" customHeight="1" outlineLevel="1" x14ac:dyDescent="0.25">
      <c r="A126" s="373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73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73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151</v>
      </c>
    </row>
    <row r="129" spans="1:16" ht="18" hidden="1" customHeight="1" outlineLevel="1" x14ac:dyDescent="0.25">
      <c r="A129" s="374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74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74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collapsed="1" x14ac:dyDescent="0.25">
      <c r="A132" s="374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151</v>
      </c>
    </row>
    <row r="133" spans="1:16" ht="18" hidden="1" customHeight="1" outlineLevel="1" x14ac:dyDescent="0.25">
      <c r="A133" s="380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hidden="1" customHeight="1" outlineLevel="1" x14ac:dyDescent="0.25">
      <c r="A134" s="381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hidden="1" customHeight="1" outlineLevel="1" x14ac:dyDescent="0.25">
      <c r="A135" s="381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collapsed="1" x14ac:dyDescent="0.25">
      <c r="A136" s="382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151</v>
      </c>
    </row>
    <row r="137" spans="1:16" ht="18" hidden="1" customHeight="1" outlineLevel="1" x14ac:dyDescent="0.25">
      <c r="A137" s="373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73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73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151</v>
      </c>
    </row>
    <row r="140" spans="1:16" ht="18" hidden="1" customHeight="1" outlineLevel="1" x14ac:dyDescent="0.25">
      <c r="A140" s="374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74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74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151</v>
      </c>
    </row>
    <row r="143" spans="1:16" ht="18" hidden="1" customHeight="1" outlineLevel="1" x14ac:dyDescent="0.25">
      <c r="A143" s="373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73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73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73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73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73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73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73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73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151</v>
      </c>
    </row>
    <row r="152" spans="1:16" ht="18" hidden="1" customHeight="1" outlineLevel="1" x14ac:dyDescent="0.25">
      <c r="A152" s="374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74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74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74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74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74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74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151</v>
      </c>
    </row>
    <row r="159" spans="1:16" ht="18" hidden="1" customHeight="1" outlineLevel="1" x14ac:dyDescent="0.25">
      <c r="A159" s="373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73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73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151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148</v>
      </c>
      <c r="N164" s="178">
        <f>SUM(N1:N162)</f>
        <v>5910.5200000000132</v>
      </c>
    </row>
    <row r="165" spans="1:16" ht="18" customHeight="1" x14ac:dyDescent="0.25">
      <c r="M165" s="37" t="s">
        <v>196</v>
      </c>
      <c r="N165" s="179">
        <f>1003.28+0.19+0.26+0.23</f>
        <v>1003.96</v>
      </c>
    </row>
    <row r="166" spans="1:16" ht="18" customHeight="1" x14ac:dyDescent="0.25">
      <c r="M166" s="37" t="s">
        <v>147</v>
      </c>
      <c r="N166" s="180">
        <f>SUM(ACTIVE!J:J)</f>
        <v>-171564.87199999989</v>
      </c>
    </row>
    <row r="168" spans="1:16" ht="18" customHeight="1" x14ac:dyDescent="0.25">
      <c r="M168" s="37" t="s">
        <v>186</v>
      </c>
      <c r="N168" s="180">
        <f>SUM(N163:N166)</f>
        <v>-163854.83199999988</v>
      </c>
      <c r="P168" s="319"/>
    </row>
    <row r="169" spans="1:16" ht="18" customHeight="1" x14ac:dyDescent="0.25">
      <c r="M169" s="37" t="s">
        <v>187</v>
      </c>
      <c r="N169" s="180">
        <f>Balance!Q2</f>
        <v>-163854.82999999999</v>
      </c>
    </row>
    <row r="170" spans="1:16" ht="18" customHeight="1" x14ac:dyDescent="0.25">
      <c r="M170" s="37" t="s">
        <v>149</v>
      </c>
      <c r="N170" s="38">
        <f>N168-N169</f>
        <v>-1.9999998912680894E-3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8" activePane="bottomLeft" state="frozen"/>
      <selection pane="bottomLeft" activeCell="E22" sqref="E22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1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160</v>
      </c>
      <c r="B1" s="75" t="s">
        <v>95</v>
      </c>
      <c r="C1" s="75"/>
      <c r="D1" s="71"/>
      <c r="E1" s="71" t="s">
        <v>72</v>
      </c>
      <c r="F1" s="330" t="s">
        <v>185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E2" s="26" t="s">
        <v>10</v>
      </c>
      <c r="F2" s="331">
        <v>7.87</v>
      </c>
      <c r="G2" s="63">
        <v>7.87</v>
      </c>
      <c r="H2" s="64">
        <v>0</v>
      </c>
      <c r="I2" s="63">
        <v>0</v>
      </c>
      <c r="J2" s="63">
        <v>793.47</v>
      </c>
      <c r="K2" s="273">
        <v>0</v>
      </c>
      <c r="L2" s="79" t="str">
        <f>HYPERLINK("http://finance.yahoo.com/q?s=" &amp; E2, "Link")</f>
        <v>Link</v>
      </c>
      <c r="M2" s="244"/>
      <c r="Q2" s="187"/>
    </row>
    <row r="3" spans="1:17" ht="18.95" customHeight="1" x14ac:dyDescent="0.25">
      <c r="A3" s="65"/>
      <c r="B3" s="65"/>
      <c r="C3" s="66"/>
      <c r="D3" s="67"/>
      <c r="E3" s="26" t="s">
        <v>18</v>
      </c>
      <c r="F3" s="331">
        <v>5.5</v>
      </c>
      <c r="G3" s="63">
        <v>5.5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>HYPERLINK("http://finance.yahoo.com/q?s=" &amp; E3, "Link")</f>
        <v>Link</v>
      </c>
      <c r="M3" s="201"/>
      <c r="N3" s="78"/>
      <c r="O3" s="78"/>
      <c r="Q3" s="187"/>
    </row>
    <row r="4" spans="1:17" ht="18.95" customHeight="1" x14ac:dyDescent="0.25">
      <c r="A4" s="65"/>
      <c r="B4" s="65"/>
      <c r="C4" s="66"/>
      <c r="D4" s="67"/>
      <c r="E4" s="26" t="s">
        <v>45</v>
      </c>
      <c r="F4" s="331">
        <v>64</v>
      </c>
      <c r="G4" s="63">
        <v>64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>HYPERLINK("http://finance.yahoo.com/q?s=" &amp; E4, "Link")</f>
        <v>Link</v>
      </c>
      <c r="M4" s="253"/>
      <c r="Q4" s="187"/>
    </row>
    <row r="5" spans="1:17" ht="18.95" customHeight="1" x14ac:dyDescent="0.25">
      <c r="A5" s="65"/>
      <c r="B5" s="65"/>
      <c r="C5" s="66"/>
      <c r="D5" s="67"/>
      <c r="E5" s="26" t="s">
        <v>68</v>
      </c>
      <c r="F5" s="331">
        <v>8.8000000000000007</v>
      </c>
      <c r="G5" s="63">
        <v>8.8000000000000007</v>
      </c>
      <c r="H5" s="64">
        <v>0</v>
      </c>
      <c r="I5" s="63">
        <v>0</v>
      </c>
      <c r="J5" s="63">
        <v>37</v>
      </c>
      <c r="K5" s="273">
        <v>0</v>
      </c>
      <c r="L5" s="79" t="str">
        <f>HYPERLINK("http://finance.yahoo.com/q?s=" &amp; E5, "Link")</f>
        <v>Link</v>
      </c>
      <c r="M5" s="244"/>
      <c r="Q5" s="211"/>
    </row>
    <row r="6" spans="1:17" ht="18.95" customHeight="1" x14ac:dyDescent="0.25">
      <c r="A6" s="65"/>
      <c r="B6" s="65"/>
      <c r="C6" s="66"/>
      <c r="D6" s="67"/>
      <c r="E6" s="26" t="s">
        <v>33</v>
      </c>
      <c r="F6" s="331">
        <v>128.66999999999999</v>
      </c>
      <c r="G6" s="63">
        <v>128.66999999999999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>HYPERLINK("http://finance.yahoo.com/q?s=" &amp; E6, "Link")</f>
        <v>Link</v>
      </c>
      <c r="M6" s="201" t="s">
        <v>202</v>
      </c>
      <c r="Q6" s="187"/>
    </row>
    <row r="7" spans="1:17" ht="18.95" customHeight="1" x14ac:dyDescent="0.25">
      <c r="A7" s="66"/>
      <c r="B7" s="66"/>
      <c r="C7" s="66"/>
      <c r="D7" s="67"/>
      <c r="E7" s="26" t="s">
        <v>62</v>
      </c>
      <c r="F7" s="331">
        <v>261.39999999999998</v>
      </c>
      <c r="G7" s="63">
        <v>251.5</v>
      </c>
      <c r="H7" s="64">
        <v>5</v>
      </c>
      <c r="I7" s="63">
        <v>1257.5</v>
      </c>
      <c r="J7" s="63">
        <v>1423.1500000000087</v>
      </c>
      <c r="K7" s="273">
        <v>3.9363817097415418E-2</v>
      </c>
      <c r="L7" s="79" t="str">
        <f>HYPERLINK("http://finance.yahoo.com/q?s=" &amp; E7, "Link")</f>
        <v>Link</v>
      </c>
      <c r="M7" s="200"/>
      <c r="Q7" s="187"/>
    </row>
    <row r="8" spans="1:17" ht="18.95" customHeight="1" x14ac:dyDescent="0.25">
      <c r="A8" s="65"/>
      <c r="B8" s="66"/>
      <c r="C8" s="66"/>
      <c r="D8" s="67"/>
      <c r="E8" s="26" t="s">
        <v>11</v>
      </c>
      <c r="F8" s="331">
        <v>52.05</v>
      </c>
      <c r="G8" s="63">
        <v>52.05</v>
      </c>
      <c r="H8" s="64">
        <v>0</v>
      </c>
      <c r="I8" s="63">
        <v>0</v>
      </c>
      <c r="J8" s="63">
        <v>-8324.6099999999569</v>
      </c>
      <c r="K8" s="273">
        <v>0</v>
      </c>
      <c r="L8" s="79" t="str">
        <f>HYPERLINK("http://finance.yahoo.com/q?s=" &amp; E8, "Link")</f>
        <v>Link</v>
      </c>
      <c r="M8" s="200"/>
      <c r="N8" s="78"/>
      <c r="O8" s="78"/>
      <c r="Q8" s="211"/>
    </row>
    <row r="9" spans="1:17" ht="18.95" customHeight="1" x14ac:dyDescent="0.25">
      <c r="A9" s="66"/>
      <c r="B9" s="65"/>
      <c r="C9" s="66"/>
      <c r="D9" s="67"/>
      <c r="E9" s="26" t="s">
        <v>8</v>
      </c>
      <c r="F9" s="331">
        <v>57.02</v>
      </c>
      <c r="G9" s="63">
        <v>57.02</v>
      </c>
      <c r="H9" s="64">
        <v>0</v>
      </c>
      <c r="I9" s="63">
        <v>0</v>
      </c>
      <c r="J9" s="63">
        <v>121.94999999999982</v>
      </c>
      <c r="K9" s="273">
        <v>0</v>
      </c>
      <c r="L9" s="79" t="str">
        <f>HYPERLINK("http://finance.yahoo.com/q?s=" &amp; E9, "Link")</f>
        <v>Link</v>
      </c>
      <c r="M9" s="245"/>
      <c r="Q9" s="187"/>
    </row>
    <row r="10" spans="1:17" ht="18.95" customHeight="1" x14ac:dyDescent="0.25">
      <c r="A10" s="65"/>
      <c r="B10" s="65"/>
      <c r="C10" s="66"/>
      <c r="E10" s="26" t="s">
        <v>17</v>
      </c>
      <c r="F10" s="331">
        <v>12.21</v>
      </c>
      <c r="G10" s="63">
        <v>25.947570000000006</v>
      </c>
      <c r="H10" s="64">
        <v>2000</v>
      </c>
      <c r="I10" s="63">
        <v>51895.140000000014</v>
      </c>
      <c r="J10" s="63">
        <v>-27475.140000000014</v>
      </c>
      <c r="K10" s="273">
        <v>-0.52943570438387877</v>
      </c>
      <c r="L10" s="79" t="str">
        <f>HYPERLINK("http://finance.yahoo.com/q?s=" &amp; E10, "Link")</f>
        <v>Link</v>
      </c>
      <c r="M10" s="400" t="s">
        <v>266</v>
      </c>
      <c r="Q10" s="187"/>
    </row>
    <row r="11" spans="1:17" ht="18.95" customHeight="1" x14ac:dyDescent="0.25">
      <c r="A11" s="65"/>
      <c r="B11" s="65"/>
      <c r="C11" s="66"/>
      <c r="D11" s="67"/>
      <c r="E11" s="26" t="s">
        <v>32</v>
      </c>
      <c r="F11" s="331">
        <v>46.72</v>
      </c>
      <c r="G11" s="63">
        <v>41.95</v>
      </c>
      <c r="H11" s="64">
        <v>30</v>
      </c>
      <c r="I11" s="63">
        <v>1258.5</v>
      </c>
      <c r="J11" s="63">
        <v>143.09999999999991</v>
      </c>
      <c r="K11" s="273">
        <v>0.11370679380214531</v>
      </c>
      <c r="L11" s="79" t="str">
        <f>HYPERLINK("http://finance.yahoo.com/q?s=" &amp; E11, "Link")</f>
        <v>Link</v>
      </c>
      <c r="M11" s="244"/>
      <c r="N11" s="78"/>
      <c r="O11" s="78"/>
      <c r="Q11" s="211"/>
    </row>
    <row r="12" spans="1:17" ht="18.95" customHeight="1" x14ac:dyDescent="0.25">
      <c r="A12" s="65"/>
      <c r="B12" s="65"/>
      <c r="C12" s="66"/>
      <c r="D12" s="67"/>
      <c r="E12" s="26" t="s">
        <v>63</v>
      </c>
      <c r="F12" s="331">
        <v>95.01</v>
      </c>
      <c r="G12" s="63">
        <v>96.787600000000026</v>
      </c>
      <c r="H12" s="64">
        <v>25</v>
      </c>
      <c r="I12" s="63">
        <v>2419.6900000000005</v>
      </c>
      <c r="J12" s="63">
        <v>-44.440000000000509</v>
      </c>
      <c r="K12" s="273">
        <v>-1.8365989031653027E-2</v>
      </c>
      <c r="L12" s="79" t="str">
        <f>HYPERLINK("http://finance.yahoo.com/q?s=" &amp; E12, "Link")</f>
        <v>Link</v>
      </c>
      <c r="M12" s="244"/>
      <c r="P12" s="63"/>
      <c r="Q12" s="187"/>
    </row>
    <row r="13" spans="1:17" ht="18.95" customHeight="1" x14ac:dyDescent="0.25">
      <c r="A13" s="65"/>
      <c r="B13" s="65"/>
      <c r="C13" s="65"/>
      <c r="D13" s="67"/>
      <c r="E13" s="26" t="s">
        <v>9</v>
      </c>
      <c r="F13" s="331">
        <v>4.4400000000000004</v>
      </c>
      <c r="G13" s="63">
        <v>4.09016</v>
      </c>
      <c r="H13" s="64">
        <v>250</v>
      </c>
      <c r="I13" s="63">
        <v>1022.54</v>
      </c>
      <c r="J13" s="63">
        <v>87.460000000000036</v>
      </c>
      <c r="K13" s="273">
        <v>8.5532106323469095E-2</v>
      </c>
      <c r="L13" s="79" t="str">
        <f>HYPERLINK("http://finance.yahoo.com/q?s=" &amp; E13, "Link")</f>
        <v>Link</v>
      </c>
      <c r="M13" s="243"/>
      <c r="Q13" s="187"/>
    </row>
    <row r="14" spans="1:17" ht="18.95" customHeight="1" x14ac:dyDescent="0.25">
      <c r="A14" s="65"/>
      <c r="B14" s="65"/>
      <c r="C14" s="66"/>
      <c r="D14" s="67"/>
      <c r="E14" s="26" t="s">
        <v>55</v>
      </c>
      <c r="F14" s="331">
        <v>87.44</v>
      </c>
      <c r="G14" s="63">
        <v>98.034199999999998</v>
      </c>
      <c r="H14" s="64">
        <v>50</v>
      </c>
      <c r="I14" s="63">
        <v>4901.71</v>
      </c>
      <c r="J14" s="63">
        <v>-529.71</v>
      </c>
      <c r="K14" s="273">
        <v>-0.10806636867542144</v>
      </c>
      <c r="L14" s="79" t="str">
        <f>HYPERLINK("http://finance.yahoo.com/q?s=" &amp; E14, "Link")</f>
        <v>Link</v>
      </c>
      <c r="M14" s="244"/>
      <c r="Q14" s="187"/>
    </row>
    <row r="15" spans="1:17" ht="18.95" customHeight="1" x14ac:dyDescent="0.25">
      <c r="A15" s="65"/>
      <c r="B15" s="65"/>
      <c r="C15" s="66"/>
      <c r="D15" s="67"/>
      <c r="E15" s="26" t="s">
        <v>275</v>
      </c>
      <c r="F15" s="331">
        <v>58.72</v>
      </c>
      <c r="G15" s="63">
        <v>58.72</v>
      </c>
      <c r="H15" s="64">
        <v>0</v>
      </c>
      <c r="I15" s="63">
        <v>0</v>
      </c>
      <c r="J15" s="63">
        <v>49.949999999999818</v>
      </c>
      <c r="K15" s="273">
        <v>0</v>
      </c>
      <c r="L15" s="79" t="str">
        <f>HYPERLINK("http://finance.yahoo.com/q?s=" &amp; E15, "Link")</f>
        <v>Link</v>
      </c>
      <c r="M15" s="253"/>
    </row>
    <row r="16" spans="1:17" ht="18.95" customHeight="1" x14ac:dyDescent="0.25">
      <c r="A16" s="65"/>
      <c r="B16" s="66"/>
      <c r="C16" s="66"/>
      <c r="D16" s="67"/>
      <c r="E16" s="26" t="s">
        <v>56</v>
      </c>
      <c r="F16" s="331">
        <v>28.78</v>
      </c>
      <c r="G16" s="63">
        <v>28.78</v>
      </c>
      <c r="H16" s="64">
        <v>0</v>
      </c>
      <c r="I16" s="63">
        <v>0</v>
      </c>
      <c r="J16" s="63">
        <v>36.819999999999709</v>
      </c>
      <c r="K16" s="273">
        <v>0</v>
      </c>
      <c r="L16" s="79" t="str">
        <f>HYPERLINK("http://finance.yahoo.com/q?s=" &amp; E16, "Link")</f>
        <v>Link</v>
      </c>
      <c r="M16" s="372"/>
      <c r="N16" s="78"/>
      <c r="O16" s="78"/>
      <c r="Q16" s="187"/>
    </row>
    <row r="17" spans="1:17" ht="18.95" customHeight="1" x14ac:dyDescent="0.25">
      <c r="A17" s="65"/>
      <c r="B17" s="65"/>
      <c r="C17" s="66"/>
      <c r="D17" s="67"/>
      <c r="E17" s="26" t="s">
        <v>22</v>
      </c>
      <c r="F17" s="331">
        <v>42.31</v>
      </c>
      <c r="G17" s="63">
        <v>46.358160000000012</v>
      </c>
      <c r="H17" s="64">
        <v>750</v>
      </c>
      <c r="I17" s="63">
        <v>34768.62000000001</v>
      </c>
      <c r="J17" s="63">
        <v>-3036.1200000000099</v>
      </c>
      <c r="K17" s="273">
        <v>-8.7323569356506148E-2</v>
      </c>
      <c r="L17" s="79" t="str">
        <f>HYPERLINK("http://finance.yahoo.com/q?s=" &amp; E17, "Link")</f>
        <v>Link</v>
      </c>
      <c r="M17" s="244"/>
      <c r="N17" s="78"/>
      <c r="O17" s="78"/>
      <c r="Q17" s="187"/>
    </row>
    <row r="18" spans="1:17" ht="18.95" customHeight="1" x14ac:dyDescent="0.25">
      <c r="A18" s="65"/>
      <c r="B18" s="66"/>
      <c r="C18" s="66"/>
      <c r="D18" s="67"/>
      <c r="E18" s="26" t="s">
        <v>27</v>
      </c>
      <c r="F18" s="331">
        <v>28.71</v>
      </c>
      <c r="G18" s="63">
        <v>28.71</v>
      </c>
      <c r="H18" s="64">
        <v>0</v>
      </c>
      <c r="I18" s="63">
        <v>0</v>
      </c>
      <c r="J18" s="63">
        <v>1407.5400000000009</v>
      </c>
      <c r="K18" s="273">
        <v>0</v>
      </c>
      <c r="L18" s="79" t="str">
        <f>HYPERLINK("http://finance.yahoo.com/q?s=" &amp; E18, "Link")</f>
        <v>Link</v>
      </c>
      <c r="M18" s="253"/>
      <c r="Q18" s="187"/>
    </row>
    <row r="19" spans="1:17" ht="18.95" customHeight="1" x14ac:dyDescent="0.25">
      <c r="A19" s="65"/>
      <c r="B19" s="65"/>
      <c r="C19" s="66"/>
      <c r="D19" s="67"/>
      <c r="E19" s="26" t="s">
        <v>276</v>
      </c>
      <c r="F19" s="331">
        <v>34.01</v>
      </c>
      <c r="G19" s="63">
        <v>36.659999999999997</v>
      </c>
      <c r="H19" s="64">
        <v>100</v>
      </c>
      <c r="I19" s="63">
        <v>3665.9999999999995</v>
      </c>
      <c r="J19" s="63">
        <v>-264.99999999999955</v>
      </c>
      <c r="K19" s="273">
        <v>-7.2285870158210558E-2</v>
      </c>
      <c r="L19" s="79" t="str">
        <f>HYPERLINK("http://finance.yahoo.com/q?s=" &amp; E19, "Link")</f>
        <v>Link</v>
      </c>
      <c r="M19" s="253"/>
      <c r="N19" s="78"/>
      <c r="O19" s="78"/>
      <c r="Q19" s="187"/>
    </row>
    <row r="20" spans="1:17" ht="18.95" customHeight="1" x14ac:dyDescent="0.25">
      <c r="A20" s="65"/>
      <c r="B20" s="65"/>
      <c r="C20" s="66"/>
      <c r="D20" s="67"/>
      <c r="E20" s="26" t="s">
        <v>15</v>
      </c>
      <c r="F20" s="331">
        <v>17.010000000000002</v>
      </c>
      <c r="G20" s="63">
        <v>15.241333333333296</v>
      </c>
      <c r="H20" s="64">
        <v>60</v>
      </c>
      <c r="I20" s="63">
        <v>914.47999999999774</v>
      </c>
      <c r="J20" s="63">
        <v>106.12000000000239</v>
      </c>
      <c r="K20" s="273">
        <v>0.11604409063074379</v>
      </c>
      <c r="L20" s="79" t="str">
        <f>HYPERLINK("http://finance.yahoo.com/q?s=" &amp; E20, "Link")</f>
        <v>Link</v>
      </c>
      <c r="M20" s="345"/>
      <c r="O20" s="78"/>
      <c r="Q20" s="187"/>
    </row>
    <row r="21" spans="1:17" ht="18.95" customHeight="1" x14ac:dyDescent="0.25">
      <c r="A21" s="194"/>
      <c r="B21" s="65"/>
      <c r="C21" s="66"/>
      <c r="D21" s="67"/>
      <c r="E21" s="26" t="s">
        <v>24</v>
      </c>
      <c r="F21" s="331">
        <v>52.73</v>
      </c>
      <c r="G21" s="63">
        <v>52.73</v>
      </c>
      <c r="H21" s="64">
        <v>0</v>
      </c>
      <c r="I21" s="63">
        <v>0</v>
      </c>
      <c r="J21" s="63">
        <v>745.43999999999505</v>
      </c>
      <c r="K21" s="273">
        <v>0</v>
      </c>
      <c r="L21" s="79" t="str">
        <f>HYPERLINK("http://finance.yahoo.com/q?s=" &amp; E21, "Link")</f>
        <v>Link</v>
      </c>
      <c r="M21" s="244"/>
      <c r="N21" s="342"/>
      <c r="O21" s="78"/>
      <c r="Q21" s="187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1">
        <v>6.73</v>
      </c>
      <c r="G22" s="63">
        <v>14.673679997032188</v>
      </c>
      <c r="H22" s="64">
        <v>13478</v>
      </c>
      <c r="I22" s="63">
        <v>197771.85899999982</v>
      </c>
      <c r="J22" s="63">
        <v>-107064.91899999982</v>
      </c>
      <c r="K22" s="273">
        <v>-0.5413556789189099</v>
      </c>
      <c r="L22" s="79" t="str">
        <f>HYPERLINK("http://finance.yahoo.com/q?s=" &amp; E22, "Link")</f>
        <v>Link</v>
      </c>
      <c r="M22" s="243" t="s">
        <v>330</v>
      </c>
      <c r="Q22" s="187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1">
        <v>11.16</v>
      </c>
      <c r="G23" s="63">
        <v>18.931989722222255</v>
      </c>
      <c r="H23" s="64">
        <v>3600</v>
      </c>
      <c r="I23" s="63">
        <v>68155.163000000117</v>
      </c>
      <c r="J23" s="63">
        <v>-27979.163000000117</v>
      </c>
      <c r="K23" s="273">
        <v>-0.4105215477219249</v>
      </c>
      <c r="L23" s="79" t="str">
        <f>HYPERLINK("http://finance.yahoo.com/q?s=" &amp; E23, "Link")</f>
        <v>Link</v>
      </c>
      <c r="M23" s="201" t="s">
        <v>331</v>
      </c>
      <c r="N23" s="78"/>
      <c r="O23" s="78"/>
      <c r="P23" s="63"/>
      <c r="Q23" s="187"/>
    </row>
    <row r="24" spans="1:17" ht="18.95" customHeight="1" x14ac:dyDescent="0.25">
      <c r="A24" s="65"/>
      <c r="B24" s="65"/>
      <c r="C24" s="66"/>
      <c r="D24" s="67"/>
      <c r="E24" s="26" t="s">
        <v>47</v>
      </c>
      <c r="F24" s="331">
        <v>75</v>
      </c>
      <c r="G24" s="63">
        <v>75</v>
      </c>
      <c r="H24" s="64">
        <v>0</v>
      </c>
      <c r="I24" s="63">
        <v>0</v>
      </c>
      <c r="J24" s="63">
        <v>-168.6200000000008</v>
      </c>
      <c r="K24" s="273">
        <v>0</v>
      </c>
      <c r="L24" s="79" t="str">
        <f>HYPERLINK("http://finance.yahoo.com/q?s=" &amp; E24, "Link")</f>
        <v>Link</v>
      </c>
      <c r="M24" s="200" t="s">
        <v>319</v>
      </c>
      <c r="N24" s="342"/>
      <c r="O24" s="78"/>
      <c r="Q24" s="187"/>
    </row>
    <row r="25" spans="1:17" ht="18.95" customHeight="1" x14ac:dyDescent="0.25">
      <c r="A25" s="65"/>
      <c r="B25" s="65"/>
      <c r="C25" s="66"/>
      <c r="D25" s="67"/>
      <c r="E25" s="26" t="s">
        <v>278</v>
      </c>
      <c r="F25" s="331">
        <v>37.46</v>
      </c>
      <c r="G25" s="63">
        <v>39.6325</v>
      </c>
      <c r="H25" s="64">
        <v>80</v>
      </c>
      <c r="I25" s="63">
        <v>3170.6</v>
      </c>
      <c r="J25" s="63">
        <v>-173.79999999999973</v>
      </c>
      <c r="K25" s="273">
        <v>-5.4816123131268518E-2</v>
      </c>
      <c r="L25" s="79" t="str">
        <f>HYPERLINK("http://finance.yahoo.com/q?s=" &amp; E25, "Link")</f>
        <v>Link</v>
      </c>
      <c r="M25" s="244"/>
      <c r="Q25" s="187"/>
    </row>
    <row r="26" spans="1:17" ht="18.95" customHeight="1" x14ac:dyDescent="0.25">
      <c r="A26" s="65"/>
      <c r="B26" s="65"/>
      <c r="C26" s="66"/>
      <c r="E26" s="26" t="s">
        <v>26</v>
      </c>
      <c r="F26" s="331">
        <v>1.75</v>
      </c>
      <c r="G26" s="63">
        <v>1.75</v>
      </c>
      <c r="H26" s="64">
        <v>0</v>
      </c>
      <c r="I26" s="63">
        <v>0</v>
      </c>
      <c r="J26" s="63">
        <v>-31.469999999999914</v>
      </c>
      <c r="K26" s="273">
        <v>0</v>
      </c>
      <c r="L26" s="79" t="str">
        <f>HYPERLINK("http://finance.yahoo.com/q?s=" &amp; E26, "Link")</f>
        <v>Link</v>
      </c>
      <c r="M26" s="245"/>
      <c r="Q26" s="187"/>
    </row>
    <row r="27" spans="1:17" ht="18.95" customHeight="1" x14ac:dyDescent="0.25">
      <c r="A27" s="65"/>
      <c r="B27" s="65"/>
      <c r="C27" s="66"/>
      <c r="E27" s="26" t="s">
        <v>35</v>
      </c>
      <c r="F27" s="331">
        <v>18.82</v>
      </c>
      <c r="G27" s="63">
        <v>31.62479999999999</v>
      </c>
      <c r="H27" s="64">
        <v>125</v>
      </c>
      <c r="I27" s="63">
        <v>3953.0999999999985</v>
      </c>
      <c r="J27" s="63">
        <v>-1600.5999999999985</v>
      </c>
      <c r="K27" s="273">
        <v>-0.40489742227618813</v>
      </c>
      <c r="L27" s="79" t="str">
        <f>HYPERLINK("http://finance.yahoo.com/q?s=" &amp; E27, "Link")</f>
        <v>Link</v>
      </c>
      <c r="M27" s="200"/>
    </row>
    <row r="28" spans="1:17" ht="18.95" customHeight="1" x14ac:dyDescent="0.25">
      <c r="A28" s="66"/>
      <c r="B28" s="66"/>
      <c r="C28" s="66"/>
      <c r="D28" s="67"/>
      <c r="E28" s="26" t="s">
        <v>279</v>
      </c>
      <c r="F28" s="331">
        <v>192</v>
      </c>
      <c r="G28" s="63">
        <v>185.99400000000006</v>
      </c>
      <c r="H28" s="64">
        <v>15</v>
      </c>
      <c r="I28" s="63">
        <v>2789.9100000000008</v>
      </c>
      <c r="J28" s="63">
        <v>90.089999999999236</v>
      </c>
      <c r="K28" s="273">
        <v>3.2291364237555735E-2</v>
      </c>
      <c r="L28" s="79" t="str">
        <f>HYPERLINK("http://finance.yahoo.com/q?s=" &amp; E28, "Link")</f>
        <v>Link</v>
      </c>
      <c r="M28" s="244"/>
      <c r="P28" s="63"/>
      <c r="Q28" s="187"/>
    </row>
    <row r="29" spans="1:17" ht="18.95" customHeight="1" x14ac:dyDescent="0.25">
      <c r="A29" s="65"/>
      <c r="B29" s="65"/>
      <c r="C29" s="66"/>
      <c r="D29" s="67"/>
      <c r="E29" s="26" t="s">
        <v>273</v>
      </c>
      <c r="F29" s="331">
        <v>63.03</v>
      </c>
      <c r="G29" s="63">
        <v>69.450888888888883</v>
      </c>
      <c r="H29" s="64">
        <v>90</v>
      </c>
      <c r="I29" s="63">
        <v>6250.58</v>
      </c>
      <c r="J29" s="63">
        <v>-577.88000000000011</v>
      </c>
      <c r="K29" s="273">
        <v>-9.2452220433943647E-2</v>
      </c>
      <c r="L29" s="79" t="str">
        <f>HYPERLINK("http://finance.yahoo.com/q?s=" &amp; E29, "Link")</f>
        <v>Link</v>
      </c>
      <c r="M29" s="243"/>
      <c r="Q29" s="187"/>
    </row>
    <row r="30" spans="1:17" ht="18.95" customHeight="1" x14ac:dyDescent="0.25">
      <c r="A30" s="66"/>
      <c r="B30" s="66"/>
      <c r="C30" s="66"/>
      <c r="D30" s="67"/>
      <c r="E30" s="26" t="s">
        <v>39</v>
      </c>
      <c r="F30" s="331">
        <v>30.14</v>
      </c>
      <c r="G30" s="63">
        <v>30.14</v>
      </c>
      <c r="H30" s="64">
        <v>0</v>
      </c>
      <c r="I30" s="63">
        <v>0</v>
      </c>
      <c r="J30" s="63">
        <v>529.88000000000284</v>
      </c>
      <c r="K30" s="273">
        <v>0</v>
      </c>
      <c r="L30" s="79" t="str">
        <f>HYPERLINK("http://finance.yahoo.com/q?s=" &amp; E30, "Link")</f>
        <v>Link</v>
      </c>
      <c r="M30" s="244"/>
      <c r="Q30" s="187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1">
        <v>130.16</v>
      </c>
      <c r="G31" s="63">
        <v>123.5</v>
      </c>
      <c r="H31" s="64">
        <v>10</v>
      </c>
      <c r="I31" s="63">
        <v>1235</v>
      </c>
      <c r="J31" s="63">
        <v>66.599999999999909</v>
      </c>
      <c r="K31" s="273">
        <v>5.392712550607285E-2</v>
      </c>
      <c r="L31" s="79" t="str">
        <f>HYPERLINK("http://finance.yahoo.com/q?s=" &amp; E31, "Link")</f>
        <v>Link</v>
      </c>
      <c r="M31" s="243"/>
      <c r="Q31" s="187"/>
    </row>
    <row r="32" spans="1:17" ht="18.95" customHeight="1" x14ac:dyDescent="0.25">
      <c r="A32" s="65"/>
      <c r="B32" s="65"/>
      <c r="C32" s="66"/>
      <c r="D32" s="67"/>
      <c r="E32" s="26" t="s">
        <v>51</v>
      </c>
      <c r="F32" s="331">
        <v>117.68</v>
      </c>
      <c r="G32" s="63">
        <v>117.68</v>
      </c>
      <c r="H32" s="64">
        <v>0</v>
      </c>
      <c r="I32" s="63">
        <v>0</v>
      </c>
      <c r="J32" s="63">
        <v>176.70000000000073</v>
      </c>
      <c r="K32" s="273">
        <v>0</v>
      </c>
      <c r="L32" s="79" t="str">
        <f>HYPERLINK("http://finance.yahoo.com/q?s=" &amp; E32, "Link")</f>
        <v>Link</v>
      </c>
      <c r="M32" s="253"/>
      <c r="N32" s="78"/>
      <c r="O32" s="78"/>
      <c r="Q32" s="187"/>
    </row>
    <row r="33" spans="1:17" ht="18.95" customHeight="1" x14ac:dyDescent="0.25">
      <c r="A33" s="66"/>
      <c r="B33" s="66"/>
      <c r="C33" s="66"/>
      <c r="D33" s="67"/>
      <c r="E33" s="26" t="s">
        <v>42</v>
      </c>
      <c r="F33" s="331">
        <v>79.900000000000006</v>
      </c>
      <c r="G33" s="63">
        <v>79.900000000000006</v>
      </c>
      <c r="H33" s="64">
        <v>0</v>
      </c>
      <c r="I33" s="63">
        <v>0</v>
      </c>
      <c r="J33" s="63">
        <v>128.08999999999833</v>
      </c>
      <c r="K33" s="273">
        <v>0</v>
      </c>
      <c r="L33" s="79" t="str">
        <f>HYPERLINK("http://finance.yahoo.com/q?s=" &amp; E33, "Link")</f>
        <v>Link</v>
      </c>
      <c r="M33" s="200"/>
      <c r="N33" s="63"/>
      <c r="O33" s="63"/>
      <c r="Q33" s="187"/>
    </row>
    <row r="34" spans="1:17" ht="18.95" customHeight="1" x14ac:dyDescent="0.25">
      <c r="A34" s="194"/>
      <c r="B34" s="65"/>
      <c r="C34" s="66"/>
      <c r="D34" s="67"/>
      <c r="E34" s="26" t="s">
        <v>54</v>
      </c>
      <c r="F34" s="331">
        <v>88.23</v>
      </c>
      <c r="G34" s="63">
        <v>88.23</v>
      </c>
      <c r="H34" s="64">
        <v>0</v>
      </c>
      <c r="I34" s="63">
        <v>0</v>
      </c>
      <c r="J34" s="63">
        <v>114.84999999999991</v>
      </c>
      <c r="K34" s="273">
        <v>0</v>
      </c>
      <c r="L34" s="79" t="str">
        <f>HYPERLINK("http://finance.yahoo.com/q?s=" &amp; E34, "Link")</f>
        <v>Link</v>
      </c>
      <c r="M34" s="253"/>
      <c r="Q34" s="187"/>
    </row>
    <row r="35" spans="1:17" ht="18.95" customHeight="1" x14ac:dyDescent="0.25">
      <c r="A35" s="65"/>
      <c r="B35" s="65"/>
      <c r="C35" s="66"/>
      <c r="D35" s="67"/>
      <c r="E35" s="26" t="s">
        <v>277</v>
      </c>
      <c r="F35" s="331">
        <v>48.09</v>
      </c>
      <c r="G35" s="63">
        <v>50.5</v>
      </c>
      <c r="H35" s="64">
        <v>40</v>
      </c>
      <c r="I35" s="63">
        <v>2020</v>
      </c>
      <c r="J35" s="63">
        <v>-96.399999999999864</v>
      </c>
      <c r="K35" s="273">
        <v>-4.7722772277227654E-2</v>
      </c>
      <c r="L35" s="79" t="str">
        <f>HYPERLINK("http://finance.yahoo.com/q?s=" &amp; E35, "Link")</f>
        <v>Link</v>
      </c>
      <c r="M35" s="244"/>
      <c r="Q35" s="187"/>
    </row>
    <row r="36" spans="1:17" ht="18.95" customHeight="1" x14ac:dyDescent="0.25">
      <c r="A36" s="65"/>
      <c r="B36" s="65"/>
      <c r="C36" s="66"/>
      <c r="D36" s="67"/>
      <c r="E36" s="26" t="s">
        <v>53</v>
      </c>
      <c r="F36" s="331">
        <v>46.66</v>
      </c>
      <c r="G36" s="63">
        <v>46.66</v>
      </c>
      <c r="H36" s="64">
        <v>0</v>
      </c>
      <c r="I36" s="63">
        <v>0</v>
      </c>
      <c r="J36" s="63">
        <v>33.940000000000055</v>
      </c>
      <c r="K36" s="273">
        <v>0</v>
      </c>
      <c r="L36" s="79" t="str">
        <f>HYPERLINK("http://finance.yahoo.com/q?s=" &amp; E36, "Link")</f>
        <v>Link</v>
      </c>
      <c r="M36" s="345"/>
      <c r="Q36" s="187"/>
    </row>
    <row r="37" spans="1:17" ht="18.95" customHeight="1" x14ac:dyDescent="0.25">
      <c r="A37" s="65"/>
      <c r="B37" s="65"/>
      <c r="C37" s="66"/>
      <c r="E37" s="26"/>
      <c r="K37" s="273"/>
      <c r="L37" s="79"/>
      <c r="M37" s="244"/>
      <c r="Q37" s="187"/>
    </row>
    <row r="38" spans="1:17" ht="18.95" customHeight="1" x14ac:dyDescent="0.25">
      <c r="A38" s="65"/>
      <c r="B38" s="65"/>
      <c r="C38" s="66"/>
      <c r="D38" s="67"/>
      <c r="E38" s="26"/>
      <c r="K38" s="273"/>
      <c r="L38" s="79"/>
      <c r="M38" s="200"/>
      <c r="Q38" s="187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A2:Q71">
    <sortCondition ref="E1"/>
  </sortState>
  <conditionalFormatting sqref="J2:J21">
    <cfRule type="expression" dxfId="437" priority="36">
      <formula>$J2&lt;0</formula>
    </cfRule>
  </conditionalFormatting>
  <conditionalFormatting sqref="J2:J21">
    <cfRule type="expression" dxfId="436" priority="35">
      <formula>$J2&gt;0</formula>
    </cfRule>
  </conditionalFormatting>
  <conditionalFormatting sqref="K1:K1048576">
    <cfRule type="colorScale" priority="3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35" priority="30">
      <formula>H2=0</formula>
    </cfRule>
  </conditionalFormatting>
  <conditionalFormatting sqref="E3">
    <cfRule type="expression" dxfId="434" priority="29">
      <formula>H3=0</formula>
    </cfRule>
  </conditionalFormatting>
  <conditionalFormatting sqref="G2:G35">
    <cfRule type="expression" dxfId="433" priority="28">
      <formula>H2=0</formula>
    </cfRule>
  </conditionalFormatting>
  <conditionalFormatting sqref="Q13">
    <cfRule type="expression" dxfId="432" priority="26">
      <formula>R13=0</formula>
    </cfRule>
  </conditionalFormatting>
  <conditionalFormatting sqref="F2:F35">
    <cfRule type="expression" dxfId="431" priority="25">
      <formula>H2=0</formula>
    </cfRule>
  </conditionalFormatting>
  <conditionalFormatting sqref="P22">
    <cfRule type="expression" dxfId="430" priority="24">
      <formula>R22=0</formula>
    </cfRule>
  </conditionalFormatting>
  <conditionalFormatting sqref="H2:H35">
    <cfRule type="expression" dxfId="429" priority="22">
      <formula>H2=0</formula>
    </cfRule>
  </conditionalFormatting>
  <conditionalFormatting sqref="P19">
    <cfRule type="expression" dxfId="428" priority="21">
      <formula>P19=0</formula>
    </cfRule>
  </conditionalFormatting>
  <conditionalFormatting sqref="Q12">
    <cfRule type="expression" dxfId="427" priority="20">
      <formula>Q12=0</formula>
    </cfRule>
  </conditionalFormatting>
  <conditionalFormatting sqref="O9">
    <cfRule type="expression" dxfId="426" priority="19">
      <formula>O9=0</formula>
    </cfRule>
  </conditionalFormatting>
  <conditionalFormatting sqref="I2:I36">
    <cfRule type="expression" dxfId="425" priority="18">
      <formula>H2=0</formula>
    </cfRule>
  </conditionalFormatting>
  <conditionalFormatting sqref="P18">
    <cfRule type="expression" dxfId="424" priority="17">
      <formula>O18=0</formula>
    </cfRule>
  </conditionalFormatting>
  <conditionalFormatting sqref="Q11">
    <cfRule type="expression" dxfId="423" priority="16">
      <formula>P11=0</formula>
    </cfRule>
  </conditionalFormatting>
  <conditionalFormatting sqref="K2:K71">
    <cfRule type="expression" dxfId="422" priority="15">
      <formula>H2=0</formula>
    </cfRule>
  </conditionalFormatting>
  <conditionalFormatting sqref="K28">
    <cfRule type="expression" dxfId="421" priority="14">
      <formula>H28=0</formula>
    </cfRule>
  </conditionalFormatting>
  <conditionalFormatting sqref="K29">
    <cfRule type="expression" dxfId="420" priority="13">
      <formula>H29=0</formula>
    </cfRule>
  </conditionalFormatting>
  <conditionalFormatting sqref="G29">
    <cfRule type="expression" dxfId="419" priority="10">
      <formula>H29=0</formula>
    </cfRule>
  </conditionalFormatting>
  <conditionalFormatting sqref="E23:E32">
    <cfRule type="expression" dxfId="418" priority="7">
      <formula>H23=0</formula>
    </cfRule>
  </conditionalFormatting>
  <conditionalFormatting sqref="J22:J37">
    <cfRule type="expression" dxfId="417" priority="6">
      <formula>$J22&lt;0</formula>
    </cfRule>
  </conditionalFormatting>
  <conditionalFormatting sqref="J22:J37">
    <cfRule type="expression" dxfId="416" priority="5">
      <formula>$J22&gt;0</formula>
    </cfRule>
  </conditionalFormatting>
  <conditionalFormatting sqref="F37">
    <cfRule type="expression" dxfId="415" priority="4">
      <formula>H37=0</formula>
    </cfRule>
  </conditionalFormatting>
  <conditionalFormatting sqref="F36">
    <cfRule type="expression" dxfId="414" priority="3">
      <formula>H36=0</formula>
    </cfRule>
  </conditionalFormatting>
  <conditionalFormatting sqref="G36">
    <cfRule type="expression" dxfId="413" priority="2">
      <formula>H36=0</formula>
    </cfRule>
  </conditionalFormatting>
  <conditionalFormatting sqref="H36">
    <cfRule type="expression" dxfId="412" priority="1">
      <formula>H36=0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7"/>
  <sheetViews>
    <sheetView tabSelected="1" zoomScaleNormal="100" workbookViewId="0">
      <pane ySplit="1" topLeftCell="A86" activePane="bottomLeft" state="frozen"/>
      <selection pane="bottomLeft" activeCell="AE23" sqref="AE2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143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13478</v>
      </c>
      <c r="W2" s="160">
        <v>42419</v>
      </c>
      <c r="X2" s="12">
        <v>6.85</v>
      </c>
      <c r="Y2" s="12">
        <v>6.88</v>
      </c>
      <c r="Z2" s="12">
        <v>6.52</v>
      </c>
      <c r="AA2" s="12">
        <v>6.73</v>
      </c>
      <c r="AB2" s="115">
        <v>38595300</v>
      </c>
      <c r="AC2" s="12">
        <v>6.73</v>
      </c>
      <c r="AD2">
        <f t="shared" ref="AD2:AD14" si="0">Y2-Z2</f>
        <v>0.36000000000000032</v>
      </c>
      <c r="AE2" s="165">
        <f t="shared" ref="AE2:AE14" si="1">AC2/AC3-1</f>
        <v>-2.8860028860028808E-2</v>
      </c>
      <c r="AP2" t="s">
        <v>209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14.673679997032188</v>
      </c>
      <c r="W3" s="160">
        <v>42418</v>
      </c>
      <c r="X3" s="12">
        <v>7.6</v>
      </c>
      <c r="Y3" s="12">
        <v>7.62</v>
      </c>
      <c r="Z3" s="12">
        <v>6.7</v>
      </c>
      <c r="AA3" s="12">
        <v>6.93</v>
      </c>
      <c r="AB3" s="115">
        <v>54821400</v>
      </c>
      <c r="AC3" s="12">
        <v>6.93</v>
      </c>
      <c r="AD3">
        <f t="shared" si="0"/>
        <v>0.91999999999999993</v>
      </c>
      <c r="AE3" s="165">
        <f t="shared" si="1"/>
        <v>-6.4777327935222728E-2</v>
      </c>
      <c r="AI3" t="s">
        <v>222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6.73</v>
      </c>
      <c r="W4" s="160">
        <v>42417</v>
      </c>
      <c r="X4" s="12">
        <v>7.67</v>
      </c>
      <c r="Y4" s="12">
        <v>7.72</v>
      </c>
      <c r="Z4" s="12">
        <v>6.75</v>
      </c>
      <c r="AA4" s="12">
        <v>7.41</v>
      </c>
      <c r="AB4" s="115">
        <v>63298300</v>
      </c>
      <c r="AC4" s="12">
        <v>7.41</v>
      </c>
      <c r="AD4">
        <f t="shared" si="0"/>
        <v>0.96999999999999975</v>
      </c>
      <c r="AE4" s="165">
        <f t="shared" si="1"/>
        <v>1.3513513513512265E-3</v>
      </c>
      <c r="AI4" t="s">
        <v>222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92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90706.94</v>
      </c>
      <c r="T5" s="85"/>
      <c r="W5" s="160">
        <v>42416</v>
      </c>
      <c r="X5" s="12">
        <v>7.76</v>
      </c>
      <c r="Y5" s="12">
        <v>7.84</v>
      </c>
      <c r="Z5" s="12">
        <v>7.18</v>
      </c>
      <c r="AA5" s="12">
        <v>7.4</v>
      </c>
      <c r="AB5" s="115">
        <v>22388300</v>
      </c>
      <c r="AC5" s="12">
        <v>7.4</v>
      </c>
      <c r="AD5">
        <f t="shared" si="0"/>
        <v>0.66000000000000014</v>
      </c>
      <c r="AE5" s="165">
        <f t="shared" si="1"/>
        <v>-1.2016021361815787E-2</v>
      </c>
    </row>
    <row r="6" spans="1:43" x14ac:dyDescent="0.25">
      <c r="B6" s="392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197771.85899999982</v>
      </c>
      <c r="W6" s="160">
        <v>42412</v>
      </c>
      <c r="X6" s="12">
        <v>7.22</v>
      </c>
      <c r="Y6" s="12">
        <v>7.66</v>
      </c>
      <c r="Z6" s="12">
        <v>7.05</v>
      </c>
      <c r="AA6" s="12">
        <v>7.49</v>
      </c>
      <c r="AB6" s="115">
        <v>30427700</v>
      </c>
      <c r="AC6" s="12">
        <v>7.49</v>
      </c>
      <c r="AD6">
        <f t="shared" si="0"/>
        <v>0.61000000000000032</v>
      </c>
      <c r="AE6" s="165" t="e">
        <f t="shared" si="1"/>
        <v>#DIV/0!</v>
      </c>
    </row>
    <row r="7" spans="1:43" ht="15.75" x14ac:dyDescent="0.25">
      <c r="B7" s="392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90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-107064.91899999982</v>
      </c>
      <c r="R7" s="243" t="s">
        <v>330</v>
      </c>
      <c r="T7" s="55">
        <v>42312</v>
      </c>
      <c r="U7" s="234" t="s">
        <v>181</v>
      </c>
      <c r="W7" s="160">
        <v>42412</v>
      </c>
      <c r="X7" s="12" t="s">
        <v>200</v>
      </c>
      <c r="Y7" s="12"/>
      <c r="Z7" s="12"/>
      <c r="AA7" s="12"/>
      <c r="AB7" s="115"/>
      <c r="AC7" s="12"/>
      <c r="AD7">
        <f t="shared" si="0"/>
        <v>0</v>
      </c>
      <c r="AE7" s="165">
        <f t="shared" si="1"/>
        <v>-1</v>
      </c>
    </row>
    <row r="8" spans="1:43" x14ac:dyDescent="0.25">
      <c r="B8" s="392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90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-0.5413556789189099</v>
      </c>
      <c r="W8" s="160">
        <v>42411</v>
      </c>
      <c r="X8" s="12">
        <v>6.92</v>
      </c>
      <c r="Y8" s="12">
        <v>7.3</v>
      </c>
      <c r="Z8" s="12">
        <v>6.52</v>
      </c>
      <c r="AA8" s="12">
        <v>7.06</v>
      </c>
      <c r="AB8" s="115">
        <v>36853000</v>
      </c>
      <c r="AC8" s="12">
        <v>7.01</v>
      </c>
      <c r="AD8">
        <f t="shared" si="0"/>
        <v>0.78000000000000025</v>
      </c>
      <c r="AE8" s="165">
        <f t="shared" si="1"/>
        <v>-9.8870056497175618E-3</v>
      </c>
    </row>
    <row r="9" spans="1:43" x14ac:dyDescent="0.25">
      <c r="B9" s="392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42410</v>
      </c>
      <c r="X9" s="12">
        <v>7.23</v>
      </c>
      <c r="Y9" s="12">
        <v>7.62</v>
      </c>
      <c r="Z9" s="12">
        <v>7.01</v>
      </c>
      <c r="AA9" s="12">
        <v>7.13</v>
      </c>
      <c r="AB9" s="115">
        <v>21711900</v>
      </c>
      <c r="AC9" s="12">
        <v>7.08</v>
      </c>
      <c r="AD9">
        <f t="shared" si="0"/>
        <v>0.61000000000000032</v>
      </c>
      <c r="AE9" s="165">
        <f t="shared" si="1"/>
        <v>-2.2099447513812209E-2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91" t="s">
        <v>161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42409</v>
      </c>
      <c r="X10" s="12">
        <v>7.63</v>
      </c>
      <c r="Y10" s="12">
        <v>7.71</v>
      </c>
      <c r="Z10" s="12">
        <v>7.03</v>
      </c>
      <c r="AA10" s="12">
        <v>7.29</v>
      </c>
      <c r="AB10" s="115">
        <v>24990000</v>
      </c>
      <c r="AC10" s="12">
        <v>7.24</v>
      </c>
      <c r="AD10">
        <f t="shared" si="0"/>
        <v>0.67999999999999972</v>
      </c>
      <c r="AE10" s="165">
        <f t="shared" si="1"/>
        <v>-6.7010309278350499E-2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91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42408</v>
      </c>
      <c r="X11" s="12">
        <v>8.26</v>
      </c>
      <c r="Y11" s="12">
        <v>8.4600000000000009</v>
      </c>
      <c r="Z11" s="12">
        <v>7.63</v>
      </c>
      <c r="AA11" s="12">
        <v>7.82</v>
      </c>
      <c r="AB11" s="115">
        <v>45568000</v>
      </c>
      <c r="AC11" s="12">
        <v>7.76</v>
      </c>
      <c r="AD11">
        <f t="shared" si="0"/>
        <v>0.83000000000000096</v>
      </c>
      <c r="AE11" s="165">
        <f t="shared" si="1"/>
        <v>-7.6190476190476253E-2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91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42405</v>
      </c>
      <c r="X12" s="12">
        <v>9.07</v>
      </c>
      <c r="Y12" s="12">
        <v>9.1</v>
      </c>
      <c r="Z12" s="12">
        <v>8.34</v>
      </c>
      <c r="AA12" s="12">
        <v>8.4600000000000009</v>
      </c>
      <c r="AB12" s="115">
        <v>29574000</v>
      </c>
      <c r="AC12" s="12">
        <v>8.4</v>
      </c>
      <c r="AD12">
        <f t="shared" si="0"/>
        <v>0.75999999999999979</v>
      </c>
      <c r="AE12" s="165">
        <f t="shared" si="1"/>
        <v>-7.8947368421052544E-2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91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42404</v>
      </c>
      <c r="X13" s="12">
        <v>9.5500000000000007</v>
      </c>
      <c r="Y13" s="12">
        <v>10.28</v>
      </c>
      <c r="Z13" s="12">
        <v>9.09</v>
      </c>
      <c r="AA13" s="12">
        <v>9.19</v>
      </c>
      <c r="AB13" s="115">
        <v>33500300</v>
      </c>
      <c r="AC13" s="12">
        <v>9.1199999999999992</v>
      </c>
      <c r="AD13">
        <f t="shared" si="0"/>
        <v>1.1899999999999995</v>
      </c>
      <c r="AE13" s="165">
        <f t="shared" si="1"/>
        <v>-2.4598930481283476E-2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91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42403</v>
      </c>
      <c r="X14" s="12">
        <v>9.02</v>
      </c>
      <c r="Y14" s="12">
        <v>9.43</v>
      </c>
      <c r="Z14" s="12">
        <v>8.44</v>
      </c>
      <c r="AA14" s="12">
        <v>9.42</v>
      </c>
      <c r="AB14" s="115">
        <v>23844300</v>
      </c>
      <c r="AC14" s="12">
        <v>9.35</v>
      </c>
      <c r="AD14">
        <f t="shared" si="0"/>
        <v>0.99000000000000021</v>
      </c>
      <c r="AE14" s="165">
        <f t="shared" si="1"/>
        <v>7.7188940092165925E-2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91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42402</v>
      </c>
      <c r="X15" s="12">
        <v>9.32</v>
      </c>
      <c r="Y15" s="12">
        <v>9.35</v>
      </c>
      <c r="Z15" s="12">
        <v>8.69</v>
      </c>
      <c r="AA15" s="12">
        <v>8.74</v>
      </c>
      <c r="AB15" s="115">
        <v>19959900</v>
      </c>
      <c r="AC15" s="12">
        <v>8.68</v>
      </c>
      <c r="AD15">
        <f>Y15-Z15</f>
        <v>0.66000000000000014</v>
      </c>
      <c r="AE15" s="165">
        <f>AC15/AC16-1</f>
        <v>-0.10237849017580147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91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42401</v>
      </c>
      <c r="X16" s="12">
        <v>9.3800000000000008</v>
      </c>
      <c r="Y16" s="12">
        <v>9.8000000000000007</v>
      </c>
      <c r="Z16" s="12">
        <v>9.2200000000000006</v>
      </c>
      <c r="AA16" s="12">
        <v>9.74</v>
      </c>
      <c r="AB16" s="115">
        <v>17658100</v>
      </c>
      <c r="AC16" s="12">
        <v>9.67</v>
      </c>
      <c r="AD16">
        <f t="shared" ref="AD16:AD68" si="7">Y16-Z16</f>
        <v>0.58000000000000007</v>
      </c>
      <c r="AE16" s="165">
        <f t="shared" ref="AE16:AE67" si="8">AC16/AC17-1</f>
        <v>1.0351966873705098E-3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91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42398</v>
      </c>
      <c r="X17" s="12">
        <v>9.2200000000000006</v>
      </c>
      <c r="Y17" s="12">
        <v>9.85</v>
      </c>
      <c r="Z17" s="12">
        <v>9.17</v>
      </c>
      <c r="AA17" s="12">
        <v>9.73</v>
      </c>
      <c r="AB17" s="115">
        <v>20678000</v>
      </c>
      <c r="AC17" s="12">
        <v>9.66</v>
      </c>
      <c r="AD17">
        <f t="shared" si="7"/>
        <v>0.67999999999999972</v>
      </c>
      <c r="AE17" s="165">
        <f t="shared" si="8"/>
        <v>6.0373216245883654E-2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42397</v>
      </c>
      <c r="X18" s="12">
        <v>9.34</v>
      </c>
      <c r="Y18" s="12">
        <v>9.5500000000000007</v>
      </c>
      <c r="Z18" s="12">
        <v>8.84</v>
      </c>
      <c r="AA18" s="12">
        <v>9.17</v>
      </c>
      <c r="AB18" s="115">
        <v>20994400</v>
      </c>
      <c r="AC18" s="12">
        <v>9.11</v>
      </c>
      <c r="AD18">
        <f t="shared" si="7"/>
        <v>0.71000000000000085</v>
      </c>
      <c r="AE18" s="165">
        <f t="shared" si="8"/>
        <v>4.833141542002295E-2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42396</v>
      </c>
      <c r="X19" s="12">
        <v>8.34</v>
      </c>
      <c r="Y19" s="12">
        <v>9.35</v>
      </c>
      <c r="Z19" s="12">
        <v>8.18</v>
      </c>
      <c r="AA19" s="12">
        <v>8.75</v>
      </c>
      <c r="AB19" s="115">
        <v>27289200</v>
      </c>
      <c r="AC19" s="12">
        <v>8.69</v>
      </c>
      <c r="AD19">
        <f t="shared" si="7"/>
        <v>1.17</v>
      </c>
      <c r="AE19" s="165">
        <f t="shared" si="8"/>
        <v>3.5756853396901045E-2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42395</v>
      </c>
      <c r="X20" s="12">
        <v>8.36</v>
      </c>
      <c r="Y20" s="12">
        <v>8.5</v>
      </c>
      <c r="Z20" s="12">
        <v>7.93</v>
      </c>
      <c r="AA20" s="12">
        <v>8.4499999999999993</v>
      </c>
      <c r="AB20" s="115">
        <v>16346000</v>
      </c>
      <c r="AC20" s="12">
        <v>8.39</v>
      </c>
      <c r="AD20">
        <f t="shared" si="7"/>
        <v>0.57000000000000028</v>
      </c>
      <c r="AE20" s="165">
        <f t="shared" si="8"/>
        <v>3.8366336633663511E-2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42394</v>
      </c>
      <c r="X21" s="12">
        <v>8.75</v>
      </c>
      <c r="Y21" s="12">
        <v>9.19</v>
      </c>
      <c r="Z21" s="12">
        <v>8.1199999999999992</v>
      </c>
      <c r="AA21" s="12">
        <v>8.14</v>
      </c>
      <c r="AB21" s="115">
        <v>19509600</v>
      </c>
      <c r="AC21" s="12">
        <v>8.08</v>
      </c>
      <c r="AD21">
        <f t="shared" si="7"/>
        <v>1.0700000000000003</v>
      </c>
      <c r="AE21" s="165">
        <f t="shared" si="8"/>
        <v>-9.8214285714285809E-2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42391</v>
      </c>
      <c r="X22" s="12">
        <v>10.19</v>
      </c>
      <c r="Y22" s="12">
        <v>10.63</v>
      </c>
      <c r="Z22" s="12">
        <v>8.64</v>
      </c>
      <c r="AA22" s="12">
        <v>9.02</v>
      </c>
      <c r="AB22" s="115">
        <v>38960100</v>
      </c>
      <c r="AC22" s="12">
        <v>8.9600000000000009</v>
      </c>
      <c r="AD22">
        <f t="shared" si="7"/>
        <v>1.9900000000000002</v>
      </c>
      <c r="AE22" s="165">
        <f t="shared" si="8"/>
        <v>2.6345933562428536E-2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42390</v>
      </c>
      <c r="X23" s="12">
        <v>7.75</v>
      </c>
      <c r="Y23" s="12">
        <v>8.89</v>
      </c>
      <c r="Z23" s="12">
        <v>7.72</v>
      </c>
      <c r="AA23" s="12">
        <v>8.7899999999999991</v>
      </c>
      <c r="AB23" s="115">
        <v>37173900</v>
      </c>
      <c r="AC23" s="12">
        <v>8.73</v>
      </c>
      <c r="AD23">
        <f t="shared" si="7"/>
        <v>1.1700000000000008</v>
      </c>
      <c r="AE23" s="165">
        <f t="shared" si="8"/>
        <v>0.11923076923076925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42389</v>
      </c>
      <c r="X24" s="12">
        <v>7.34</v>
      </c>
      <c r="Y24" s="12">
        <v>8.0399999999999991</v>
      </c>
      <c r="Z24" s="12">
        <v>7.08</v>
      </c>
      <c r="AA24" s="12">
        <v>7.86</v>
      </c>
      <c r="AB24" s="115">
        <v>45468000</v>
      </c>
      <c r="AC24" s="12">
        <v>7.8</v>
      </c>
      <c r="AD24">
        <f t="shared" si="7"/>
        <v>0.95999999999999908</v>
      </c>
      <c r="AE24" s="165">
        <f t="shared" si="8"/>
        <v>2.2280471821756187E-2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42388</v>
      </c>
      <c r="X25" s="12">
        <v>8.2100000000000009</v>
      </c>
      <c r="Y25" s="12">
        <v>8.26</v>
      </c>
      <c r="Z25" s="12">
        <v>7.49</v>
      </c>
      <c r="AA25" s="12">
        <v>7.68</v>
      </c>
      <c r="AB25" s="115">
        <v>29537200</v>
      </c>
      <c r="AC25" s="12">
        <v>7.63</v>
      </c>
      <c r="AD25">
        <f t="shared" si="7"/>
        <v>0.76999999999999957</v>
      </c>
      <c r="AE25" s="165">
        <f t="shared" si="8"/>
        <v>-5.5693069306930743E-2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42384</v>
      </c>
      <c r="X26" s="12">
        <v>8.14</v>
      </c>
      <c r="Y26" s="12">
        <v>8.3699999999999992</v>
      </c>
      <c r="Z26" s="12">
        <v>7.71</v>
      </c>
      <c r="AA26" s="12">
        <v>8.14</v>
      </c>
      <c r="AB26" s="115">
        <v>39565500</v>
      </c>
      <c r="AC26" s="12">
        <v>8.08</v>
      </c>
      <c r="AD26">
        <f t="shared" si="7"/>
        <v>0.65999999999999925</v>
      </c>
      <c r="AE26" s="165">
        <f t="shared" si="8"/>
        <v>-0.10321864594894559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42383</v>
      </c>
      <c r="X27" s="12">
        <v>8.6999999999999993</v>
      </c>
      <c r="Y27" s="12">
        <v>9.24</v>
      </c>
      <c r="Z27" s="12">
        <v>8.36</v>
      </c>
      <c r="AA27" s="12">
        <v>9.07</v>
      </c>
      <c r="AB27" s="115">
        <v>33825800</v>
      </c>
      <c r="AC27" s="12">
        <v>9.01</v>
      </c>
      <c r="AD27">
        <f t="shared" si="7"/>
        <v>0.88000000000000078</v>
      </c>
      <c r="AE27" s="165">
        <f t="shared" si="8"/>
        <v>6.25E-2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42382</v>
      </c>
      <c r="X28" s="12">
        <v>9.4</v>
      </c>
      <c r="Y28" s="12">
        <v>9.64</v>
      </c>
      <c r="Z28" s="12">
        <v>8.44</v>
      </c>
      <c r="AA28" s="12">
        <v>8.5399999999999991</v>
      </c>
      <c r="AB28" s="115">
        <v>26857700</v>
      </c>
      <c r="AC28" s="12">
        <v>8.48</v>
      </c>
      <c r="AD28">
        <f t="shared" si="7"/>
        <v>1.2000000000000011</v>
      </c>
      <c r="AE28" s="165">
        <f t="shared" si="8"/>
        <v>-7.0175438596491113E-2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42381</v>
      </c>
      <c r="X29" s="12">
        <v>9.6999999999999993</v>
      </c>
      <c r="Y29" s="12">
        <v>9.76</v>
      </c>
      <c r="Z29" s="12">
        <v>8.7100000000000009</v>
      </c>
      <c r="AA29" s="12">
        <v>9.19</v>
      </c>
      <c r="AB29" s="115">
        <v>25506000</v>
      </c>
      <c r="AC29" s="12">
        <v>9.1199999999999992</v>
      </c>
      <c r="AD29">
        <f t="shared" si="7"/>
        <v>1.0499999999999989</v>
      </c>
      <c r="AE29" s="165">
        <f t="shared" si="8"/>
        <v>-4.5026178010471374E-2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42380</v>
      </c>
      <c r="X30" s="12">
        <v>10.4</v>
      </c>
      <c r="Y30" s="12">
        <v>10.41</v>
      </c>
      <c r="Z30" s="12">
        <v>9.3699999999999992</v>
      </c>
      <c r="AA30" s="12">
        <v>9.6199999999999992</v>
      </c>
      <c r="AB30" s="115">
        <v>22275300</v>
      </c>
      <c r="AC30" s="12">
        <v>9.5500000000000007</v>
      </c>
      <c r="AD30">
        <f t="shared" si="7"/>
        <v>1.0400000000000009</v>
      </c>
      <c r="AE30" s="165">
        <f t="shared" si="8"/>
        <v>-7.1011673151750832E-2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42377</v>
      </c>
      <c r="X31" s="12">
        <v>10.78</v>
      </c>
      <c r="Y31" s="12">
        <v>10.91</v>
      </c>
      <c r="Z31" s="12">
        <v>9.86</v>
      </c>
      <c r="AA31" s="12">
        <v>10.35</v>
      </c>
      <c r="AB31" s="115">
        <v>34056400</v>
      </c>
      <c r="AC31" s="12">
        <v>10.28</v>
      </c>
      <c r="AD31">
        <f t="shared" si="7"/>
        <v>1.0500000000000007</v>
      </c>
      <c r="AE31" s="165">
        <f t="shared" si="8"/>
        <v>-2.9272898961284266E-2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42376</v>
      </c>
      <c r="X32" s="12">
        <v>10.83</v>
      </c>
      <c r="Y32" s="12">
        <v>11.18</v>
      </c>
      <c r="Z32" s="12">
        <v>10.55</v>
      </c>
      <c r="AA32" s="12">
        <v>10.67</v>
      </c>
      <c r="AB32" s="115">
        <v>20172900</v>
      </c>
      <c r="AC32" s="12">
        <v>10.59</v>
      </c>
      <c r="AD32">
        <f t="shared" si="7"/>
        <v>0.62999999999999901</v>
      </c>
      <c r="AE32" s="165">
        <f t="shared" si="8"/>
        <v>-5.4464285714285632E-2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3">
        <v>42374</v>
      </c>
      <c r="H33" s="102">
        <v>2000</v>
      </c>
      <c r="I33" s="99">
        <v>12.81</v>
      </c>
      <c r="J33" s="57">
        <v>0.47</v>
      </c>
      <c r="K33" s="57">
        <f t="shared" ref="K33:K39" si="11">H33*I33-J33</f>
        <v>25619.53</v>
      </c>
      <c r="W33" s="160">
        <v>42375</v>
      </c>
      <c r="X33" s="12">
        <v>12.25</v>
      </c>
      <c r="Y33" s="12">
        <v>12.27</v>
      </c>
      <c r="Z33" s="12">
        <v>11.14</v>
      </c>
      <c r="AA33" s="12">
        <v>11.28</v>
      </c>
      <c r="AB33" s="115">
        <v>15837500</v>
      </c>
      <c r="AC33" s="12">
        <v>11.2</v>
      </c>
      <c r="AD33">
        <f t="shared" si="7"/>
        <v>1.129999999999999</v>
      </c>
      <c r="AE33" s="165">
        <f t="shared" si="8"/>
        <v>-0.11602209944751385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42374</v>
      </c>
      <c r="X34" s="12">
        <v>12.79</v>
      </c>
      <c r="Y34" s="12">
        <v>12.86</v>
      </c>
      <c r="Z34" s="12">
        <v>12.33</v>
      </c>
      <c r="AA34" s="12">
        <v>12.76</v>
      </c>
      <c r="AB34" s="115">
        <v>9777000</v>
      </c>
      <c r="AC34" s="12">
        <v>12.67</v>
      </c>
      <c r="AD34">
        <f t="shared" si="7"/>
        <v>0.52999999999999936</v>
      </c>
      <c r="AE34" s="165">
        <f t="shared" si="8"/>
        <v>-4.7132757266300507E-3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42373</v>
      </c>
      <c r="X35" s="12">
        <v>12.56</v>
      </c>
      <c r="Y35" s="12">
        <v>13</v>
      </c>
      <c r="Z35" s="12">
        <v>12.38</v>
      </c>
      <c r="AA35" s="12">
        <v>12.82</v>
      </c>
      <c r="AB35" s="115">
        <v>12667600</v>
      </c>
      <c r="AC35" s="12">
        <v>12.73</v>
      </c>
      <c r="AD35">
        <f t="shared" si="7"/>
        <v>0.61999999999999922</v>
      </c>
      <c r="AE35" s="165">
        <f t="shared" si="8"/>
        <v>1.8399999999999972E-2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42369</v>
      </c>
      <c r="X36" s="12">
        <v>12.33</v>
      </c>
      <c r="Y36" s="12">
        <v>12.66</v>
      </c>
      <c r="Z36" s="12">
        <v>12.22</v>
      </c>
      <c r="AA36" s="12">
        <v>12.59</v>
      </c>
      <c r="AB36" s="115">
        <v>10141000</v>
      </c>
      <c r="AC36" s="12">
        <v>12.5</v>
      </c>
      <c r="AD36">
        <f t="shared" si="7"/>
        <v>0.4399999999999995</v>
      </c>
      <c r="AE36" s="165">
        <f t="shared" si="8"/>
        <v>1.7087062652563212E-2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1">
        <v>42412</v>
      </c>
      <c r="H37" s="102">
        <v>200</v>
      </c>
      <c r="I37" s="99">
        <v>7.45</v>
      </c>
      <c r="J37" s="57">
        <v>0.03</v>
      </c>
      <c r="K37" s="57">
        <f t="shared" si="11"/>
        <v>1489.97</v>
      </c>
      <c r="W37" s="160">
        <v>42368</v>
      </c>
      <c r="X37" s="12">
        <v>12.73</v>
      </c>
      <c r="Y37" s="12">
        <v>13.07</v>
      </c>
      <c r="Z37" s="12">
        <v>12.35</v>
      </c>
      <c r="AA37" s="12">
        <v>12.38</v>
      </c>
      <c r="AB37" s="115">
        <v>9897900</v>
      </c>
      <c r="AC37" s="12">
        <v>12.29</v>
      </c>
      <c r="AD37">
        <f t="shared" si="7"/>
        <v>0.72000000000000064</v>
      </c>
      <c r="AE37" s="165">
        <f t="shared" si="8"/>
        <v>-5.0231839258114364E-2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G38" s="1">
        <v>42416</v>
      </c>
      <c r="H38" s="93">
        <v>500</v>
      </c>
      <c r="I38" s="346">
        <v>7.75</v>
      </c>
      <c r="J38" s="17">
        <v>0.08</v>
      </c>
      <c r="K38" s="17">
        <f t="shared" si="11"/>
        <v>3874.92</v>
      </c>
      <c r="W38" s="160">
        <v>42367</v>
      </c>
      <c r="X38" s="12">
        <v>13.35</v>
      </c>
      <c r="Y38" s="12">
        <v>13.44</v>
      </c>
      <c r="Z38" s="12">
        <v>12.76</v>
      </c>
      <c r="AA38" s="12">
        <v>13.03</v>
      </c>
      <c r="AB38" s="115">
        <v>8141900</v>
      </c>
      <c r="AC38" s="12">
        <v>12.94</v>
      </c>
      <c r="AD38">
        <f t="shared" si="7"/>
        <v>0.67999999999999972</v>
      </c>
      <c r="AE38" s="165">
        <f t="shared" si="8"/>
        <v>3.8789759503490284E-3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G39" s="1"/>
      <c r="W39" s="160">
        <v>42366</v>
      </c>
      <c r="X39" s="12">
        <v>13.53</v>
      </c>
      <c r="Y39" s="12">
        <v>13.57</v>
      </c>
      <c r="Z39" s="12">
        <v>12.82</v>
      </c>
      <c r="AA39" s="12">
        <v>12.98</v>
      </c>
      <c r="AB39" s="115">
        <v>9519500</v>
      </c>
      <c r="AC39" s="12">
        <v>12.89</v>
      </c>
      <c r="AD39">
        <f t="shared" si="7"/>
        <v>0.75</v>
      </c>
      <c r="AE39" s="165">
        <f t="shared" si="8"/>
        <v>-6.7968185104844481E-2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G40" s="1"/>
      <c r="W40" s="160">
        <v>42362</v>
      </c>
      <c r="X40" s="12">
        <v>13.98</v>
      </c>
      <c r="Y40" s="12">
        <v>14.11</v>
      </c>
      <c r="Z40" s="12">
        <v>13.59</v>
      </c>
      <c r="AA40" s="12">
        <v>13.93</v>
      </c>
      <c r="AB40" s="115">
        <v>5709500</v>
      </c>
      <c r="AC40" s="12">
        <v>13.83</v>
      </c>
      <c r="AD40">
        <f t="shared" si="7"/>
        <v>0.51999999999999957</v>
      </c>
      <c r="AE40" s="165">
        <f t="shared" si="8"/>
        <v>-2.1645021645021467E-3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G41" s="1"/>
      <c r="W41" s="160">
        <v>42361</v>
      </c>
      <c r="X41" s="12">
        <v>13.07</v>
      </c>
      <c r="Y41" s="12">
        <v>13.97</v>
      </c>
      <c r="Z41" s="12">
        <v>12.99</v>
      </c>
      <c r="AA41" s="12">
        <v>13.96</v>
      </c>
      <c r="AB41" s="115">
        <v>14590100</v>
      </c>
      <c r="AC41" s="12">
        <v>13.86</v>
      </c>
      <c r="AD41">
        <f t="shared" si="7"/>
        <v>0.98000000000000043</v>
      </c>
      <c r="AE41" s="165">
        <f t="shared" si="8"/>
        <v>0.10000000000000009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G42" s="1"/>
      <c r="W42" s="160">
        <v>42360</v>
      </c>
      <c r="X42" s="12">
        <v>12.54</v>
      </c>
      <c r="Y42" s="12">
        <v>12.88</v>
      </c>
      <c r="Z42" s="12">
        <v>12.45</v>
      </c>
      <c r="AA42" s="12">
        <v>12.69</v>
      </c>
      <c r="AB42" s="115">
        <v>9509700</v>
      </c>
      <c r="AC42" s="12">
        <v>12.6</v>
      </c>
      <c r="AD42">
        <f t="shared" si="7"/>
        <v>0.43000000000000149</v>
      </c>
      <c r="AE42" s="165">
        <f t="shared" si="8"/>
        <v>1.3676588897827857E-2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G43" s="1"/>
      <c r="W43" s="160">
        <v>42359</v>
      </c>
      <c r="X43" s="12">
        <v>12.54</v>
      </c>
      <c r="Y43" s="12">
        <v>12.77</v>
      </c>
      <c r="Z43" s="12">
        <v>12.11</v>
      </c>
      <c r="AA43" s="12">
        <v>12.52</v>
      </c>
      <c r="AB43" s="115">
        <v>13683700</v>
      </c>
      <c r="AC43" s="12">
        <v>12.43</v>
      </c>
      <c r="AD43">
        <f t="shared" si="7"/>
        <v>0.66000000000000014</v>
      </c>
      <c r="AE43" s="165">
        <f t="shared" si="8"/>
        <v>4.0387722132471104E-3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G44" s="1"/>
      <c r="W44" s="160">
        <v>42356</v>
      </c>
      <c r="X44" s="12">
        <v>12.78</v>
      </c>
      <c r="Y44" s="12">
        <v>12.99</v>
      </c>
      <c r="Z44" s="12">
        <v>12.4</v>
      </c>
      <c r="AA44" s="12">
        <v>12.47</v>
      </c>
      <c r="AB44" s="115">
        <v>27418600</v>
      </c>
      <c r="AC44" s="12">
        <v>12.38</v>
      </c>
      <c r="AD44">
        <f t="shared" si="7"/>
        <v>0.58999999999999986</v>
      </c>
      <c r="AE44" s="165">
        <f t="shared" si="8"/>
        <v>-2.4428684003152012E-2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G45" s="1"/>
      <c r="I45" s="2"/>
      <c r="W45" s="160">
        <v>42355</v>
      </c>
      <c r="X45" s="12">
        <v>13.79</v>
      </c>
      <c r="Y45" s="12">
        <v>13.97</v>
      </c>
      <c r="Z45" s="12">
        <v>12.65</v>
      </c>
      <c r="AA45" s="12">
        <v>12.78</v>
      </c>
      <c r="AB45" s="115">
        <v>18589200</v>
      </c>
      <c r="AC45" s="12">
        <v>12.69</v>
      </c>
      <c r="AD45">
        <f t="shared" si="7"/>
        <v>1.3200000000000003</v>
      </c>
      <c r="AE45" s="165">
        <f t="shared" si="8"/>
        <v>-7.2368421052631637E-2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G46" s="1"/>
      <c r="W46" s="160">
        <v>42354</v>
      </c>
      <c r="X46" s="12">
        <v>14.47</v>
      </c>
      <c r="Y46" s="12">
        <v>14.48</v>
      </c>
      <c r="Z46" s="12">
        <v>13.48</v>
      </c>
      <c r="AA46" s="12">
        <v>13.78</v>
      </c>
      <c r="AB46" s="115">
        <v>15943200</v>
      </c>
      <c r="AC46" s="12">
        <v>13.68</v>
      </c>
      <c r="AD46">
        <f t="shared" si="7"/>
        <v>1</v>
      </c>
      <c r="AE46" s="165">
        <f t="shared" si="8"/>
        <v>-4.7353760445682402E-2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G47" s="1"/>
      <c r="W47" s="160">
        <v>42353</v>
      </c>
      <c r="X47" s="12">
        <v>14.27</v>
      </c>
      <c r="Y47" s="12">
        <v>14.5</v>
      </c>
      <c r="Z47" s="12">
        <v>13.93</v>
      </c>
      <c r="AA47" s="12">
        <v>14.46</v>
      </c>
      <c r="AB47" s="115">
        <v>12914000</v>
      </c>
      <c r="AC47" s="12">
        <v>14.36</v>
      </c>
      <c r="AD47">
        <f t="shared" si="7"/>
        <v>0.57000000000000028</v>
      </c>
      <c r="AE47" s="165">
        <f t="shared" si="8"/>
        <v>3.6075036075036149E-2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G48" s="1"/>
      <c r="W48" s="160">
        <v>42352</v>
      </c>
      <c r="X48" s="12">
        <v>14.16</v>
      </c>
      <c r="Y48" s="12">
        <v>14.23</v>
      </c>
      <c r="Z48" s="12">
        <v>13.41</v>
      </c>
      <c r="AA48" s="12">
        <v>13.96</v>
      </c>
      <c r="AB48" s="115">
        <v>14612600</v>
      </c>
      <c r="AC48" s="12">
        <v>13.86</v>
      </c>
      <c r="AD48">
        <f t="shared" si="7"/>
        <v>0.82000000000000028</v>
      </c>
      <c r="AE48" s="165">
        <f t="shared" si="8"/>
        <v>-2.6685393258427004E-2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42349</v>
      </c>
      <c r="X49" s="12">
        <v>14.38</v>
      </c>
      <c r="Y49" s="12">
        <v>14.5</v>
      </c>
      <c r="Z49" s="12">
        <v>14.1</v>
      </c>
      <c r="AA49" s="12">
        <v>14.34</v>
      </c>
      <c r="AB49" s="115">
        <v>11234100</v>
      </c>
      <c r="AC49" s="12">
        <v>14.24</v>
      </c>
      <c r="AD49">
        <f t="shared" si="7"/>
        <v>0.40000000000000036</v>
      </c>
      <c r="AE49" s="165">
        <f t="shared" si="8"/>
        <v>-2.732240437158473E-2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89" t="s">
        <v>78</v>
      </c>
      <c r="P50" s="389"/>
      <c r="T50" s="161" t="s">
        <v>96</v>
      </c>
      <c r="W50" s="160">
        <v>42348</v>
      </c>
      <c r="X50" s="12">
        <v>14.43</v>
      </c>
      <c r="Y50" s="12">
        <v>14.96</v>
      </c>
      <c r="Z50" s="12">
        <v>14.26</v>
      </c>
      <c r="AA50" s="12">
        <v>14.74</v>
      </c>
      <c r="AB50" s="115">
        <v>10257700</v>
      </c>
      <c r="AC50" s="12">
        <v>14.64</v>
      </c>
      <c r="AD50">
        <f t="shared" si="7"/>
        <v>0.70000000000000107</v>
      </c>
      <c r="AE50" s="165">
        <f t="shared" si="8"/>
        <v>1.6666666666666607E-2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7.4030000000000014</v>
      </c>
      <c r="T51" s="162" t="s">
        <v>106</v>
      </c>
      <c r="U51" s="156">
        <v>6.93</v>
      </c>
      <c r="W51" s="160">
        <v>42347</v>
      </c>
      <c r="X51" s="12">
        <v>14.89</v>
      </c>
      <c r="Y51" s="12">
        <v>15.44</v>
      </c>
      <c r="Z51" s="12">
        <v>14.41</v>
      </c>
      <c r="AA51" s="12">
        <v>14.5</v>
      </c>
      <c r="AB51" s="115">
        <v>15728700</v>
      </c>
      <c r="AC51" s="12">
        <v>14.4</v>
      </c>
      <c r="AD51">
        <f t="shared" si="7"/>
        <v>1.0299999999999994</v>
      </c>
      <c r="AE51" s="165">
        <f t="shared" si="8"/>
        <v>-2.7683997299122187E-2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7.335700000000001</v>
      </c>
      <c r="T52" s="163" t="s">
        <v>107</v>
      </c>
      <c r="U52" s="157">
        <v>6.82</v>
      </c>
      <c r="W52" s="160">
        <v>42346</v>
      </c>
      <c r="X52" s="12">
        <v>14.25</v>
      </c>
      <c r="Y52" s="12">
        <v>14.98</v>
      </c>
      <c r="Z52" s="12">
        <v>14.07</v>
      </c>
      <c r="AA52" s="12">
        <v>14.92</v>
      </c>
      <c r="AB52" s="115">
        <v>18275100</v>
      </c>
      <c r="AC52" s="12">
        <v>14.81</v>
      </c>
      <c r="AD52">
        <f t="shared" si="7"/>
        <v>0.91000000000000014</v>
      </c>
      <c r="AE52" s="165">
        <f t="shared" si="8"/>
        <v>8.8555858310628288E-3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7.2684000000000006</v>
      </c>
      <c r="T53" s="163" t="s">
        <v>108</v>
      </c>
      <c r="U53" s="157" t="s">
        <v>332</v>
      </c>
      <c r="W53" s="160">
        <v>42345</v>
      </c>
      <c r="X53" s="12">
        <v>15.54</v>
      </c>
      <c r="Y53" s="12">
        <v>15.54</v>
      </c>
      <c r="Z53" s="12">
        <v>14.68</v>
      </c>
      <c r="AA53" s="12">
        <v>14.78</v>
      </c>
      <c r="AB53" s="115">
        <v>15175300</v>
      </c>
      <c r="AC53" s="12">
        <v>14.68</v>
      </c>
      <c r="AD53">
        <f t="shared" si="7"/>
        <v>0.85999999999999943</v>
      </c>
      <c r="AE53" s="165">
        <f t="shared" si="8"/>
        <v>-8.3073079325421739E-2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7.2011000000000012</v>
      </c>
      <c r="T54" s="163" t="s">
        <v>109</v>
      </c>
      <c r="U54" s="157" t="s">
        <v>333</v>
      </c>
      <c r="W54" s="160">
        <v>42342</v>
      </c>
      <c r="X54" s="12">
        <v>16.22</v>
      </c>
      <c r="Y54" s="12">
        <v>16.38</v>
      </c>
      <c r="Z54" s="12">
        <v>15.7</v>
      </c>
      <c r="AA54" s="12">
        <v>16.12</v>
      </c>
      <c r="AB54" s="115">
        <v>10742400</v>
      </c>
      <c r="AC54" s="12">
        <v>16.010000000000002</v>
      </c>
      <c r="AD54">
        <f t="shared" si="7"/>
        <v>0.67999999999999972</v>
      </c>
      <c r="AE54" s="165">
        <f t="shared" si="8"/>
        <v>-2.5562994522215332E-2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7.1338000000000008</v>
      </c>
      <c r="T55" s="163" t="s">
        <v>110</v>
      </c>
      <c r="U55" s="157">
        <v>14.38</v>
      </c>
      <c r="W55" s="160">
        <v>42341</v>
      </c>
      <c r="X55" s="12">
        <v>16.850000000000001</v>
      </c>
      <c r="Y55" s="12">
        <v>16.93</v>
      </c>
      <c r="Z55" s="12">
        <v>16.29</v>
      </c>
      <c r="AA55" s="12">
        <v>16.55</v>
      </c>
      <c r="AB55" s="115">
        <v>14461800</v>
      </c>
      <c r="AC55" s="12">
        <v>16.43</v>
      </c>
      <c r="AD55">
        <f t="shared" si="7"/>
        <v>0.64000000000000057</v>
      </c>
      <c r="AE55" s="165">
        <f t="shared" si="8"/>
        <v>-7.2507552870091363E-3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7.0665000000000004</v>
      </c>
      <c r="T56" s="163" t="s">
        <v>111</v>
      </c>
      <c r="U56" s="157">
        <v>1.95258</v>
      </c>
      <c r="W56" s="160">
        <v>42340</v>
      </c>
      <c r="X56" s="12">
        <v>17.41</v>
      </c>
      <c r="Y56" s="12">
        <v>17.670000000000002</v>
      </c>
      <c r="Z56" s="12">
        <v>16.579999999999998</v>
      </c>
      <c r="AA56" s="12">
        <v>16.670000000000002</v>
      </c>
      <c r="AB56" s="115">
        <v>11031700</v>
      </c>
      <c r="AC56" s="12">
        <v>16.55</v>
      </c>
      <c r="AD56">
        <f t="shared" si="7"/>
        <v>1.0900000000000034</v>
      </c>
      <c r="AE56" s="165">
        <f t="shared" si="8"/>
        <v>-5.4825813820673974E-2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6.999200000000001</v>
      </c>
      <c r="T57" s="163" t="s">
        <v>131</v>
      </c>
      <c r="U57" s="157" t="s">
        <v>334</v>
      </c>
      <c r="W57" s="160">
        <v>42339</v>
      </c>
      <c r="X57" s="12">
        <v>17.57</v>
      </c>
      <c r="Y57" s="12">
        <v>17.690000000000001</v>
      </c>
      <c r="Z57" s="12">
        <v>17.32</v>
      </c>
      <c r="AA57" s="12">
        <v>17.63</v>
      </c>
      <c r="AB57" s="115">
        <v>8820200</v>
      </c>
      <c r="AC57" s="12">
        <v>17.510000000000002</v>
      </c>
      <c r="AD57">
        <f t="shared" si="7"/>
        <v>0.37000000000000099</v>
      </c>
      <c r="AE57" s="165">
        <f t="shared" si="8"/>
        <v>6.9005175388154871E-3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6.9319000000000006</v>
      </c>
      <c r="T58" s="163"/>
      <c r="U58" s="157"/>
      <c r="W58" s="160">
        <v>42338</v>
      </c>
      <c r="X58" s="12">
        <v>17.57</v>
      </c>
      <c r="Y58" s="12">
        <v>17.86</v>
      </c>
      <c r="Z58" s="12">
        <v>17.37</v>
      </c>
      <c r="AA58" s="12">
        <v>17.510000000000002</v>
      </c>
      <c r="AB58" s="115">
        <v>11798400</v>
      </c>
      <c r="AC58" s="12">
        <v>17.39</v>
      </c>
      <c r="AD58">
        <f t="shared" si="7"/>
        <v>0.48999999999999844</v>
      </c>
      <c r="AE58" s="165">
        <f t="shared" si="8"/>
        <v>4.041570438799047E-3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6.8646000000000003</v>
      </c>
      <c r="T59" s="163" t="s">
        <v>113</v>
      </c>
      <c r="U59" s="157" t="s">
        <v>335</v>
      </c>
      <c r="W59" s="160">
        <v>42335</v>
      </c>
      <c r="X59" s="12">
        <v>17.850000000000001</v>
      </c>
      <c r="Y59" s="12">
        <v>18</v>
      </c>
      <c r="Z59" s="12">
        <v>17.39</v>
      </c>
      <c r="AA59" s="12">
        <v>17.440000000000001</v>
      </c>
      <c r="AB59" s="115">
        <v>3696100</v>
      </c>
      <c r="AC59" s="12">
        <v>17.32</v>
      </c>
      <c r="AD59">
        <f t="shared" si="7"/>
        <v>0.60999999999999943</v>
      </c>
      <c r="AE59" s="165">
        <f t="shared" si="8"/>
        <v>-3.6707452725250334E-2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6.7973000000000008</v>
      </c>
      <c r="T60" s="163" t="s">
        <v>114</v>
      </c>
      <c r="U60" s="157" t="s">
        <v>312</v>
      </c>
      <c r="W60" s="160">
        <v>42333</v>
      </c>
      <c r="X60" s="12">
        <v>18.22</v>
      </c>
      <c r="Y60" s="12">
        <v>18.399999999999999</v>
      </c>
      <c r="Z60" s="12">
        <v>17.829999999999998</v>
      </c>
      <c r="AA60" s="12">
        <v>18.11</v>
      </c>
      <c r="AB60" s="115">
        <v>6277000</v>
      </c>
      <c r="AC60" s="12">
        <v>17.98</v>
      </c>
      <c r="AD60">
        <f t="shared" si="7"/>
        <v>0.57000000000000028</v>
      </c>
      <c r="AE60" s="165">
        <f t="shared" si="8"/>
        <v>-2.1230266739248771E-2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6.73</v>
      </c>
      <c r="T61" s="163" t="s">
        <v>115</v>
      </c>
      <c r="U61" s="158">
        <v>38684766</v>
      </c>
      <c r="W61" s="160">
        <v>42332</v>
      </c>
      <c r="X61" s="12">
        <v>17.79</v>
      </c>
      <c r="Y61" s="12">
        <v>18.72</v>
      </c>
      <c r="Z61" s="12">
        <v>17.670000000000002</v>
      </c>
      <c r="AA61" s="12">
        <v>18.5</v>
      </c>
      <c r="AB61" s="115">
        <v>11708700</v>
      </c>
      <c r="AC61" s="12">
        <v>18.37</v>
      </c>
      <c r="AD61">
        <f t="shared" si="7"/>
        <v>1.0499999999999972</v>
      </c>
      <c r="AE61" s="165">
        <f t="shared" si="8"/>
        <v>5.5140723721998963E-2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5" si="14">C62*D62+E62</f>
        <v>29795.040000000001</v>
      </c>
      <c r="O62" s="103">
        <v>0.99</v>
      </c>
      <c r="P62" s="103">
        <f t="shared" si="13"/>
        <v>6.6627000000000001</v>
      </c>
      <c r="T62" s="163" t="s">
        <v>118</v>
      </c>
      <c r="U62" s="158">
        <v>21278800</v>
      </c>
      <c r="W62" s="160">
        <v>42331</v>
      </c>
      <c r="X62" s="12">
        <v>17.39</v>
      </c>
      <c r="Y62" s="12">
        <v>17.7</v>
      </c>
      <c r="Z62" s="12">
        <v>17.170000000000002</v>
      </c>
      <c r="AA62" s="12">
        <v>17.53</v>
      </c>
      <c r="AB62" s="115">
        <v>9373300</v>
      </c>
      <c r="AC62" s="12">
        <v>17.41</v>
      </c>
      <c r="AD62">
        <f t="shared" si="7"/>
        <v>0.52999999999999758</v>
      </c>
      <c r="AE62" s="165">
        <f t="shared" si="8"/>
        <v>6.3583815028900315E-3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6.5954000000000006</v>
      </c>
      <c r="T63" s="163" t="s">
        <v>116</v>
      </c>
      <c r="U63" s="157" t="s">
        <v>336</v>
      </c>
      <c r="W63" s="160">
        <v>42328</v>
      </c>
      <c r="X63" s="12">
        <v>17.600000000000001</v>
      </c>
      <c r="Y63" s="12">
        <v>17.86</v>
      </c>
      <c r="Z63" s="12">
        <v>17.3</v>
      </c>
      <c r="AA63" s="12">
        <v>17.420000000000002</v>
      </c>
      <c r="AB63" s="115">
        <v>8416900</v>
      </c>
      <c r="AC63" s="12">
        <v>17.3</v>
      </c>
      <c r="AD63">
        <f t="shared" si="7"/>
        <v>0.55999999999999872</v>
      </c>
      <c r="AE63" s="165">
        <f t="shared" si="8"/>
        <v>-1.2557077625570678E-2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6.5281000000000002</v>
      </c>
      <c r="T64" s="163" t="s">
        <v>119</v>
      </c>
      <c r="U64" s="157" t="s">
        <v>145</v>
      </c>
      <c r="W64" s="160">
        <v>42327</v>
      </c>
      <c r="X64" s="12">
        <v>17.71</v>
      </c>
      <c r="Y64" s="12">
        <v>17.86</v>
      </c>
      <c r="Z64" s="12">
        <v>17.170000000000002</v>
      </c>
      <c r="AA64" s="12">
        <v>17.64</v>
      </c>
      <c r="AB64" s="115">
        <v>9794800</v>
      </c>
      <c r="AC64" s="12">
        <v>17.52</v>
      </c>
      <c r="AD64">
        <f t="shared" si="7"/>
        <v>0.68999999999999773</v>
      </c>
      <c r="AE64" s="165">
        <f t="shared" si="8"/>
        <v>-1.4068655036578503E-2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6.4607999999999999</v>
      </c>
      <c r="T65" s="163" t="s">
        <v>120</v>
      </c>
      <c r="U65" s="157">
        <v>-3.26</v>
      </c>
      <c r="W65" s="160">
        <v>42326</v>
      </c>
      <c r="X65" s="12">
        <v>17.940000000000001</v>
      </c>
      <c r="Y65" s="12">
        <v>18.47</v>
      </c>
      <c r="Z65" s="12">
        <v>17.29</v>
      </c>
      <c r="AA65" s="12">
        <v>17.899999999999999</v>
      </c>
      <c r="AB65" s="115">
        <v>11540300</v>
      </c>
      <c r="AC65" s="12">
        <v>17.77</v>
      </c>
      <c r="AD65">
        <f t="shared" si="7"/>
        <v>1.1799999999999997</v>
      </c>
      <c r="AE65" s="165">
        <f t="shared" si="8"/>
        <v>1.0807736063708884E-2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6.3935000000000004</v>
      </c>
      <c r="T66" s="163" t="s">
        <v>117</v>
      </c>
      <c r="U66" s="157" t="s">
        <v>337</v>
      </c>
      <c r="W66" s="160">
        <v>42325</v>
      </c>
      <c r="X66" s="12">
        <v>17.649999999999999</v>
      </c>
      <c r="Y66" s="12">
        <v>17.920000000000002</v>
      </c>
      <c r="Z66" s="12">
        <v>17.29</v>
      </c>
      <c r="AA66" s="12">
        <v>17.71</v>
      </c>
      <c r="AB66" s="115">
        <v>6618300</v>
      </c>
      <c r="AC66" s="12">
        <v>17.579999999999998</v>
      </c>
      <c r="AD66">
        <f t="shared" si="7"/>
        <v>0.63000000000000256</v>
      </c>
      <c r="AE66" s="165">
        <f t="shared" si="8"/>
        <v>-9.0191657271702086E-3</v>
      </c>
    </row>
    <row r="67" spans="1:31" x14ac:dyDescent="0.25">
      <c r="B67" s="323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6.3262</v>
      </c>
      <c r="W67" s="160">
        <v>42324</v>
      </c>
      <c r="X67" s="12">
        <v>17.21</v>
      </c>
      <c r="Y67" s="12">
        <v>17.93</v>
      </c>
      <c r="Z67" s="12">
        <v>16.96</v>
      </c>
      <c r="AA67" s="12">
        <v>17.87</v>
      </c>
      <c r="AB67" s="115">
        <v>9262100</v>
      </c>
      <c r="AC67" s="12">
        <v>17.739999999999998</v>
      </c>
      <c r="AD67">
        <f t="shared" si="7"/>
        <v>0.96999999999999886</v>
      </c>
      <c r="AE67" s="165" t="e">
        <f t="shared" si="8"/>
        <v>#DIV/0!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6.2589000000000006</v>
      </c>
      <c r="W68" s="160">
        <v>42324</v>
      </c>
      <c r="X68" s="12" t="s">
        <v>200</v>
      </c>
      <c r="Y68" s="12"/>
      <c r="Z68" s="12"/>
      <c r="AA68" s="12"/>
      <c r="AB68" s="115"/>
      <c r="AC68" s="12"/>
      <c r="AD68">
        <f t="shared" si="7"/>
        <v>0</v>
      </c>
      <c r="AE68" s="165" t="e">
        <f>AC68/AC70-1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6.1916000000000011</v>
      </c>
      <c r="W69" s="160">
        <v>42321</v>
      </c>
      <c r="X69" s="12">
        <v>17.12</v>
      </c>
      <c r="Y69" s="12">
        <v>17.399999999999999</v>
      </c>
      <c r="Z69" s="12">
        <v>16.68</v>
      </c>
      <c r="AA69" s="12">
        <v>17.14</v>
      </c>
      <c r="AB69" s="115">
        <v>8965600</v>
      </c>
      <c r="AC69" s="12">
        <v>16.97</v>
      </c>
      <c r="AD69">
        <f>Y70-Z70</f>
        <v>0</v>
      </c>
      <c r="AE69" s="165" t="e">
        <f>AC70/AC71-1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6.1243000000000007</v>
      </c>
      <c r="W70" s="160" t="s">
        <v>130</v>
      </c>
      <c r="X70" s="12"/>
      <c r="Y70" s="12"/>
      <c r="Z70" s="12"/>
      <c r="AA70" s="12"/>
      <c r="AB70" s="115"/>
      <c r="AC70" s="12"/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6.0570000000000004</v>
      </c>
    </row>
    <row r="72" spans="1:31" x14ac:dyDescent="0.25">
      <c r="B72" s="1">
        <v>42412</v>
      </c>
      <c r="C72" s="7">
        <v>200</v>
      </c>
      <c r="D72" s="99">
        <v>7.23</v>
      </c>
      <c r="E72" s="57">
        <v>0</v>
      </c>
      <c r="F72" s="57">
        <f t="shared" si="14"/>
        <v>1446</v>
      </c>
    </row>
    <row r="73" spans="1:31" x14ac:dyDescent="0.25">
      <c r="B73" s="1">
        <v>42416</v>
      </c>
      <c r="C73" s="8">
        <v>500</v>
      </c>
      <c r="D73" s="346">
        <v>7.5</v>
      </c>
      <c r="E73" s="17">
        <v>0</v>
      </c>
      <c r="F73" s="17">
        <f t="shared" si="14"/>
        <v>3750</v>
      </c>
    </row>
    <row r="74" spans="1:31" x14ac:dyDescent="0.25">
      <c r="B74" s="393" t="s">
        <v>328</v>
      </c>
      <c r="C74" s="4">
        <v>3000</v>
      </c>
      <c r="D74" s="100">
        <v>7.55</v>
      </c>
      <c r="E74" s="2">
        <v>0</v>
      </c>
      <c r="F74" s="2">
        <f t="shared" si="14"/>
        <v>22650</v>
      </c>
    </row>
    <row r="75" spans="1:31" x14ac:dyDescent="0.25">
      <c r="B75" s="393"/>
      <c r="C75" s="4">
        <v>800</v>
      </c>
      <c r="D75" s="100">
        <v>6.75</v>
      </c>
      <c r="E75" s="2">
        <v>0</v>
      </c>
      <c r="F75" s="2">
        <f t="shared" si="14"/>
        <v>5400</v>
      </c>
    </row>
    <row r="78" spans="1:31" x14ac:dyDescent="0.25">
      <c r="A78" s="45" t="s">
        <v>81</v>
      </c>
      <c r="B78" s="16"/>
      <c r="C78" s="16">
        <f>SUM(C2:C77)</f>
        <v>49486</v>
      </c>
      <c r="D78" s="101"/>
      <c r="E78" s="16"/>
      <c r="F78" s="21">
        <f>SUM(F2:F77)</f>
        <v>792998.0290000001</v>
      </c>
      <c r="G78" s="16"/>
      <c r="H78" s="92">
        <f>SUM(H2:H56)</f>
        <v>36008</v>
      </c>
      <c r="I78" s="101"/>
      <c r="J78" s="21"/>
      <c r="K78" s="21">
        <f>SUM(K2:K58)</f>
        <v>594375.67000000027</v>
      </c>
      <c r="L78" s="16"/>
      <c r="M78" s="21">
        <f>SUM(M2:M12)</f>
        <v>850.5</v>
      </c>
    </row>
    <row r="81" spans="2:9" x14ac:dyDescent="0.25">
      <c r="B81" s="246" t="s">
        <v>122</v>
      </c>
      <c r="C81" s="246" t="s">
        <v>189</v>
      </c>
      <c r="D81" s="256" t="s">
        <v>188</v>
      </c>
      <c r="E81" s="249" t="s">
        <v>190</v>
      </c>
      <c r="F81" s="250" t="s">
        <v>65</v>
      </c>
      <c r="G81" s="294" t="s">
        <v>195</v>
      </c>
      <c r="H81" s="250" t="s">
        <v>92</v>
      </c>
      <c r="I81" s="294" t="s">
        <v>195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145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145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20" si="15">IF(C85=0, 0,D85*C85)</f>
        <v>75600</v>
      </c>
      <c r="H85" s="305">
        <f t="shared" ref="H85:H120" si="16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145</v>
      </c>
      <c r="E86" s="53">
        <v>18.78</v>
      </c>
      <c r="F86" s="53">
        <v>-28604.09</v>
      </c>
      <c r="G86" s="53">
        <f t="shared" si="15"/>
        <v>0</v>
      </c>
      <c r="H86" s="305" t="str">
        <f t="shared" si="16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5">
        <f t="shared" si="16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145</v>
      </c>
      <c r="E88" s="53">
        <v>17.53</v>
      </c>
      <c r="F88" s="53">
        <v>-28051.068999999901</v>
      </c>
      <c r="G88" s="53">
        <f t="shared" si="15"/>
        <v>0</v>
      </c>
      <c r="H88" s="305" t="str">
        <f t="shared" si="16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v>-28081.848999999929</v>
      </c>
      <c r="G89" s="53">
        <f t="shared" si="15"/>
        <v>82644.3</v>
      </c>
      <c r="H89" s="305">
        <f t="shared" si="16"/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5">
        <f t="shared" si="16"/>
        <v>-0.31741682974559682</v>
      </c>
      <c r="I90" s="53"/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313">
        <v>-31852.528999999922</v>
      </c>
      <c r="G91" s="53">
        <f t="shared" si="15"/>
        <v>101483.62</v>
      </c>
      <c r="H91" s="305">
        <f t="shared" si="16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313">
        <v>-34011</v>
      </c>
      <c r="G92" s="53">
        <f t="shared" si="15"/>
        <v>109418.42</v>
      </c>
      <c r="H92" s="305">
        <f t="shared" si="16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313">
        <v>-33996</v>
      </c>
      <c r="G93" s="53">
        <f t="shared" si="15"/>
        <v>101358.28000000001</v>
      </c>
      <c r="H93" s="305">
        <f t="shared" si="16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313">
        <v>-39594</v>
      </c>
      <c r="G94" s="53">
        <f t="shared" si="15"/>
        <v>108716.71999999999</v>
      </c>
      <c r="H94" s="305">
        <f t="shared" si="16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313">
        <v>-40911</v>
      </c>
      <c r="G95" s="53">
        <f t="shared" si="15"/>
        <v>110180.68</v>
      </c>
      <c r="H95" s="305">
        <f t="shared" si="16"/>
        <v>-0.3529921942758022</v>
      </c>
      <c r="I95" s="53"/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313">
        <v>-39638</v>
      </c>
      <c r="G96" s="53">
        <f t="shared" si="15"/>
        <v>101232.94</v>
      </c>
      <c r="H96" s="305">
        <f t="shared" si="16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313">
        <v>-41320</v>
      </c>
      <c r="G97" s="53">
        <f t="shared" si="15"/>
        <v>94046.46</v>
      </c>
      <c r="H97" s="305">
        <f t="shared" si="16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313">
        <v>-42682</v>
      </c>
      <c r="G98" s="53">
        <f t="shared" si="15"/>
        <v>101024.04</v>
      </c>
      <c r="H98" s="305">
        <f t="shared" si="16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313">
        <v>-47697</v>
      </c>
      <c r="G99" s="53">
        <f t="shared" si="15"/>
        <v>107500.44</v>
      </c>
      <c r="H99" s="305">
        <f t="shared" si="16"/>
        <v>-0.44386422976501311</v>
      </c>
      <c r="I99" s="53"/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313">
        <v>-47682</v>
      </c>
      <c r="G100" s="53">
        <f t="shared" si="15"/>
        <v>107453.65999999999</v>
      </c>
      <c r="H100" s="305">
        <f t="shared" si="16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313">
        <v>-47787</v>
      </c>
      <c r="G101" s="53">
        <f t="shared" si="15"/>
        <v>113864.21999999999</v>
      </c>
      <c r="H101" s="305">
        <f t="shared" si="16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313">
        <v>-47681</v>
      </c>
      <c r="G102" s="53">
        <f t="shared" si="15"/>
        <v>126525.44</v>
      </c>
      <c r="H102" s="305">
        <f t="shared" si="16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313">
        <v>-48128</v>
      </c>
      <c r="G103" s="53">
        <f t="shared" si="15"/>
        <v>129280</v>
      </c>
      <c r="H103" s="305">
        <f t="shared" si="16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313">
        <v>-48145</v>
      </c>
      <c r="G104" s="53">
        <f t="shared" si="15"/>
        <v>113708.88</v>
      </c>
      <c r="H104" s="305">
        <f t="shared" si="16"/>
        <v>-0.42349726775956287</v>
      </c>
      <c r="I104" s="53"/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313">
        <v>-42220</v>
      </c>
      <c r="G105" s="53">
        <f t="shared" si="15"/>
        <v>100564.46</v>
      </c>
      <c r="H105" s="305">
        <f t="shared" si="16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313">
        <v>-42067</v>
      </c>
      <c r="G106" s="53">
        <f t="shared" si="15"/>
        <v>100397.34000000001</v>
      </c>
      <c r="H106" s="305">
        <f t="shared" si="16"/>
        <v>-0.41905950894714938</v>
      </c>
      <c r="I106" s="53"/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313">
        <v>-45577</v>
      </c>
      <c r="G107" s="53">
        <f t="shared" si="15"/>
        <v>132958.98000000001</v>
      </c>
      <c r="H107" s="305">
        <f t="shared" si="16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313">
        <v>-45938</v>
      </c>
      <c r="G108" s="53">
        <f t="shared" si="15"/>
        <v>158980.96</v>
      </c>
      <c r="H108" s="305">
        <f t="shared" si="16"/>
        <v>-0.28875545851528389</v>
      </c>
      <c r="I108" s="53"/>
    </row>
    <row r="109" spans="2:9" x14ac:dyDescent="0.25">
      <c r="B109" s="248">
        <v>42368</v>
      </c>
      <c r="C109" s="12">
        <v>9678</v>
      </c>
      <c r="D109" s="322">
        <v>17.73</v>
      </c>
      <c r="E109" s="53">
        <v>12.38</v>
      </c>
      <c r="F109" s="313">
        <v>-51733</v>
      </c>
      <c r="G109" s="53">
        <f t="shared" si="15"/>
        <v>171590.94</v>
      </c>
      <c r="H109" s="305">
        <f t="shared" si="16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313">
        <v>-49661</v>
      </c>
      <c r="G110" s="53">
        <f t="shared" si="15"/>
        <v>158920.21399999998</v>
      </c>
      <c r="H110" s="305">
        <f t="shared" si="16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313">
        <v>-47967</v>
      </c>
      <c r="G111" s="53">
        <f t="shared" si="15"/>
        <v>145958.78</v>
      </c>
      <c r="H111" s="305">
        <f t="shared" si="16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313">
        <v>-47707</v>
      </c>
      <c r="G112" s="53">
        <f t="shared" si="15"/>
        <v>158434.24600000001</v>
      </c>
      <c r="H112" s="305">
        <f t="shared" si="16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313">
        <v>-60970</v>
      </c>
      <c r="G113" s="53">
        <f t="shared" si="15"/>
        <v>170139.24</v>
      </c>
      <c r="H113" s="305">
        <f t="shared" si="16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313">
        <v>-77620</v>
      </c>
      <c r="G114" s="53">
        <f t="shared" si="15"/>
        <v>166354.54</v>
      </c>
      <c r="H114" s="305">
        <f t="shared" si="16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313">
        <v>-85373</v>
      </c>
      <c r="G115" s="53">
        <f t="shared" si="15"/>
        <v>169945.68</v>
      </c>
      <c r="H115" s="305">
        <f t="shared" si="16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313">
        <v>-100886.60899999984</v>
      </c>
      <c r="G116" s="53">
        <f t="shared" si="15"/>
        <v>169887.61199999999</v>
      </c>
      <c r="H116" s="305">
        <f t="shared" si="16"/>
        <v>-0.59382476928335426</v>
      </c>
      <c r="I116" s="53"/>
    </row>
    <row r="117" spans="2:9" x14ac:dyDescent="0.25">
      <c r="B117" s="248">
        <v>42412</v>
      </c>
      <c r="C117" s="12">
        <v>9678</v>
      </c>
      <c r="D117" s="322">
        <v>17.55</v>
      </c>
      <c r="E117" s="53">
        <v>7.46</v>
      </c>
      <c r="F117" s="313">
        <v>-97358.56</v>
      </c>
      <c r="G117" s="53">
        <f t="shared" si="15"/>
        <v>169848.9</v>
      </c>
      <c r="H117" s="305">
        <f t="shared" si="16"/>
        <v>-0.57492877492877492</v>
      </c>
      <c r="I117" s="53"/>
    </row>
    <row r="118" spans="2:9" x14ac:dyDescent="0.25">
      <c r="B118" s="248">
        <v>42416</v>
      </c>
      <c r="C118" s="12">
        <v>9178</v>
      </c>
      <c r="D118" s="322">
        <v>18.084</v>
      </c>
      <c r="E118" s="53">
        <v>7.49</v>
      </c>
      <c r="F118" s="313">
        <v>-97229</v>
      </c>
      <c r="G118" s="53">
        <f t="shared" si="15"/>
        <v>165974.95199999999</v>
      </c>
      <c r="H118" s="305">
        <f t="shared" si="16"/>
        <v>-0.58582172085821715</v>
      </c>
      <c r="I118" s="53"/>
    </row>
    <row r="119" spans="2:9" x14ac:dyDescent="0.25">
      <c r="B119" s="248">
        <v>42416</v>
      </c>
      <c r="C119" s="12">
        <v>9678</v>
      </c>
      <c r="D119" s="322">
        <v>17.536999999999999</v>
      </c>
      <c r="E119" s="53">
        <v>7.49</v>
      </c>
      <c r="F119" s="313">
        <v>-97234</v>
      </c>
      <c r="G119" s="53">
        <f t="shared" si="15"/>
        <v>169723.08599999998</v>
      </c>
      <c r="H119" s="305">
        <f t="shared" si="16"/>
        <v>-0.57290300507498426</v>
      </c>
      <c r="I119" s="53">
        <v>17</v>
      </c>
    </row>
    <row r="120" spans="2:9" x14ac:dyDescent="0.25">
      <c r="B120" s="248">
        <v>42418</v>
      </c>
      <c r="C120" s="12">
        <v>13478</v>
      </c>
      <c r="D120" s="322">
        <v>14.673999999999999</v>
      </c>
      <c r="E120" s="53">
        <v>6.93</v>
      </c>
      <c r="F120" s="313">
        <v>-104369</v>
      </c>
      <c r="G120" s="53">
        <f t="shared" si="15"/>
        <v>197776.17199999999</v>
      </c>
      <c r="H120" s="305">
        <f t="shared" si="16"/>
        <v>-0.52773613193403301</v>
      </c>
      <c r="I120" s="53"/>
    </row>
    <row r="121" spans="2:9" x14ac:dyDescent="0.25">
      <c r="B121" s="248"/>
      <c r="C121" s="12"/>
      <c r="D121" s="322"/>
      <c r="E121" s="53"/>
      <c r="F121" s="313"/>
      <c r="G121" s="53"/>
      <c r="H121" s="305"/>
      <c r="I121" s="53"/>
    </row>
    <row r="122" spans="2:9" x14ac:dyDescent="0.25">
      <c r="B122" s="248"/>
      <c r="C122" s="12"/>
      <c r="D122" s="322"/>
      <c r="E122" s="53"/>
      <c r="F122" s="313"/>
      <c r="G122" s="53"/>
      <c r="H122" s="305"/>
      <c r="I122" s="53"/>
    </row>
    <row r="123" spans="2:9" x14ac:dyDescent="0.25">
      <c r="B123" s="248"/>
      <c r="C123" s="12"/>
      <c r="D123" s="322"/>
      <c r="E123" s="53"/>
      <c r="F123" s="313"/>
      <c r="G123" s="53"/>
      <c r="H123" s="305"/>
      <c r="I123" s="53"/>
    </row>
    <row r="124" spans="2:9" x14ac:dyDescent="0.25">
      <c r="B124" s="248"/>
      <c r="C124" s="12"/>
      <c r="D124" s="322"/>
      <c r="E124" s="53"/>
      <c r="F124" s="313"/>
      <c r="G124" s="53"/>
      <c r="H124" s="305"/>
      <c r="I124" s="53"/>
    </row>
    <row r="125" spans="2:9" x14ac:dyDescent="0.25">
      <c r="B125" s="248"/>
      <c r="C125" s="12"/>
      <c r="D125" s="322"/>
      <c r="E125" s="53"/>
      <c r="F125" s="313"/>
      <c r="G125" s="53"/>
      <c r="H125" s="305"/>
      <c r="I125" s="53"/>
    </row>
    <row r="126" spans="2:9" x14ac:dyDescent="0.25">
      <c r="B126" s="248"/>
      <c r="C126" s="12"/>
      <c r="D126" s="322"/>
      <c r="E126" s="53"/>
      <c r="F126" s="313"/>
      <c r="G126" s="53"/>
      <c r="H126" s="305"/>
      <c r="I126" s="53"/>
    </row>
    <row r="127" spans="2:9" x14ac:dyDescent="0.25">
      <c r="B127" s="248"/>
      <c r="C127" s="12"/>
      <c r="D127" s="322"/>
      <c r="E127" s="53"/>
      <c r="F127" s="313"/>
      <c r="G127" s="53"/>
      <c r="H127" s="305"/>
      <c r="I127" s="53"/>
    </row>
  </sheetData>
  <mergeCells count="5">
    <mergeCell ref="O50:P50"/>
    <mergeCell ref="G7:G8"/>
    <mergeCell ref="G10:G17"/>
    <mergeCell ref="B5:B9"/>
    <mergeCell ref="B74:B75"/>
  </mergeCells>
  <conditionalFormatting sqref="Q7">
    <cfRule type="expression" dxfId="411" priority="18">
      <formula>Q7&gt;0</formula>
    </cfRule>
    <cfRule type="expression" dxfId="41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7">
    <cfRule type="expression" dxfId="409" priority="11">
      <formula>F82&gt;0</formula>
    </cfRule>
    <cfRule type="expression" dxfId="408" priority="12">
      <formula>F82&lt;0</formula>
    </cfRule>
  </conditionalFormatting>
  <conditionalFormatting sqref="H82:H89">
    <cfRule type="expression" dxfId="407" priority="7">
      <formula>H82&gt;0</formula>
    </cfRule>
    <cfRule type="expression" dxfId="406" priority="8">
      <formula>H82&lt;0</formula>
    </cfRule>
  </conditionalFormatting>
  <conditionalFormatting sqref="H90">
    <cfRule type="expression" dxfId="405" priority="3">
      <formula>H90&gt;0</formula>
    </cfRule>
    <cfRule type="expression" dxfId="404" priority="4">
      <formula>H90&lt;0</formula>
    </cfRule>
  </conditionalFormatting>
  <conditionalFormatting sqref="H91:H127">
    <cfRule type="expression" dxfId="403" priority="1">
      <formula>H91&gt;0</formula>
    </cfRule>
    <cfRule type="expression" dxfId="402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42419</v>
      </c>
      <c r="X2" s="54">
        <v>12.88</v>
      </c>
      <c r="Y2" s="54">
        <v>12.89</v>
      </c>
      <c r="Z2" s="54">
        <v>12.21</v>
      </c>
      <c r="AA2" s="54">
        <v>12.21</v>
      </c>
      <c r="AB2" s="124">
        <v>4789000</v>
      </c>
      <c r="AC2" s="11">
        <v>12.21</v>
      </c>
      <c r="AD2" s="2">
        <f>Y2-Z2</f>
        <v>0.67999999999999972</v>
      </c>
      <c r="AE2" s="165">
        <f>AC2/AC3-1</f>
        <v>-6.0046189376443349E-2</v>
      </c>
      <c r="AP2" t="s">
        <v>209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25.947570000000006</v>
      </c>
      <c r="W3" s="150">
        <v>42418</v>
      </c>
      <c r="X3" s="54">
        <v>13.05</v>
      </c>
      <c r="Y3" s="54">
        <v>13.13</v>
      </c>
      <c r="Z3" s="54">
        <v>12.64</v>
      </c>
      <c r="AA3" s="54">
        <v>12.99</v>
      </c>
      <c r="AB3" s="124">
        <v>4003600</v>
      </c>
      <c r="AC3" s="11">
        <v>12.99</v>
      </c>
      <c r="AD3" s="2">
        <f t="shared" ref="AD3:AD66" si="2">Y3-Z3</f>
        <v>0.49000000000000021</v>
      </c>
      <c r="AE3" s="165">
        <f t="shared" ref="AE3:AE66" si="3">AC3/AC4-1</f>
        <v>-7.6394194041252694E-3</v>
      </c>
      <c r="AI3" t="s">
        <v>222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12.21</v>
      </c>
      <c r="T4" s="1">
        <v>42263</v>
      </c>
      <c r="U4" s="47" t="s">
        <v>102</v>
      </c>
      <c r="W4" s="150">
        <v>42417</v>
      </c>
      <c r="X4" s="54">
        <v>12.99</v>
      </c>
      <c r="Y4" s="54">
        <v>13.46</v>
      </c>
      <c r="Z4" s="54">
        <v>12.88</v>
      </c>
      <c r="AA4" s="54">
        <v>13.09</v>
      </c>
      <c r="AB4" s="124">
        <v>7358600</v>
      </c>
      <c r="AC4" s="11">
        <v>13.09</v>
      </c>
      <c r="AD4" s="2">
        <f t="shared" si="2"/>
        <v>0.58000000000000007</v>
      </c>
      <c r="AE4" s="165">
        <f t="shared" si="3"/>
        <v>7.6982294072363011E-3</v>
      </c>
      <c r="AI4" t="s">
        <v>231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24420</v>
      </c>
      <c r="T5" s="1">
        <v>42313</v>
      </c>
      <c r="U5" s="47" t="s">
        <v>139</v>
      </c>
      <c r="W5" s="150">
        <v>42416</v>
      </c>
      <c r="X5" s="54">
        <v>12.56</v>
      </c>
      <c r="Y5" s="54">
        <v>13.12</v>
      </c>
      <c r="Z5" s="54">
        <v>12.5</v>
      </c>
      <c r="AA5" s="54">
        <v>12.99</v>
      </c>
      <c r="AB5" s="124">
        <v>6316600</v>
      </c>
      <c r="AC5" s="11">
        <v>12.99</v>
      </c>
      <c r="AD5" s="2">
        <f t="shared" si="2"/>
        <v>0.61999999999999922</v>
      </c>
      <c r="AE5" s="165">
        <f t="shared" si="3"/>
        <v>5.1821862348178094E-2</v>
      </c>
      <c r="AI5" t="s">
        <v>232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51895.140000000014</v>
      </c>
      <c r="W6" s="150">
        <v>42412</v>
      </c>
      <c r="X6" s="54">
        <v>13.07</v>
      </c>
      <c r="Y6" s="54">
        <v>13.45</v>
      </c>
      <c r="Z6" s="54">
        <v>11.53</v>
      </c>
      <c r="AA6" s="54">
        <v>12.35</v>
      </c>
      <c r="AB6" s="124">
        <v>12239600</v>
      </c>
      <c r="AC6" s="11">
        <v>12.35</v>
      </c>
      <c r="AD6" s="2">
        <f t="shared" si="2"/>
        <v>1.92</v>
      </c>
      <c r="AE6" s="165">
        <f t="shared" si="3"/>
        <v>-6.5102195306586008E-2</v>
      </c>
      <c r="AI6" t="s">
        <v>233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-27475.140000000014</v>
      </c>
      <c r="R7" s="245" t="s">
        <v>266</v>
      </c>
      <c r="W7" s="150">
        <v>42411</v>
      </c>
      <c r="X7" s="54">
        <v>14.12</v>
      </c>
      <c r="Y7" s="54">
        <v>14.12</v>
      </c>
      <c r="Z7" s="54">
        <v>13.14</v>
      </c>
      <c r="AA7" s="54">
        <v>13.21</v>
      </c>
      <c r="AB7" s="124">
        <v>8851900</v>
      </c>
      <c r="AC7" s="11">
        <v>13.21</v>
      </c>
      <c r="AD7" s="2">
        <f t="shared" si="2"/>
        <v>0.97999999999999865</v>
      </c>
      <c r="AE7" s="165">
        <f t="shared" si="3"/>
        <v>-8.0723729993040894E-2</v>
      </c>
      <c r="AI7" t="s">
        <v>221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-0.52943570438387877</v>
      </c>
      <c r="R8" s="203"/>
      <c r="W8" s="150">
        <v>42410</v>
      </c>
      <c r="X8" s="54">
        <v>14.48</v>
      </c>
      <c r="Y8" s="54">
        <v>14.7</v>
      </c>
      <c r="Z8" s="54">
        <v>14.04</v>
      </c>
      <c r="AA8" s="54">
        <v>14.37</v>
      </c>
      <c r="AB8" s="124">
        <v>3225300</v>
      </c>
      <c r="AC8" s="11">
        <v>14.37</v>
      </c>
      <c r="AD8" s="2">
        <f t="shared" si="2"/>
        <v>0.66000000000000014</v>
      </c>
      <c r="AE8" s="165">
        <f t="shared" si="3"/>
        <v>-1.440329218107006E-2</v>
      </c>
      <c r="AI8" t="s">
        <v>234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42409</v>
      </c>
      <c r="X9" s="54">
        <v>14.03</v>
      </c>
      <c r="Y9" s="54">
        <v>14.78</v>
      </c>
      <c r="Z9" s="54">
        <v>13.88</v>
      </c>
      <c r="AA9" s="54">
        <v>14.58</v>
      </c>
      <c r="AB9" s="124">
        <v>4819900</v>
      </c>
      <c r="AC9" s="11">
        <v>14.58</v>
      </c>
      <c r="AD9" s="2">
        <f t="shared" si="2"/>
        <v>0.89999999999999858</v>
      </c>
      <c r="AE9" s="165">
        <f t="shared" si="3"/>
        <v>3.1117397454031082E-2</v>
      </c>
      <c r="AI9" t="s">
        <v>235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42408</v>
      </c>
      <c r="X10" s="54">
        <v>15.2</v>
      </c>
      <c r="Y10" s="54">
        <v>15.22</v>
      </c>
      <c r="Z10" s="54">
        <v>13.79</v>
      </c>
      <c r="AA10" s="54">
        <v>14.14</v>
      </c>
      <c r="AB10" s="124">
        <v>9036100</v>
      </c>
      <c r="AC10" s="11">
        <v>14.14</v>
      </c>
      <c r="AD10" s="2">
        <f t="shared" si="2"/>
        <v>1.4300000000000015</v>
      </c>
      <c r="AE10" s="165">
        <f t="shared" si="3"/>
        <v>-7.6420640104506887E-2</v>
      </c>
      <c r="AI10" t="s">
        <v>236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42405</v>
      </c>
      <c r="X11" s="54">
        <v>15.68</v>
      </c>
      <c r="Y11" s="54">
        <v>16.07</v>
      </c>
      <c r="Z11" s="54">
        <v>15.31</v>
      </c>
      <c r="AA11" s="54">
        <v>15.31</v>
      </c>
      <c r="AB11" s="124">
        <v>10245300</v>
      </c>
      <c r="AC11" s="11">
        <v>15.31</v>
      </c>
      <c r="AD11" s="2">
        <f t="shared" si="2"/>
        <v>0.75999999999999979</v>
      </c>
      <c r="AE11" s="165">
        <f t="shared" si="3"/>
        <v>-3.1625553447185317E-2</v>
      </c>
      <c r="AI11" t="s">
        <v>237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42404</v>
      </c>
      <c r="X12" s="54">
        <v>15.96</v>
      </c>
      <c r="Y12" s="54">
        <v>16.489999999999998</v>
      </c>
      <c r="Z12" s="54">
        <v>15.7</v>
      </c>
      <c r="AA12" s="54">
        <v>15.81</v>
      </c>
      <c r="AB12" s="124">
        <v>10597800</v>
      </c>
      <c r="AC12" s="11">
        <v>15.81</v>
      </c>
      <c r="AD12" s="2">
        <f t="shared" si="2"/>
        <v>0.78999999999999915</v>
      </c>
      <c r="AE12" s="165">
        <f t="shared" si="3"/>
        <v>-8.1555834378920222E-3</v>
      </c>
      <c r="AI12" t="s">
        <v>238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42403</v>
      </c>
      <c r="X13" s="54">
        <v>15.33</v>
      </c>
      <c r="Y13" s="54">
        <v>15.96</v>
      </c>
      <c r="Z13" s="54">
        <v>15.26</v>
      </c>
      <c r="AA13" s="54">
        <v>15.94</v>
      </c>
      <c r="AB13" s="124">
        <v>12289400</v>
      </c>
      <c r="AC13" s="11">
        <v>15.94</v>
      </c>
      <c r="AD13" s="2">
        <f t="shared" si="2"/>
        <v>0.70000000000000107</v>
      </c>
      <c r="AE13" s="165">
        <f t="shared" si="3"/>
        <v>5.0065876152832756E-2</v>
      </c>
      <c r="AI13" t="s">
        <v>239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394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42402</v>
      </c>
      <c r="X14" s="54">
        <v>15.1</v>
      </c>
      <c r="Y14" s="54">
        <v>15.25</v>
      </c>
      <c r="Z14" s="54">
        <v>14.62</v>
      </c>
      <c r="AA14" s="54">
        <v>15.18</v>
      </c>
      <c r="AB14" s="124">
        <v>2810800</v>
      </c>
      <c r="AC14" s="11">
        <v>15.18</v>
      </c>
      <c r="AD14" s="2">
        <f t="shared" si="2"/>
        <v>0.63000000000000078</v>
      </c>
      <c r="AE14" s="165">
        <f t="shared" si="3"/>
        <v>-5.2424639580602728E-3</v>
      </c>
      <c r="AI14" t="s">
        <v>212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394"/>
      <c r="H15" s="235">
        <v>5300</v>
      </c>
      <c r="I15" s="100">
        <v>12.77</v>
      </c>
      <c r="J15" s="2">
        <v>0</v>
      </c>
      <c r="K15" s="2">
        <f t="shared" si="4"/>
        <v>67681</v>
      </c>
      <c r="V15" s="2"/>
      <c r="W15" s="150">
        <v>42401</v>
      </c>
      <c r="X15" s="54">
        <v>15.25</v>
      </c>
      <c r="Y15" s="54">
        <v>15.58</v>
      </c>
      <c r="Z15" s="54">
        <v>14.92</v>
      </c>
      <c r="AA15" s="54">
        <v>15.26</v>
      </c>
      <c r="AB15" s="124">
        <v>4631100</v>
      </c>
      <c r="AC15" s="11">
        <v>15.26</v>
      </c>
      <c r="AD15" s="2">
        <f t="shared" si="2"/>
        <v>0.66000000000000014</v>
      </c>
      <c r="AE15" s="165">
        <f t="shared" si="3"/>
        <v>-3.2658393207054548E-3</v>
      </c>
      <c r="AI15" t="s">
        <v>240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394"/>
      <c r="H16" s="235">
        <v>200</v>
      </c>
      <c r="I16" s="320">
        <v>12.77</v>
      </c>
      <c r="J16" s="3">
        <v>0</v>
      </c>
      <c r="K16" s="3">
        <f t="shared" ref="K16" si="5">H16*I16-J16</f>
        <v>2554</v>
      </c>
      <c r="V16" s="2"/>
      <c r="W16" s="150">
        <v>42398</v>
      </c>
      <c r="X16" s="54">
        <v>14.66</v>
      </c>
      <c r="Y16" s="54">
        <v>15.38</v>
      </c>
      <c r="Z16" s="54">
        <v>14.58</v>
      </c>
      <c r="AA16" s="54">
        <v>15.31</v>
      </c>
      <c r="AB16" s="124">
        <v>4889600</v>
      </c>
      <c r="AC16" s="11">
        <v>15.31</v>
      </c>
      <c r="AD16" s="2">
        <f t="shared" si="2"/>
        <v>0.80000000000000071</v>
      </c>
      <c r="AE16" s="165">
        <f t="shared" si="3"/>
        <v>6.1719833564493731E-2</v>
      </c>
      <c r="AI16" t="s">
        <v>212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42362</v>
      </c>
      <c r="H17" s="102">
        <v>2500</v>
      </c>
      <c r="I17" s="99">
        <v>13.5</v>
      </c>
      <c r="J17" s="57">
        <v>0.62</v>
      </c>
      <c r="K17" s="57">
        <f>H17*I17-J17</f>
        <v>33749.379999999997</v>
      </c>
      <c r="V17" s="2"/>
      <c r="W17" s="150">
        <v>42397</v>
      </c>
      <c r="X17" s="54">
        <v>14.49</v>
      </c>
      <c r="Y17" s="54">
        <v>14.86</v>
      </c>
      <c r="Z17" s="54">
        <v>14.23</v>
      </c>
      <c r="AA17" s="54">
        <v>14.42</v>
      </c>
      <c r="AB17" s="124">
        <v>3390800</v>
      </c>
      <c r="AC17" s="11">
        <v>14.42</v>
      </c>
      <c r="AD17" s="2">
        <f t="shared" si="2"/>
        <v>0.62999999999999901</v>
      </c>
      <c r="AE17" s="165">
        <f t="shared" si="3"/>
        <v>1.1929824561403457E-2</v>
      </c>
      <c r="AI17" t="s">
        <v>240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1">
        <v>42398</v>
      </c>
      <c r="H18" s="102">
        <v>200</v>
      </c>
      <c r="I18" s="99">
        <v>15.26</v>
      </c>
      <c r="J18" s="57">
        <v>0.06</v>
      </c>
      <c r="K18" s="57">
        <f>H18*I18-J18</f>
        <v>3051.94</v>
      </c>
      <c r="V18" s="2"/>
      <c r="W18" s="150">
        <v>42396</v>
      </c>
      <c r="X18" s="54">
        <v>13.72</v>
      </c>
      <c r="Y18" s="54">
        <v>14.28</v>
      </c>
      <c r="Z18" s="54">
        <v>13.42</v>
      </c>
      <c r="AA18" s="54">
        <v>14.25</v>
      </c>
      <c r="AB18" s="124">
        <v>5982600</v>
      </c>
      <c r="AC18" s="11">
        <v>14.25</v>
      </c>
      <c r="AD18" s="2">
        <f t="shared" si="2"/>
        <v>0.85999999999999943</v>
      </c>
      <c r="AE18" s="165">
        <f t="shared" si="3"/>
        <v>2.813852813852824E-2</v>
      </c>
      <c r="AI18" t="s">
        <v>212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1">
        <v>42412</v>
      </c>
      <c r="H19" s="102">
        <v>200</v>
      </c>
      <c r="I19" s="99">
        <v>12.65</v>
      </c>
      <c r="J19" s="57">
        <v>0.06</v>
      </c>
      <c r="K19" s="57">
        <f>H19*I19-J19</f>
        <v>2529.94</v>
      </c>
      <c r="W19" s="150">
        <v>42395</v>
      </c>
      <c r="X19" s="54">
        <v>13.48</v>
      </c>
      <c r="Y19" s="54">
        <v>14.04</v>
      </c>
      <c r="Z19" s="54">
        <v>13.2</v>
      </c>
      <c r="AA19" s="54">
        <v>13.86</v>
      </c>
      <c r="AB19" s="124">
        <v>3564200</v>
      </c>
      <c r="AC19" s="11">
        <v>13.86</v>
      </c>
      <c r="AD19" s="2">
        <f t="shared" si="2"/>
        <v>0.83999999999999986</v>
      </c>
      <c r="AE19" s="165">
        <f t="shared" si="3"/>
        <v>3.8202247191011285E-2</v>
      </c>
      <c r="AI19" t="s">
        <v>230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G20" s="1">
        <v>42416</v>
      </c>
      <c r="H20" s="93">
        <v>250</v>
      </c>
      <c r="I20" s="346">
        <v>13.05</v>
      </c>
      <c r="J20" s="17">
        <v>7.0000000000000007E-2</v>
      </c>
      <c r="K20" s="17">
        <f>H20*I20-J20</f>
        <v>3262.43</v>
      </c>
      <c r="W20" s="150">
        <v>42394</v>
      </c>
      <c r="X20" s="54">
        <v>14.35</v>
      </c>
      <c r="Y20" s="54">
        <v>14.35</v>
      </c>
      <c r="Z20" s="54">
        <v>13.29</v>
      </c>
      <c r="AA20" s="54">
        <v>13.35</v>
      </c>
      <c r="AB20" s="124">
        <v>4504600</v>
      </c>
      <c r="AC20" s="11">
        <v>13.35</v>
      </c>
      <c r="AD20" s="2">
        <f t="shared" si="2"/>
        <v>1.0600000000000005</v>
      </c>
      <c r="AE20" s="165">
        <f t="shared" si="3"/>
        <v>-7.9944865609924198E-2</v>
      </c>
      <c r="AI20" t="s">
        <v>212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G21" s="1"/>
      <c r="W21" s="150">
        <v>42391</v>
      </c>
      <c r="X21" s="54">
        <v>14.82</v>
      </c>
      <c r="Y21" s="54">
        <v>15.18</v>
      </c>
      <c r="Z21" s="54">
        <v>14.12</v>
      </c>
      <c r="AA21" s="54">
        <v>14.51</v>
      </c>
      <c r="AB21" s="124">
        <v>8083100</v>
      </c>
      <c r="AC21" s="11">
        <v>14.51</v>
      </c>
      <c r="AD21" s="2">
        <f t="shared" si="2"/>
        <v>1.0600000000000005</v>
      </c>
      <c r="AE21" s="165">
        <f t="shared" si="3"/>
        <v>-2.0632737276478075E-3</v>
      </c>
      <c r="AI21" t="s">
        <v>230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G22" s="1"/>
      <c r="W22" s="150">
        <v>42390</v>
      </c>
      <c r="X22" s="54">
        <v>14.16</v>
      </c>
      <c r="Y22" s="54">
        <v>14.88</v>
      </c>
      <c r="Z22" s="54">
        <v>14.01</v>
      </c>
      <c r="AA22" s="54">
        <v>14.54</v>
      </c>
      <c r="AB22" s="124">
        <v>7137900</v>
      </c>
      <c r="AC22" s="11">
        <v>14.54</v>
      </c>
      <c r="AD22" s="2">
        <f t="shared" si="2"/>
        <v>0.87000000000000099</v>
      </c>
      <c r="AE22" s="165">
        <f t="shared" si="3"/>
        <v>2.5387870239774291E-2</v>
      </c>
      <c r="AI22" t="s">
        <v>212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G23" s="1"/>
      <c r="W23" s="150">
        <v>42389</v>
      </c>
      <c r="X23" s="54">
        <v>13.81</v>
      </c>
      <c r="Y23" s="54">
        <v>14.38</v>
      </c>
      <c r="Z23" s="54">
        <v>12.98</v>
      </c>
      <c r="AA23" s="54">
        <v>14.18</v>
      </c>
      <c r="AB23" s="124">
        <v>6022300</v>
      </c>
      <c r="AC23" s="11">
        <v>14.18</v>
      </c>
      <c r="AD23" s="2">
        <f t="shared" si="2"/>
        <v>1.4000000000000004</v>
      </c>
      <c r="AE23" s="165">
        <f t="shared" si="3"/>
        <v>1.2134189864382527E-2</v>
      </c>
      <c r="AI23" t="s">
        <v>230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G24" s="1"/>
      <c r="W24" s="150">
        <v>42388</v>
      </c>
      <c r="X24" s="54">
        <v>13.76</v>
      </c>
      <c r="Y24" s="54">
        <v>14.22</v>
      </c>
      <c r="Z24" s="54">
        <v>13.6</v>
      </c>
      <c r="AA24" s="54">
        <v>14.01</v>
      </c>
      <c r="AB24" s="124">
        <v>6516200</v>
      </c>
      <c r="AC24" s="11">
        <v>14.01</v>
      </c>
      <c r="AD24" s="2">
        <f t="shared" si="2"/>
        <v>0.62000000000000099</v>
      </c>
      <c r="AE24" s="165">
        <f t="shared" si="3"/>
        <v>2.7879677182685247E-2</v>
      </c>
      <c r="AI24" t="s">
        <v>212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6">C25*D25</f>
        <v>3080</v>
      </c>
      <c r="G25" s="1"/>
      <c r="W25" s="150">
        <v>42384</v>
      </c>
      <c r="X25" s="54">
        <v>13.98</v>
      </c>
      <c r="Y25" s="54">
        <v>14.09</v>
      </c>
      <c r="Z25" s="54">
        <v>13.15</v>
      </c>
      <c r="AA25" s="54">
        <v>13.63</v>
      </c>
      <c r="AB25" s="124">
        <v>5640500</v>
      </c>
      <c r="AC25" s="11">
        <v>13.63</v>
      </c>
      <c r="AD25" s="2">
        <f t="shared" si="2"/>
        <v>0.9399999999999995</v>
      </c>
      <c r="AE25" s="165">
        <f t="shared" si="3"/>
        <v>-4.7519217330538099E-2</v>
      </c>
      <c r="AI25" t="s">
        <v>230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6"/>
        <v>3004</v>
      </c>
      <c r="G26" s="1"/>
      <c r="W26" s="150">
        <v>42383</v>
      </c>
      <c r="X26" s="54">
        <v>13.35</v>
      </c>
      <c r="Y26" s="54">
        <v>14.39</v>
      </c>
      <c r="Z26" s="54">
        <v>13.18</v>
      </c>
      <c r="AA26" s="54">
        <v>14.31</v>
      </c>
      <c r="AB26" s="124">
        <v>3953900</v>
      </c>
      <c r="AC26" s="11">
        <v>14.31</v>
      </c>
      <c r="AD26" s="2">
        <f t="shared" si="2"/>
        <v>1.2100000000000009</v>
      </c>
      <c r="AE26" s="165">
        <f t="shared" si="3"/>
        <v>7.3518379594898819E-2</v>
      </c>
      <c r="AI26" t="s">
        <v>212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6"/>
        <v>1555</v>
      </c>
      <c r="G27" s="1"/>
      <c r="W27" s="150">
        <v>42382</v>
      </c>
      <c r="X27" s="54">
        <v>13.73</v>
      </c>
      <c r="Y27" s="54">
        <v>14.09</v>
      </c>
      <c r="Z27" s="54">
        <v>13.27</v>
      </c>
      <c r="AA27" s="54">
        <v>13.33</v>
      </c>
      <c r="AB27" s="124">
        <v>5785300</v>
      </c>
      <c r="AC27" s="11">
        <v>13.33</v>
      </c>
      <c r="AD27" s="2">
        <f t="shared" si="2"/>
        <v>0.82000000000000028</v>
      </c>
      <c r="AE27" s="165">
        <f t="shared" si="3"/>
        <v>-2.6296566837107349E-2</v>
      </c>
      <c r="AI27" t="s">
        <v>230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6"/>
        <v>6208</v>
      </c>
      <c r="G28" s="1"/>
      <c r="W28" s="150">
        <v>42381</v>
      </c>
      <c r="X28" s="54">
        <v>14.47</v>
      </c>
      <c r="Y28" s="54">
        <v>14.56</v>
      </c>
      <c r="Z28" s="54">
        <v>13.67</v>
      </c>
      <c r="AA28" s="54">
        <v>13.69</v>
      </c>
      <c r="AB28" s="124">
        <v>6493300</v>
      </c>
      <c r="AC28" s="11">
        <v>13.69</v>
      </c>
      <c r="AD28" s="2">
        <f t="shared" si="2"/>
        <v>0.89000000000000057</v>
      </c>
      <c r="AE28" s="165">
        <f t="shared" si="3"/>
        <v>-4.9965301873698853E-2</v>
      </c>
      <c r="AI28" t="s">
        <v>212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6"/>
        <v>1495</v>
      </c>
      <c r="G29" s="1"/>
      <c r="W29" s="150">
        <v>42380</v>
      </c>
      <c r="X29" s="54">
        <v>14.57</v>
      </c>
      <c r="Y29" s="54">
        <v>14.63</v>
      </c>
      <c r="Z29" s="54">
        <v>14.19</v>
      </c>
      <c r="AA29" s="54">
        <v>14.41</v>
      </c>
      <c r="AB29" s="124">
        <v>5499600</v>
      </c>
      <c r="AC29" s="11">
        <v>14.41</v>
      </c>
      <c r="AD29" s="2">
        <f t="shared" si="2"/>
        <v>0.44000000000000128</v>
      </c>
      <c r="AE29" s="165">
        <f t="shared" si="3"/>
        <v>-8.2587749483825634E-3</v>
      </c>
      <c r="AI29" t="s">
        <v>230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6"/>
        <v>1465</v>
      </c>
      <c r="G30" s="1"/>
      <c r="H30" s="2"/>
      <c r="W30" s="150">
        <v>42377</v>
      </c>
      <c r="X30" s="54">
        <v>14.41</v>
      </c>
      <c r="Y30" s="54">
        <v>14.67</v>
      </c>
      <c r="Z30" s="54">
        <v>14.1</v>
      </c>
      <c r="AA30" s="54">
        <v>14.53</v>
      </c>
      <c r="AB30" s="124">
        <v>9558900</v>
      </c>
      <c r="AC30" s="11">
        <v>14.53</v>
      </c>
      <c r="AD30" s="2">
        <f t="shared" si="2"/>
        <v>0.57000000000000028</v>
      </c>
      <c r="AE30" s="165">
        <f t="shared" si="3"/>
        <v>1.2543554006968716E-2</v>
      </c>
      <c r="AI30" t="s">
        <v>212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6"/>
        <v>5760</v>
      </c>
      <c r="G31" s="1"/>
      <c r="Q31" s="2"/>
      <c r="W31" s="150">
        <v>42376</v>
      </c>
      <c r="X31" s="54">
        <v>14.1</v>
      </c>
      <c r="Y31" s="54">
        <v>14.54</v>
      </c>
      <c r="Z31" s="54">
        <v>14.03</v>
      </c>
      <c r="AA31" s="54">
        <v>14.35</v>
      </c>
      <c r="AB31" s="124">
        <v>4239000</v>
      </c>
      <c r="AC31" s="11">
        <v>14.35</v>
      </c>
      <c r="AD31" s="2">
        <f t="shared" si="2"/>
        <v>0.50999999999999979</v>
      </c>
      <c r="AE31" s="165">
        <f t="shared" si="3"/>
        <v>6.9735006973492553E-4</v>
      </c>
      <c r="AI31" t="s">
        <v>230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6"/>
        <v>10083.42</v>
      </c>
      <c r="G32" s="1"/>
      <c r="Q32" s="2"/>
      <c r="W32" s="150">
        <v>42375</v>
      </c>
      <c r="X32" s="54">
        <v>14.51</v>
      </c>
      <c r="Y32" s="54">
        <v>14.51</v>
      </c>
      <c r="Z32" s="54">
        <v>14.26</v>
      </c>
      <c r="AA32" s="54">
        <v>14.34</v>
      </c>
      <c r="AB32" s="124">
        <v>2888200</v>
      </c>
      <c r="AC32" s="11">
        <v>14.34</v>
      </c>
      <c r="AD32" s="2">
        <f t="shared" si="2"/>
        <v>0.25</v>
      </c>
      <c r="AE32" s="165">
        <f t="shared" si="3"/>
        <v>-2.3160762942779245E-2</v>
      </c>
      <c r="AI32" t="s">
        <v>212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6"/>
        <v>17985</v>
      </c>
      <c r="G33" s="1"/>
      <c r="Q33" s="2"/>
      <c r="W33" s="150">
        <v>42374</v>
      </c>
      <c r="X33" s="54">
        <v>14.51</v>
      </c>
      <c r="Y33" s="54">
        <v>14.7</v>
      </c>
      <c r="Z33" s="54">
        <v>14.18</v>
      </c>
      <c r="AA33" s="54">
        <v>14.68</v>
      </c>
      <c r="AB33" s="124">
        <v>3379600</v>
      </c>
      <c r="AC33" s="11">
        <v>14.68</v>
      </c>
      <c r="AD33" s="2">
        <f t="shared" si="2"/>
        <v>0.51999999999999957</v>
      </c>
      <c r="AE33" s="165">
        <f t="shared" si="3"/>
        <v>1.591695501730106E-2</v>
      </c>
      <c r="AI33" t="s">
        <v>230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6"/>
        <v>4800</v>
      </c>
      <c r="G34" s="1"/>
      <c r="W34" s="150">
        <v>42373</v>
      </c>
      <c r="X34" s="54">
        <v>14.41</v>
      </c>
      <c r="Y34" s="54">
        <v>14.7</v>
      </c>
      <c r="Z34" s="54">
        <v>14.22</v>
      </c>
      <c r="AA34" s="54">
        <v>14.45</v>
      </c>
      <c r="AB34" s="124">
        <v>3947500</v>
      </c>
      <c r="AC34" s="11">
        <v>14.45</v>
      </c>
      <c r="AD34" s="2">
        <f t="shared" si="2"/>
        <v>0.47999999999999865</v>
      </c>
      <c r="AE34" s="165">
        <f t="shared" si="3"/>
        <v>-1.3821700069109877E-3</v>
      </c>
      <c r="AI34" t="s">
        <v>212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6"/>
        <v>8050.0000000000009</v>
      </c>
      <c r="G35" s="1"/>
      <c r="W35" s="150">
        <v>42369</v>
      </c>
      <c r="X35" s="54">
        <v>14.21</v>
      </c>
      <c r="Y35" s="54">
        <v>14.57</v>
      </c>
      <c r="Z35" s="54">
        <v>14.11</v>
      </c>
      <c r="AA35" s="54">
        <v>14.47</v>
      </c>
      <c r="AB35" s="124">
        <v>2244100</v>
      </c>
      <c r="AC35" s="11">
        <v>14.47</v>
      </c>
      <c r="AD35" s="2">
        <f t="shared" si="2"/>
        <v>0.46000000000000085</v>
      </c>
      <c r="AE35" s="165">
        <f t="shared" si="3"/>
        <v>1.8296973961998475E-2</v>
      </c>
      <c r="AI35" t="s">
        <v>230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6"/>
        <v>4728</v>
      </c>
      <c r="G36" s="1"/>
      <c r="W36" s="150">
        <v>42368</v>
      </c>
      <c r="X36" s="54">
        <v>14.44</v>
      </c>
      <c r="Y36" s="54">
        <v>14.61</v>
      </c>
      <c r="Z36" s="54">
        <v>14.21</v>
      </c>
      <c r="AA36" s="54">
        <v>14.21</v>
      </c>
      <c r="AB36" s="124">
        <v>2189300</v>
      </c>
      <c r="AC36" s="11">
        <v>14.21</v>
      </c>
      <c r="AD36" s="2">
        <f t="shared" si="2"/>
        <v>0.39999999999999858</v>
      </c>
      <c r="AE36" s="165">
        <f t="shared" si="3"/>
        <v>-2.5377229080932762E-2</v>
      </c>
      <c r="AI36" t="s">
        <v>212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52" si="7">C37*D37+E37</f>
        <v>2994.95</v>
      </c>
      <c r="G37" s="1"/>
      <c r="W37" s="150">
        <v>42367</v>
      </c>
      <c r="X37" s="54">
        <v>14.44</v>
      </c>
      <c r="Y37" s="54">
        <v>14.63</v>
      </c>
      <c r="Z37" s="54">
        <v>14.15</v>
      </c>
      <c r="AA37" s="54">
        <v>14.58</v>
      </c>
      <c r="AB37" s="124">
        <v>3918200</v>
      </c>
      <c r="AC37" s="11">
        <v>14.58</v>
      </c>
      <c r="AD37" s="2">
        <f t="shared" si="2"/>
        <v>0.48000000000000043</v>
      </c>
      <c r="AE37" s="165">
        <f t="shared" si="3"/>
        <v>1.6027874564459976E-2</v>
      </c>
      <c r="AI37" t="s">
        <v>230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7"/>
        <v>4063.5</v>
      </c>
      <c r="G38" s="1"/>
      <c r="W38" s="150">
        <v>42366</v>
      </c>
      <c r="X38" s="54">
        <v>14.34</v>
      </c>
      <c r="Y38" s="54">
        <v>14.46</v>
      </c>
      <c r="Z38" s="54">
        <v>14.2</v>
      </c>
      <c r="AA38" s="54">
        <v>14.35</v>
      </c>
      <c r="AB38" s="124">
        <v>2457900</v>
      </c>
      <c r="AC38" s="11">
        <v>14.35</v>
      </c>
      <c r="AD38" s="2">
        <f t="shared" si="2"/>
        <v>0.26000000000000156</v>
      </c>
      <c r="AE38" s="165">
        <f t="shared" si="3"/>
        <v>-7.6071922544952431E-3</v>
      </c>
      <c r="AI38" t="s">
        <v>212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7"/>
        <v>14480</v>
      </c>
      <c r="G39" s="1"/>
      <c r="W39" s="150">
        <v>42362</v>
      </c>
      <c r="X39" s="54">
        <v>14.24</v>
      </c>
      <c r="Y39" s="54">
        <v>14.48</v>
      </c>
      <c r="Z39" s="54">
        <v>14.18</v>
      </c>
      <c r="AA39" s="54">
        <v>14.46</v>
      </c>
      <c r="AB39" s="124">
        <v>1351800</v>
      </c>
      <c r="AC39" s="11">
        <v>14.46</v>
      </c>
      <c r="AD39" s="2">
        <f t="shared" si="2"/>
        <v>0.30000000000000071</v>
      </c>
      <c r="AE39" s="165">
        <f t="shared" si="3"/>
        <v>1.1896431070678837E-2</v>
      </c>
      <c r="AI39" t="s">
        <v>230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7"/>
        <v>85.800000000000011</v>
      </c>
      <c r="G40" s="1"/>
      <c r="W40" s="150">
        <v>42361</v>
      </c>
      <c r="X40" s="54">
        <v>13.58</v>
      </c>
      <c r="Y40" s="54">
        <v>14.37</v>
      </c>
      <c r="Z40" s="54">
        <v>13.58</v>
      </c>
      <c r="AA40" s="54">
        <v>14.29</v>
      </c>
      <c r="AB40" s="124">
        <v>3880500</v>
      </c>
      <c r="AC40" s="11">
        <v>14.29</v>
      </c>
      <c r="AD40" s="2">
        <f t="shared" si="2"/>
        <v>0.78999999999999915</v>
      </c>
      <c r="AE40" s="165">
        <f t="shared" si="3"/>
        <v>6.0089020771513235E-2</v>
      </c>
      <c r="AI40" t="s">
        <v>212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7"/>
        <v>29480</v>
      </c>
      <c r="G41" s="1"/>
      <c r="W41" s="150">
        <v>42360</v>
      </c>
      <c r="X41" s="54">
        <v>13.63</v>
      </c>
      <c r="Y41" s="54">
        <v>13.88</v>
      </c>
      <c r="Z41" s="54">
        <v>13.4</v>
      </c>
      <c r="AA41" s="54">
        <v>13.48</v>
      </c>
      <c r="AB41" s="124">
        <v>4640200</v>
      </c>
      <c r="AC41" s="11">
        <v>13.48</v>
      </c>
      <c r="AD41" s="2">
        <f t="shared" si="2"/>
        <v>0.48000000000000043</v>
      </c>
      <c r="AE41" s="165">
        <f t="shared" si="3"/>
        <v>-1.1730205278592365E-2</v>
      </c>
      <c r="AI41" t="s">
        <v>230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7"/>
        <v>14450</v>
      </c>
      <c r="G42" s="1"/>
      <c r="W42" s="150">
        <v>42359</v>
      </c>
      <c r="X42" s="54">
        <v>12.92</v>
      </c>
      <c r="Y42" s="54">
        <v>13.72</v>
      </c>
      <c r="Z42" s="54">
        <v>12.9</v>
      </c>
      <c r="AA42" s="54">
        <v>13.64</v>
      </c>
      <c r="AB42" s="124">
        <v>6314400</v>
      </c>
      <c r="AC42" s="11">
        <v>13.64</v>
      </c>
      <c r="AD42" s="2">
        <f t="shared" si="2"/>
        <v>0.82000000000000028</v>
      </c>
      <c r="AE42" s="165">
        <f t="shared" si="3"/>
        <v>5.9006211180124168E-2</v>
      </c>
      <c r="AI42" t="s">
        <v>212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7"/>
        <v>14439</v>
      </c>
      <c r="G43" s="1"/>
      <c r="W43" s="150">
        <v>42356</v>
      </c>
      <c r="X43" s="54">
        <v>12.44</v>
      </c>
      <c r="Y43" s="54">
        <v>13</v>
      </c>
      <c r="Z43" s="54">
        <v>12.4</v>
      </c>
      <c r="AA43" s="54">
        <v>12.88</v>
      </c>
      <c r="AB43" s="124">
        <v>6127600</v>
      </c>
      <c r="AC43" s="11">
        <v>12.88</v>
      </c>
      <c r="AD43" s="2">
        <f t="shared" si="2"/>
        <v>0.59999999999999964</v>
      </c>
      <c r="AE43" s="165">
        <f t="shared" si="3"/>
        <v>3.0399999999999983E-2</v>
      </c>
      <c r="AI43" t="s">
        <v>230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7"/>
        <v>15697</v>
      </c>
      <c r="G44" s="1"/>
      <c r="W44" s="150">
        <v>42355</v>
      </c>
      <c r="X44" s="54">
        <v>12.73</v>
      </c>
      <c r="Y44" s="54">
        <v>12.83</v>
      </c>
      <c r="Z44" s="54">
        <v>12.44</v>
      </c>
      <c r="AA44" s="54">
        <v>12.5</v>
      </c>
      <c r="AB44" s="124">
        <v>4882600</v>
      </c>
      <c r="AC44" s="11">
        <v>12.5</v>
      </c>
      <c r="AD44" s="2">
        <f t="shared" si="2"/>
        <v>0.39000000000000057</v>
      </c>
      <c r="AE44" s="165">
        <f t="shared" si="3"/>
        <v>-1.4972419227738287E-2</v>
      </c>
      <c r="AI44" t="s">
        <v>212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7"/>
        <v>7025</v>
      </c>
      <c r="Q45" s="2"/>
      <c r="W45" s="150">
        <v>42354</v>
      </c>
      <c r="X45" s="54">
        <v>12.47</v>
      </c>
      <c r="Y45" s="54">
        <v>12.72</v>
      </c>
      <c r="Z45" s="54">
        <v>12.41</v>
      </c>
      <c r="AA45" s="54">
        <v>12.69</v>
      </c>
      <c r="AB45" s="124">
        <v>3643000</v>
      </c>
      <c r="AC45" s="11">
        <v>12.69</v>
      </c>
      <c r="AD45" s="2">
        <f t="shared" si="2"/>
        <v>0.3100000000000005</v>
      </c>
      <c r="AE45" s="165">
        <f t="shared" si="3"/>
        <v>2.0096463022508004E-2</v>
      </c>
      <c r="AI45" t="s">
        <v>230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7"/>
        <v>6265</v>
      </c>
      <c r="O46" s="389" t="s">
        <v>78</v>
      </c>
      <c r="P46" s="389"/>
      <c r="Q46" s="2"/>
      <c r="T46" s="125" t="s">
        <v>96</v>
      </c>
      <c r="U46" s="129"/>
      <c r="W46" s="150">
        <v>42353</v>
      </c>
      <c r="X46" s="54">
        <v>11.95</v>
      </c>
      <c r="Y46" s="54">
        <v>12.46</v>
      </c>
      <c r="Z46" s="54">
        <v>11.95</v>
      </c>
      <c r="AA46" s="54">
        <v>12.44</v>
      </c>
      <c r="AB46" s="124">
        <v>7626500</v>
      </c>
      <c r="AC46" s="11">
        <v>12.44</v>
      </c>
      <c r="AD46" s="2">
        <f t="shared" si="2"/>
        <v>0.51000000000000156</v>
      </c>
      <c r="AE46" s="165">
        <f t="shared" si="3"/>
        <v>5.4237288135593031E-2</v>
      </c>
      <c r="AI46" t="s">
        <v>212</v>
      </c>
    </row>
    <row r="47" spans="2:43" ht="15.75" thickTop="1" x14ac:dyDescent="0.25">
      <c r="B47" s="390">
        <v>42361</v>
      </c>
      <c r="C47" s="7">
        <v>2500</v>
      </c>
      <c r="D47" s="99">
        <v>12.865</v>
      </c>
      <c r="E47" s="57">
        <v>8</v>
      </c>
      <c r="F47" s="57">
        <f t="shared" si="7"/>
        <v>32170.5</v>
      </c>
      <c r="O47" s="103">
        <v>1.1000000000000001</v>
      </c>
      <c r="P47" s="103">
        <f>O47*$Q$4</f>
        <v>13.431000000000003</v>
      </c>
      <c r="Q47" s="2"/>
      <c r="T47" s="128" t="s">
        <v>106</v>
      </c>
      <c r="U47" s="126">
        <v>12.99</v>
      </c>
      <c r="W47" s="150">
        <v>42352</v>
      </c>
      <c r="X47" s="54">
        <v>12.47</v>
      </c>
      <c r="Y47" s="54">
        <v>12.56</v>
      </c>
      <c r="Z47" s="54">
        <v>11.75</v>
      </c>
      <c r="AA47" s="54">
        <v>11.8</v>
      </c>
      <c r="AB47" s="124">
        <v>7621300</v>
      </c>
      <c r="AC47" s="11">
        <v>11.8</v>
      </c>
      <c r="AD47" s="2">
        <f t="shared" si="2"/>
        <v>0.8100000000000005</v>
      </c>
      <c r="AE47" s="165">
        <f t="shared" si="3"/>
        <v>-5.3728949478748955E-2</v>
      </c>
      <c r="AI47" t="s">
        <v>230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90"/>
      <c r="C48" s="7">
        <v>1500</v>
      </c>
      <c r="D48" s="99">
        <v>12.865</v>
      </c>
      <c r="E48" s="57">
        <v>0</v>
      </c>
      <c r="F48" s="57">
        <f t="shared" si="7"/>
        <v>19297.5</v>
      </c>
      <c r="O48" s="103">
        <v>1.0900000000000001</v>
      </c>
      <c r="P48" s="103">
        <f t="shared" ref="P48:P67" si="8">O48*$Q$4</f>
        <v>13.308900000000001</v>
      </c>
      <c r="Q48" s="2"/>
      <c r="T48" s="128" t="s">
        <v>107</v>
      </c>
      <c r="U48" s="126">
        <v>12.88</v>
      </c>
      <c r="W48" s="150">
        <v>42349</v>
      </c>
      <c r="X48" s="54">
        <v>12.81</v>
      </c>
      <c r="Y48" s="54">
        <v>12.85</v>
      </c>
      <c r="Z48" s="54">
        <v>12.45</v>
      </c>
      <c r="AA48" s="54">
        <v>12.47</v>
      </c>
      <c r="AB48" s="124">
        <v>3625700</v>
      </c>
      <c r="AC48" s="11">
        <v>12.47</v>
      </c>
      <c r="AD48" s="2">
        <f t="shared" si="2"/>
        <v>0.40000000000000036</v>
      </c>
      <c r="AE48" s="165">
        <f t="shared" si="3"/>
        <v>-3.482972136222906E-2</v>
      </c>
      <c r="AI48" t="s">
        <v>212</v>
      </c>
    </row>
    <row r="49" spans="1:43" x14ac:dyDescent="0.25">
      <c r="B49" s="1">
        <v>42402</v>
      </c>
      <c r="C49" s="4">
        <v>200</v>
      </c>
      <c r="D49" s="320">
        <v>14.65</v>
      </c>
      <c r="E49" s="2">
        <v>0</v>
      </c>
      <c r="F49" s="2">
        <f t="shared" si="7"/>
        <v>2930</v>
      </c>
      <c r="O49" s="103">
        <v>1.08</v>
      </c>
      <c r="P49" s="103">
        <f t="shared" si="8"/>
        <v>13.186800000000002</v>
      </c>
      <c r="Q49" s="2"/>
      <c r="T49" s="128" t="s">
        <v>108</v>
      </c>
      <c r="U49" s="126" t="s">
        <v>338</v>
      </c>
      <c r="W49" s="150">
        <v>42348</v>
      </c>
      <c r="X49" s="54">
        <v>12.92</v>
      </c>
      <c r="Y49" s="54">
        <v>13.03</v>
      </c>
      <c r="Z49" s="54">
        <v>12.75</v>
      </c>
      <c r="AA49" s="54">
        <v>12.92</v>
      </c>
      <c r="AB49" s="124">
        <v>3650900</v>
      </c>
      <c r="AC49" s="11">
        <v>12.92</v>
      </c>
      <c r="AD49" s="2">
        <f t="shared" si="2"/>
        <v>0.27999999999999936</v>
      </c>
      <c r="AE49" s="165">
        <f t="shared" si="3"/>
        <v>-7.7339520494967839E-4</v>
      </c>
      <c r="AI49" t="s">
        <v>230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99">
        <v>12.65</v>
      </c>
      <c r="E50" s="57">
        <v>0</v>
      </c>
      <c r="F50" s="57">
        <f t="shared" si="7"/>
        <v>1265</v>
      </c>
      <c r="O50" s="103">
        <v>1.07</v>
      </c>
      <c r="P50" s="103">
        <f t="shared" si="8"/>
        <v>13.064700000000002</v>
      </c>
      <c r="Q50" s="2"/>
      <c r="T50" s="128" t="s">
        <v>109</v>
      </c>
      <c r="U50" s="126" t="s">
        <v>339</v>
      </c>
      <c r="W50" s="150">
        <v>42347</v>
      </c>
      <c r="X50" s="54">
        <v>12.76</v>
      </c>
      <c r="Y50" s="54">
        <v>13.04</v>
      </c>
      <c r="Z50" s="54">
        <v>12.67</v>
      </c>
      <c r="AA50" s="54">
        <v>12.93</v>
      </c>
      <c r="AB50" s="124">
        <v>3876300</v>
      </c>
      <c r="AC50" s="11">
        <v>12.93</v>
      </c>
      <c r="AD50" s="2">
        <f t="shared" si="2"/>
        <v>0.36999999999999922</v>
      </c>
      <c r="AE50" s="165">
        <f t="shared" si="3"/>
        <v>1.094605160281481E-2</v>
      </c>
      <c r="AI50" t="s">
        <v>212</v>
      </c>
    </row>
    <row r="51" spans="1:43" x14ac:dyDescent="0.25">
      <c r="B51" s="1">
        <v>42412</v>
      </c>
      <c r="C51" s="7">
        <v>100</v>
      </c>
      <c r="D51" s="99">
        <v>11.85</v>
      </c>
      <c r="E51" s="57">
        <v>0</v>
      </c>
      <c r="F51" s="57">
        <f t="shared" si="7"/>
        <v>1185</v>
      </c>
      <c r="O51" s="103">
        <v>1.06</v>
      </c>
      <c r="P51" s="103">
        <f t="shared" si="8"/>
        <v>12.942600000000002</v>
      </c>
      <c r="Q51" s="2"/>
      <c r="T51" s="128" t="s">
        <v>110</v>
      </c>
      <c r="U51" s="126">
        <v>20.07</v>
      </c>
      <c r="W51" s="150">
        <v>42346</v>
      </c>
      <c r="X51" s="54">
        <v>12.66</v>
      </c>
      <c r="Y51" s="54">
        <v>12.83</v>
      </c>
      <c r="Z51" s="54">
        <v>12.41</v>
      </c>
      <c r="AA51" s="54">
        <v>12.79</v>
      </c>
      <c r="AB51" s="124">
        <v>7235800</v>
      </c>
      <c r="AC51" s="11">
        <v>12.79</v>
      </c>
      <c r="AD51" s="2">
        <f t="shared" si="2"/>
        <v>0.41999999999999993</v>
      </c>
      <c r="AE51" s="165">
        <f t="shared" si="3"/>
        <v>-3.8940809968848189E-3</v>
      </c>
      <c r="AI51" t="s">
        <v>230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46">
        <v>12.94</v>
      </c>
      <c r="E52" s="17">
        <v>0</v>
      </c>
      <c r="F52" s="17">
        <f t="shared" si="7"/>
        <v>3235</v>
      </c>
      <c r="O52" s="103">
        <v>1.05</v>
      </c>
      <c r="P52" s="103">
        <f t="shared" si="8"/>
        <v>12.820500000000001</v>
      </c>
      <c r="Q52" s="2"/>
      <c r="T52" s="128" t="s">
        <v>111</v>
      </c>
      <c r="U52" s="126">
        <v>0.82159599999999999</v>
      </c>
      <c r="W52" s="150">
        <v>42345</v>
      </c>
      <c r="X52" s="54">
        <v>12.99</v>
      </c>
      <c r="Y52" s="54">
        <v>13.01</v>
      </c>
      <c r="Z52" s="54">
        <v>12.7</v>
      </c>
      <c r="AA52" s="54">
        <v>12.84</v>
      </c>
      <c r="AB52" s="124">
        <v>5908000</v>
      </c>
      <c r="AC52" s="11">
        <v>12.84</v>
      </c>
      <c r="AD52" s="2">
        <f t="shared" si="2"/>
        <v>0.3100000000000005</v>
      </c>
      <c r="AE52" s="165">
        <f t="shared" si="3"/>
        <v>-2.3574144486692039E-2</v>
      </c>
      <c r="AI52" t="s">
        <v>212</v>
      </c>
    </row>
    <row r="53" spans="1:43" x14ac:dyDescent="0.25">
      <c r="O53" s="103">
        <v>1.04</v>
      </c>
      <c r="P53" s="103">
        <f t="shared" si="8"/>
        <v>12.698400000000001</v>
      </c>
      <c r="Q53" s="2"/>
      <c r="T53" s="128" t="s">
        <v>131</v>
      </c>
      <c r="U53" s="126" t="s">
        <v>313</v>
      </c>
      <c r="W53" s="150">
        <v>42342</v>
      </c>
      <c r="X53" s="54">
        <v>13.61</v>
      </c>
      <c r="Y53" s="54">
        <v>13.68</v>
      </c>
      <c r="Z53" s="54">
        <v>13.09</v>
      </c>
      <c r="AA53" s="54">
        <v>13.15</v>
      </c>
      <c r="AB53" s="124">
        <v>7821800</v>
      </c>
      <c r="AC53" s="11">
        <v>13.15</v>
      </c>
      <c r="AD53" s="2">
        <f t="shared" si="2"/>
        <v>0.58999999999999986</v>
      </c>
      <c r="AE53" s="165">
        <f t="shared" si="3"/>
        <v>-3.5923753665689118E-2</v>
      </c>
      <c r="AI53" t="s">
        <v>230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8"/>
        <v>12.576300000000002</v>
      </c>
      <c r="Q54" s="2"/>
      <c r="T54" s="128"/>
      <c r="U54" s="126"/>
      <c r="W54" s="150">
        <v>42341</v>
      </c>
      <c r="X54" s="54">
        <v>13.88</v>
      </c>
      <c r="Y54" s="54">
        <v>14.05</v>
      </c>
      <c r="Z54" s="54">
        <v>13.55</v>
      </c>
      <c r="AA54" s="54">
        <v>13.64</v>
      </c>
      <c r="AB54" s="124">
        <v>6937700</v>
      </c>
      <c r="AC54" s="11">
        <v>13.64</v>
      </c>
      <c r="AD54" s="2">
        <f t="shared" si="2"/>
        <v>0.5</v>
      </c>
      <c r="AE54" s="165">
        <f t="shared" si="3"/>
        <v>-1.8705035971222972E-2</v>
      </c>
      <c r="AI54" t="s">
        <v>212</v>
      </c>
    </row>
    <row r="55" spans="1:43" x14ac:dyDescent="0.25">
      <c r="O55" s="103">
        <v>1.02</v>
      </c>
      <c r="P55" s="103">
        <f t="shared" si="8"/>
        <v>12.454200000000002</v>
      </c>
      <c r="T55" s="128" t="s">
        <v>113</v>
      </c>
      <c r="U55" s="126" t="s">
        <v>340</v>
      </c>
      <c r="W55" s="150">
        <v>42340</v>
      </c>
      <c r="X55" s="54">
        <v>14.6</v>
      </c>
      <c r="Y55" s="54">
        <v>14.65</v>
      </c>
      <c r="Z55" s="54">
        <v>13.83</v>
      </c>
      <c r="AA55" s="54">
        <v>13.9</v>
      </c>
      <c r="AB55" s="124">
        <v>5225800</v>
      </c>
      <c r="AC55" s="11">
        <v>13.9</v>
      </c>
      <c r="AD55" s="2">
        <f t="shared" si="2"/>
        <v>0.82000000000000028</v>
      </c>
      <c r="AE55" s="165">
        <f t="shared" si="3"/>
        <v>-5.24880708929788E-2</v>
      </c>
      <c r="AI55" t="s">
        <v>230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SUM(C2:C52)</f>
        <v>21565</v>
      </c>
      <c r="D56" s="101"/>
      <c r="E56" s="16"/>
      <c r="F56" s="21">
        <f>SUM(F2:F52)</f>
        <v>327549.02</v>
      </c>
      <c r="G56" s="16"/>
      <c r="H56" s="16">
        <f>SUM(H2:H26)</f>
        <v>19565</v>
      </c>
      <c r="I56" s="101"/>
      <c r="J56" s="16"/>
      <c r="K56" s="21">
        <f>SUM(K2:K26)</f>
        <v>275653.88</v>
      </c>
      <c r="L56" s="16"/>
      <c r="M56" s="16"/>
      <c r="O56" s="103">
        <v>1.01</v>
      </c>
      <c r="P56" s="103">
        <f t="shared" si="8"/>
        <v>12.332100000000001</v>
      </c>
      <c r="T56" s="128" t="s">
        <v>114</v>
      </c>
      <c r="U56" s="126" t="s">
        <v>314</v>
      </c>
      <c r="W56" s="150">
        <v>42339</v>
      </c>
      <c r="X56" s="54">
        <v>14.76</v>
      </c>
      <c r="Y56" s="54">
        <v>14.97</v>
      </c>
      <c r="Z56" s="54">
        <v>14.49</v>
      </c>
      <c r="AA56" s="54">
        <v>14.67</v>
      </c>
      <c r="AB56" s="124">
        <v>3092400</v>
      </c>
      <c r="AC56" s="11">
        <v>14.67</v>
      </c>
      <c r="AD56" s="2">
        <f t="shared" si="2"/>
        <v>0.48000000000000043</v>
      </c>
      <c r="AE56" s="165">
        <f t="shared" si="3"/>
        <v>-7.4424898511501469E-3</v>
      </c>
      <c r="AI56" t="s">
        <v>212</v>
      </c>
    </row>
    <row r="57" spans="1:43" x14ac:dyDescent="0.25">
      <c r="O57" s="103">
        <v>1</v>
      </c>
      <c r="P57" s="103">
        <f t="shared" si="8"/>
        <v>12.21</v>
      </c>
      <c r="T57" s="128" t="s">
        <v>115</v>
      </c>
      <c r="U57" s="127">
        <v>4789029</v>
      </c>
      <c r="W57" s="150">
        <v>42338</v>
      </c>
      <c r="X57" s="54">
        <v>14.46</v>
      </c>
      <c r="Y57" s="54">
        <v>14.82</v>
      </c>
      <c r="Z57" s="54">
        <v>14.41</v>
      </c>
      <c r="AA57" s="54">
        <v>14.78</v>
      </c>
      <c r="AB57" s="124">
        <v>3395200</v>
      </c>
      <c r="AC57" s="11">
        <v>14.78</v>
      </c>
      <c r="AD57" s="2">
        <f t="shared" si="2"/>
        <v>0.41000000000000014</v>
      </c>
      <c r="AE57" s="165">
        <f t="shared" si="3"/>
        <v>2.1423635107117978E-2</v>
      </c>
      <c r="AI57" t="s">
        <v>230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122</v>
      </c>
      <c r="C58" s="246" t="s">
        <v>189</v>
      </c>
      <c r="D58" s="256" t="s">
        <v>188</v>
      </c>
      <c r="E58" s="250" t="s">
        <v>190</v>
      </c>
      <c r="F58" s="250" t="s">
        <v>65</v>
      </c>
      <c r="G58" s="294" t="s">
        <v>195</v>
      </c>
      <c r="H58" s="250" t="s">
        <v>92</v>
      </c>
      <c r="I58" s="321" t="s">
        <v>195</v>
      </c>
      <c r="O58" s="103">
        <v>0.99</v>
      </c>
      <c r="P58" s="103">
        <f t="shared" si="8"/>
        <v>12.087900000000001</v>
      </c>
      <c r="T58" s="128" t="s">
        <v>118</v>
      </c>
      <c r="U58" s="127">
        <v>5323240</v>
      </c>
      <c r="W58" s="150">
        <v>42335</v>
      </c>
      <c r="X58" s="54">
        <v>14.84</v>
      </c>
      <c r="Y58" s="54">
        <v>14.89</v>
      </c>
      <c r="Z58" s="54">
        <v>14.39</v>
      </c>
      <c r="AA58" s="54">
        <v>14.47</v>
      </c>
      <c r="AB58" s="124">
        <v>1681600</v>
      </c>
      <c r="AC58" s="11">
        <v>14.47</v>
      </c>
      <c r="AD58" s="2">
        <f t="shared" si="2"/>
        <v>0.5</v>
      </c>
      <c r="AE58" s="165">
        <f t="shared" si="3"/>
        <v>-2.4932614555255972E-2</v>
      </c>
      <c r="AI58" t="s">
        <v>212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8"/>
        <v>11.9658</v>
      </c>
      <c r="T59" s="128" t="s">
        <v>116</v>
      </c>
      <c r="U59" s="126" t="s">
        <v>341</v>
      </c>
      <c r="W59" s="150">
        <v>42333</v>
      </c>
      <c r="X59" s="54">
        <v>14.98</v>
      </c>
      <c r="Y59" s="54">
        <v>15.06</v>
      </c>
      <c r="Z59" s="54">
        <v>14.75</v>
      </c>
      <c r="AA59" s="54">
        <v>14.84</v>
      </c>
      <c r="AB59" s="124">
        <v>2048100</v>
      </c>
      <c r="AC59" s="11">
        <v>14.84</v>
      </c>
      <c r="AD59" s="2">
        <f t="shared" si="2"/>
        <v>0.3100000000000005</v>
      </c>
      <c r="AE59" s="165">
        <f t="shared" si="3"/>
        <v>-1.5915119363395291E-2</v>
      </c>
      <c r="AI59" t="s">
        <v>230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83" si="9">C60*(E60-D60)</f>
        <v>-13659.100000000004</v>
      </c>
      <c r="G60" s="53">
        <f t="shared" ref="G60:G83" si="10">IF(C60=0, 0,D60*C60)</f>
        <v>96277.3</v>
      </c>
      <c r="H60" s="305">
        <f t="shared" ref="H60:H83" si="11">IF(C60=0, D60, (E60-D60)/D60)</f>
        <v>-0.14187248707639291</v>
      </c>
      <c r="I60" s="257"/>
      <c r="O60" s="103">
        <v>0.97</v>
      </c>
      <c r="P60" s="103">
        <f t="shared" si="8"/>
        <v>11.8437</v>
      </c>
      <c r="T60" s="128" t="s">
        <v>119</v>
      </c>
      <c r="U60" s="126">
        <v>19.079999999999998</v>
      </c>
      <c r="W60" s="150">
        <v>42332</v>
      </c>
      <c r="X60" s="54">
        <v>14.63</v>
      </c>
      <c r="Y60" s="54">
        <v>15.11</v>
      </c>
      <c r="Z60" s="54">
        <v>14.55</v>
      </c>
      <c r="AA60" s="54">
        <v>15.08</v>
      </c>
      <c r="AB60" s="124">
        <v>3014900</v>
      </c>
      <c r="AC60" s="11">
        <v>15.08</v>
      </c>
      <c r="AD60" s="2">
        <f t="shared" si="2"/>
        <v>0.55999999999999872</v>
      </c>
      <c r="AE60" s="165">
        <f t="shared" si="3"/>
        <v>2.7948193592365334E-2</v>
      </c>
      <c r="AI60" t="s">
        <v>212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9"/>
        <v>-10428.599999999991</v>
      </c>
      <c r="G61" s="53">
        <f t="shared" si="10"/>
        <v>99300.9</v>
      </c>
      <c r="H61" s="305">
        <f t="shared" si="11"/>
        <v>-0.10502019619157522</v>
      </c>
      <c r="I61" s="257"/>
      <c r="O61" s="103">
        <v>0.96</v>
      </c>
      <c r="P61" s="103">
        <f t="shared" si="8"/>
        <v>11.7216</v>
      </c>
      <c r="T61" s="128" t="s">
        <v>120</v>
      </c>
      <c r="U61" s="126">
        <v>0.64</v>
      </c>
      <c r="W61" s="150">
        <v>42331</v>
      </c>
      <c r="X61" s="54">
        <v>14.64</v>
      </c>
      <c r="Y61" s="54">
        <v>14.76</v>
      </c>
      <c r="Z61" s="54">
        <v>14.48</v>
      </c>
      <c r="AA61" s="54">
        <v>14.67</v>
      </c>
      <c r="AB61" s="124">
        <v>2687200</v>
      </c>
      <c r="AC61" s="11">
        <v>14.67</v>
      </c>
      <c r="AD61" s="2">
        <f t="shared" si="2"/>
        <v>0.27999999999999936</v>
      </c>
      <c r="AE61" s="165">
        <f t="shared" si="3"/>
        <v>2.049180327868827E-3</v>
      </c>
      <c r="AI61" t="s">
        <v>230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9"/>
        <v>-14039.999999999989</v>
      </c>
      <c r="G62" s="53">
        <f t="shared" si="10"/>
        <v>103320</v>
      </c>
      <c r="H62" s="305">
        <f t="shared" si="11"/>
        <v>-0.13588850174216019</v>
      </c>
      <c r="I62" s="257"/>
      <c r="O62" s="103">
        <v>0.95</v>
      </c>
      <c r="P62" s="103">
        <f t="shared" si="8"/>
        <v>11.599500000000001</v>
      </c>
      <c r="T62" s="128" t="s">
        <v>117</v>
      </c>
      <c r="U62" s="126" t="s">
        <v>132</v>
      </c>
      <c r="W62" s="150">
        <v>42328</v>
      </c>
      <c r="X62" s="54">
        <v>14.62</v>
      </c>
      <c r="Y62" s="54">
        <v>14.88</v>
      </c>
      <c r="Z62" s="54">
        <v>14.53</v>
      </c>
      <c r="AA62" s="54">
        <v>14.64</v>
      </c>
      <c r="AB62" s="124">
        <v>2088000</v>
      </c>
      <c r="AC62" s="11">
        <v>14.64</v>
      </c>
      <c r="AD62" s="2">
        <f t="shared" si="2"/>
        <v>0.35000000000000142</v>
      </c>
      <c r="AE62" s="165">
        <f t="shared" si="3"/>
        <v>4.8043925875085325E-3</v>
      </c>
      <c r="AI62" t="s">
        <v>212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9"/>
        <v>-16884.459999999988</v>
      </c>
      <c r="G63" s="53">
        <f t="shared" si="10"/>
        <v>117910.97999999998</v>
      </c>
      <c r="H63" s="305">
        <f t="shared" si="11"/>
        <v>-0.14319667260843724</v>
      </c>
      <c r="I63" s="257"/>
      <c r="O63" s="103">
        <v>0.94</v>
      </c>
      <c r="P63" s="103">
        <f t="shared" si="8"/>
        <v>11.477399999999999</v>
      </c>
      <c r="W63" s="150">
        <v>42327</v>
      </c>
      <c r="X63" s="54">
        <v>14.63</v>
      </c>
      <c r="Y63" s="54">
        <v>14.72</v>
      </c>
      <c r="Z63" s="54">
        <v>14.48</v>
      </c>
      <c r="AA63" s="54">
        <v>14.57</v>
      </c>
      <c r="AB63" s="124">
        <v>2493200</v>
      </c>
      <c r="AC63" s="11">
        <v>14.57</v>
      </c>
      <c r="AD63" s="2">
        <f t="shared" si="2"/>
        <v>0.24000000000000021</v>
      </c>
      <c r="AE63" s="165">
        <f t="shared" si="3"/>
        <v>-5.4607508532423799E-3</v>
      </c>
      <c r="AI63" t="s">
        <v>230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9"/>
        <v>-13559.999999999998</v>
      </c>
      <c r="G64" s="53">
        <f t="shared" si="10"/>
        <v>103080</v>
      </c>
      <c r="H64" s="305">
        <f t="shared" si="11"/>
        <v>-0.13154831199068684</v>
      </c>
      <c r="I64" s="257"/>
      <c r="O64" s="103">
        <v>0.93</v>
      </c>
      <c r="P64" s="103">
        <f t="shared" si="8"/>
        <v>11.355300000000002</v>
      </c>
      <c r="W64" s="150">
        <v>42326</v>
      </c>
      <c r="X64" s="54">
        <v>14.39</v>
      </c>
      <c r="Y64" s="54">
        <v>14.68</v>
      </c>
      <c r="Z64" s="54">
        <v>14.3</v>
      </c>
      <c r="AA64" s="54">
        <v>14.65</v>
      </c>
      <c r="AB64" s="124">
        <v>4384600</v>
      </c>
      <c r="AC64" s="11">
        <v>14.65</v>
      </c>
      <c r="AD64" s="2">
        <f t="shared" si="2"/>
        <v>0.37999999999999901</v>
      </c>
      <c r="AE64" s="165">
        <f t="shared" si="3"/>
        <v>1.8776077885952702E-2</v>
      </c>
      <c r="AI64" t="s">
        <v>212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9"/>
        <v>-16869.999999999989</v>
      </c>
      <c r="G65" s="53">
        <f t="shared" si="10"/>
        <v>117530</v>
      </c>
      <c r="H65" s="305">
        <f t="shared" si="11"/>
        <v>-0.14353782013103028</v>
      </c>
      <c r="I65" s="257"/>
      <c r="O65" s="103">
        <v>0.92</v>
      </c>
      <c r="P65" s="103">
        <f t="shared" si="8"/>
        <v>11.233200000000002</v>
      </c>
      <c r="W65" s="150">
        <v>42325</v>
      </c>
      <c r="X65" s="54">
        <v>14.91</v>
      </c>
      <c r="Y65" s="54">
        <v>15.03</v>
      </c>
      <c r="Z65" s="54">
        <v>14.32</v>
      </c>
      <c r="AA65" s="54">
        <v>14.38</v>
      </c>
      <c r="AB65" s="124">
        <v>3220700</v>
      </c>
      <c r="AC65" s="11">
        <v>14.38</v>
      </c>
      <c r="AD65" s="2">
        <f t="shared" si="2"/>
        <v>0.70999999999999908</v>
      </c>
      <c r="AE65" s="165">
        <f t="shared" si="3"/>
        <v>-3.6193029490616535E-2</v>
      </c>
      <c r="AI65" t="s">
        <v>230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9"/>
        <v>-15059.999999999998</v>
      </c>
      <c r="G66" s="53">
        <f t="shared" si="10"/>
        <v>102960</v>
      </c>
      <c r="H66" s="305">
        <f t="shared" si="11"/>
        <v>-0.14627039627039626</v>
      </c>
      <c r="I66" s="257"/>
      <c r="O66" s="103">
        <v>0.91</v>
      </c>
      <c r="P66" s="103">
        <f t="shared" si="8"/>
        <v>11.1111</v>
      </c>
      <c r="W66" s="150">
        <v>42324</v>
      </c>
      <c r="X66" s="54">
        <v>14.48</v>
      </c>
      <c r="Y66" s="54">
        <v>14.93</v>
      </c>
      <c r="Z66" s="54">
        <v>14.41</v>
      </c>
      <c r="AA66" s="54">
        <v>14.92</v>
      </c>
      <c r="AB66" s="124">
        <v>3162200</v>
      </c>
      <c r="AC66" s="11">
        <v>14.92</v>
      </c>
      <c r="AD66" s="2">
        <f t="shared" si="2"/>
        <v>0.51999999999999957</v>
      </c>
      <c r="AE66" s="165">
        <f t="shared" si="3"/>
        <v>2.7548209366391241E-2</v>
      </c>
      <c r="AI66" t="s">
        <v>212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9"/>
        <v>-16103.999999999993</v>
      </c>
      <c r="G67" s="53">
        <f t="shared" si="10"/>
        <v>104371</v>
      </c>
      <c r="H67" s="305">
        <f t="shared" si="11"/>
        <v>-0.15429573348918754</v>
      </c>
      <c r="I67" s="257"/>
      <c r="O67" s="103">
        <v>0.9</v>
      </c>
      <c r="P67" s="103">
        <f t="shared" si="8"/>
        <v>10.989000000000001</v>
      </c>
      <c r="W67" s="150">
        <v>42321</v>
      </c>
      <c r="X67" s="54">
        <v>14.34</v>
      </c>
      <c r="Y67" s="54">
        <v>14.77</v>
      </c>
      <c r="Z67" s="54">
        <v>14.31</v>
      </c>
      <c r="AA67" s="54">
        <v>14.52</v>
      </c>
      <c r="AB67" s="124">
        <v>2964500</v>
      </c>
      <c r="AC67" s="11">
        <v>14.52</v>
      </c>
      <c r="AD67" s="2">
        <f>Y67-Z67</f>
        <v>0.45999999999999908</v>
      </c>
      <c r="AE67" s="165" t="e">
        <f>AC67/AC68-1</f>
        <v>#DIV/0!</v>
      </c>
      <c r="AI67" t="s">
        <v>230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9"/>
        <v>-16099.999999999993</v>
      </c>
      <c r="G68" s="53">
        <f t="shared" si="10"/>
        <v>117390</v>
      </c>
      <c r="H68" s="305">
        <f t="shared" si="11"/>
        <v>-0.1371496720333929</v>
      </c>
      <c r="I68" s="257"/>
      <c r="W68" s="150" t="s">
        <v>130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212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9"/>
        <v>-13920.000000000013</v>
      </c>
      <c r="G69" s="53">
        <f t="shared" si="10"/>
        <v>102600.00000000001</v>
      </c>
      <c r="H69" s="305">
        <f t="shared" si="11"/>
        <v>-0.13567251461988314</v>
      </c>
      <c r="I69" s="257"/>
      <c r="AI69" t="s">
        <v>230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9"/>
        <v>-13924.000000000007</v>
      </c>
      <c r="G70" s="53">
        <f t="shared" si="10"/>
        <v>101126</v>
      </c>
      <c r="H70" s="305">
        <f t="shared" si="11"/>
        <v>-0.13768961493582271</v>
      </c>
      <c r="I70" s="257"/>
      <c r="AI70" t="s">
        <v>212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9"/>
        <v>-19390.000000000011</v>
      </c>
      <c r="G71" s="53">
        <f t="shared" si="10"/>
        <v>116690.00000000001</v>
      </c>
      <c r="H71" s="305">
        <f t="shared" si="11"/>
        <v>-0.16616676664667074</v>
      </c>
      <c r="I71" s="257"/>
      <c r="AI71" t="s">
        <v>241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9"/>
        <v>-19575.000000000007</v>
      </c>
      <c r="G72" s="53">
        <f t="shared" si="10"/>
        <v>123825.00000000001</v>
      </c>
      <c r="H72" s="305">
        <f t="shared" si="11"/>
        <v>-0.15808600847970933</v>
      </c>
      <c r="I72" s="257"/>
      <c r="AI72" t="s">
        <v>212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9"/>
        <v>-25200.000000000007</v>
      </c>
      <c r="G73" s="53">
        <f t="shared" si="10"/>
        <v>123825.00000000001</v>
      </c>
      <c r="H73" s="305">
        <f t="shared" si="11"/>
        <v>-0.20351302241066027</v>
      </c>
      <c r="I73" s="257"/>
      <c r="AI73" t="s">
        <v>241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9"/>
        <v>-30320.000000000007</v>
      </c>
      <c r="G74" s="53">
        <f t="shared" si="10"/>
        <v>130080.00000000001</v>
      </c>
      <c r="H74" s="305">
        <f t="shared" si="11"/>
        <v>-0.23308733087330877</v>
      </c>
      <c r="I74" s="257"/>
      <c r="AI74" t="s">
        <v>212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9"/>
        <v>-29325.000000000015</v>
      </c>
      <c r="G75" s="53">
        <f t="shared" si="10"/>
        <v>123825.00000000001</v>
      </c>
      <c r="H75" s="305">
        <f t="shared" si="11"/>
        <v>-0.23682616596002432</v>
      </c>
      <c r="I75" s="257"/>
      <c r="AI75" t="s">
        <v>242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9"/>
        <v>-27899.999999999989</v>
      </c>
      <c r="G76" s="53">
        <f t="shared" si="10"/>
        <v>85859.999999999985</v>
      </c>
      <c r="H76" s="305">
        <f t="shared" si="11"/>
        <v>-0.32494758909853239</v>
      </c>
      <c r="I76" s="257"/>
      <c r="AI76" t="s">
        <v>212</v>
      </c>
    </row>
    <row r="77" spans="2:43" ht="15" customHeight="1" x14ac:dyDescent="0.25">
      <c r="B77" s="248">
        <v>42397</v>
      </c>
      <c r="C77" s="347">
        <v>2000</v>
      </c>
      <c r="D77" s="348">
        <v>26.06</v>
      </c>
      <c r="E77" s="53">
        <v>15.27</v>
      </c>
      <c r="F77" s="53">
        <f t="shared" si="9"/>
        <v>-21580</v>
      </c>
      <c r="G77" s="53">
        <f t="shared" si="10"/>
        <v>52120</v>
      </c>
      <c r="H77" s="305">
        <f t="shared" si="11"/>
        <v>-0.41404451266308517</v>
      </c>
      <c r="I77" s="257"/>
      <c r="AI77" t="s">
        <v>243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9"/>
        <v>-21582.000000000004</v>
      </c>
      <c r="G78" s="53">
        <f t="shared" si="10"/>
        <v>49068</v>
      </c>
      <c r="H78" s="305">
        <f t="shared" si="11"/>
        <v>-0.43983859134262659</v>
      </c>
      <c r="I78" s="257"/>
      <c r="AI78" t="s">
        <v>212</v>
      </c>
    </row>
    <row r="79" spans="2:43" x14ac:dyDescent="0.25">
      <c r="B79" s="248">
        <v>42402</v>
      </c>
      <c r="C79" s="347">
        <v>2000</v>
      </c>
      <c r="D79" s="348">
        <v>26</v>
      </c>
      <c r="E79" s="53">
        <v>15.18</v>
      </c>
      <c r="F79" s="53">
        <f t="shared" si="9"/>
        <v>-21640</v>
      </c>
      <c r="G79" s="53">
        <f t="shared" si="10"/>
        <v>52000</v>
      </c>
      <c r="H79" s="305">
        <f t="shared" si="11"/>
        <v>-0.41615384615384615</v>
      </c>
      <c r="I79" s="257"/>
      <c r="AI79" t="s">
        <v>244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>
        <v>42412</v>
      </c>
      <c r="C80" s="12">
        <v>2200</v>
      </c>
      <c r="D80" s="257">
        <v>24.75</v>
      </c>
      <c r="E80" s="53">
        <v>12.35</v>
      </c>
      <c r="F80" s="53">
        <f t="shared" si="9"/>
        <v>-27280</v>
      </c>
      <c r="G80" s="53">
        <f t="shared" si="10"/>
        <v>54450</v>
      </c>
      <c r="H80" s="305">
        <f t="shared" si="11"/>
        <v>-0.50101010101010102</v>
      </c>
      <c r="I80" s="257"/>
      <c r="AI80" t="s">
        <v>212</v>
      </c>
    </row>
    <row r="81" spans="2:43" x14ac:dyDescent="0.25">
      <c r="B81" s="248">
        <v>42416</v>
      </c>
      <c r="C81" s="347">
        <v>2000</v>
      </c>
      <c r="D81" s="348">
        <v>25.96</v>
      </c>
      <c r="E81" s="53">
        <v>12.35</v>
      </c>
      <c r="F81" s="53">
        <f t="shared" si="9"/>
        <v>-27220.000000000004</v>
      </c>
      <c r="G81" s="53">
        <f t="shared" si="10"/>
        <v>51920</v>
      </c>
      <c r="H81" s="305">
        <f t="shared" si="11"/>
        <v>-0.52426810477657937</v>
      </c>
      <c r="I81" s="257"/>
      <c r="AI81" t="s">
        <v>245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>
        <v>42416</v>
      </c>
      <c r="C82" s="12">
        <v>1750</v>
      </c>
      <c r="D82" s="257">
        <v>27.81</v>
      </c>
      <c r="E82" s="53">
        <v>12.89</v>
      </c>
      <c r="F82" s="53">
        <f t="shared" si="9"/>
        <v>-26109.999999999996</v>
      </c>
      <c r="G82" s="53">
        <f t="shared" si="10"/>
        <v>48667.5</v>
      </c>
      <c r="H82" s="305">
        <f t="shared" si="11"/>
        <v>-0.53649766271125487</v>
      </c>
      <c r="I82" s="257"/>
      <c r="AI82" t="s">
        <v>212</v>
      </c>
    </row>
    <row r="83" spans="2:43" ht="15" customHeight="1" x14ac:dyDescent="0.25">
      <c r="B83" s="248">
        <v>42416</v>
      </c>
      <c r="C83" s="347">
        <v>2000</v>
      </c>
      <c r="D83" s="348">
        <v>25.948</v>
      </c>
      <c r="E83" s="53">
        <v>12.94</v>
      </c>
      <c r="F83" s="53">
        <f t="shared" si="9"/>
        <v>-26016</v>
      </c>
      <c r="G83" s="53">
        <f t="shared" si="10"/>
        <v>51896</v>
      </c>
      <c r="H83" s="305">
        <f t="shared" si="11"/>
        <v>-0.50131031293355943</v>
      </c>
      <c r="I83" s="257">
        <v>25</v>
      </c>
      <c r="AI83" t="s">
        <v>245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212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245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212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245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212</v>
      </c>
    </row>
    <row r="89" spans="2:43" ht="15" customHeight="1" x14ac:dyDescent="0.25">
      <c r="AI89" t="s">
        <v>246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212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401" priority="34">
      <formula>Q12&gt;0</formula>
    </cfRule>
    <cfRule type="expression" dxfId="40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9" priority="27">
      <formula>F59&gt;0</formula>
    </cfRule>
    <cfRule type="expression" dxfId="398" priority="28">
      <formula>F59&lt;0</formula>
    </cfRule>
  </conditionalFormatting>
  <conditionalFormatting sqref="H59:H65">
    <cfRule type="expression" dxfId="397" priority="15">
      <formula>H59&gt;0</formula>
    </cfRule>
    <cfRule type="expression" dxfId="396" priority="16">
      <formula>H59&lt;0</formula>
    </cfRule>
  </conditionalFormatting>
  <conditionalFormatting sqref="H66">
    <cfRule type="expression" dxfId="395" priority="13">
      <formula>H66&gt;0</formula>
    </cfRule>
    <cfRule type="expression" dxfId="394" priority="14">
      <formula>H66&lt;0</formula>
    </cfRule>
  </conditionalFormatting>
  <conditionalFormatting sqref="H67">
    <cfRule type="expression" dxfId="393" priority="11">
      <formula>H67&gt;0</formula>
    </cfRule>
    <cfRule type="expression" dxfId="392" priority="12">
      <formula>H67&lt;0</formula>
    </cfRule>
  </conditionalFormatting>
  <conditionalFormatting sqref="H68:H70">
    <cfRule type="expression" dxfId="391" priority="9">
      <formula>H68&gt;0</formula>
    </cfRule>
    <cfRule type="expression" dxfId="390" priority="10">
      <formula>H68&lt;0</formula>
    </cfRule>
  </conditionalFormatting>
  <conditionalFormatting sqref="H71">
    <cfRule type="expression" dxfId="389" priority="5">
      <formula>H71&gt;0</formula>
    </cfRule>
    <cfRule type="expression" dxfId="388" priority="6">
      <formula>H71&lt;0</formula>
    </cfRule>
  </conditionalFormatting>
  <conditionalFormatting sqref="F80:F87">
    <cfRule type="expression" dxfId="387" priority="3">
      <formula>F80&gt;0</formula>
    </cfRule>
    <cfRule type="expression" dxfId="386" priority="4">
      <formula>F80&lt;0</formula>
    </cfRule>
  </conditionalFormatting>
  <conditionalFormatting sqref="H72:H87">
    <cfRule type="expression" dxfId="385" priority="1">
      <formula>H72&gt;0</formula>
    </cfRule>
    <cfRule type="expression" dxfId="384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101</v>
      </c>
      <c r="K1" s="58" t="s">
        <v>61</v>
      </c>
      <c r="L1" s="18" t="s">
        <v>37</v>
      </c>
      <c r="M1" s="18" t="s">
        <v>38</v>
      </c>
      <c r="U1" s="154"/>
      <c r="W1" s="159" t="s">
        <v>122</v>
      </c>
      <c r="X1" s="159" t="s">
        <v>123</v>
      </c>
      <c r="Y1" s="159" t="s">
        <v>124</v>
      </c>
      <c r="Z1" s="159" t="s">
        <v>125</v>
      </c>
      <c r="AA1" s="159" t="s">
        <v>126</v>
      </c>
      <c r="AB1" s="159" t="s">
        <v>127</v>
      </c>
      <c r="AC1" s="159" t="s">
        <v>128</v>
      </c>
      <c r="AD1" s="19" t="s">
        <v>142</v>
      </c>
      <c r="AE1" s="19" t="s">
        <v>144</v>
      </c>
      <c r="AI1" s="19" t="s">
        <v>204</v>
      </c>
      <c r="AJ1" s="19" t="s">
        <v>205</v>
      </c>
      <c r="AK1" s="19" t="s">
        <v>206</v>
      </c>
      <c r="AL1" s="19" t="s">
        <v>207</v>
      </c>
      <c r="AO1" s="19" t="s">
        <v>208</v>
      </c>
      <c r="AP1" s="19" t="s">
        <v>59</v>
      </c>
      <c r="AQ1" s="19" t="s">
        <v>210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3600</v>
      </c>
      <c r="T2" s="19"/>
      <c r="U2" s="154"/>
      <c r="V2" s="19"/>
      <c r="W2" s="173">
        <v>42419</v>
      </c>
      <c r="X2" s="174">
        <v>11.39</v>
      </c>
      <c r="Y2" s="174">
        <v>11.39</v>
      </c>
      <c r="Z2" s="12">
        <v>10.95</v>
      </c>
      <c r="AA2" s="12">
        <v>11.16</v>
      </c>
      <c r="AB2" s="115">
        <v>17892700</v>
      </c>
      <c r="AC2" s="12">
        <v>11.16</v>
      </c>
      <c r="AD2">
        <f>Y2-Z2</f>
        <v>0.44000000000000128</v>
      </c>
      <c r="AE2" s="165">
        <f>AC2/AC3-1</f>
        <v>-2.8720626631853818E-2</v>
      </c>
      <c r="AP2" t="s">
        <v>209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18.931989722222255</v>
      </c>
      <c r="W3" s="160">
        <v>42418</v>
      </c>
      <c r="X3" s="12">
        <v>11.57</v>
      </c>
      <c r="Y3" s="12">
        <v>11.75</v>
      </c>
      <c r="Z3" s="12">
        <v>11.32</v>
      </c>
      <c r="AA3" s="12">
        <v>11.49</v>
      </c>
      <c r="AB3" s="115">
        <v>21516100</v>
      </c>
      <c r="AC3" s="12">
        <v>11.49</v>
      </c>
      <c r="AD3">
        <f t="shared" ref="AD3:AD66" si="2">Y3-Z3</f>
        <v>0.42999999999999972</v>
      </c>
      <c r="AE3" s="165">
        <f t="shared" ref="AE3:AE66" si="3">AC3/AC4-1</f>
        <v>5.2493438320211361E-3</v>
      </c>
      <c r="AI3" t="s">
        <v>211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11.16</v>
      </c>
      <c r="T4" s="1"/>
      <c r="W4" s="160">
        <v>42417</v>
      </c>
      <c r="X4" s="12">
        <v>10.97</v>
      </c>
      <c r="Y4" s="12">
        <v>11.65</v>
      </c>
      <c r="Z4" s="12">
        <v>10.92</v>
      </c>
      <c r="AA4" s="12">
        <v>11.43</v>
      </c>
      <c r="AB4" s="115">
        <v>34275200</v>
      </c>
      <c r="AC4" s="12">
        <v>11.43</v>
      </c>
      <c r="AD4">
        <f t="shared" si="2"/>
        <v>0.73000000000000043</v>
      </c>
      <c r="AE4" s="165">
        <f t="shared" si="3"/>
        <v>5.7354301572617894E-2</v>
      </c>
      <c r="AI4" t="s">
        <v>251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40176</v>
      </c>
      <c r="W5" s="160">
        <v>42416</v>
      </c>
      <c r="X5" s="12">
        <v>10.36</v>
      </c>
      <c r="Y5" s="12">
        <v>10.87</v>
      </c>
      <c r="Z5" s="12">
        <v>10.31</v>
      </c>
      <c r="AA5" s="12">
        <v>10.81</v>
      </c>
      <c r="AB5" s="115">
        <v>27375400</v>
      </c>
      <c r="AC5" s="12">
        <v>10.81</v>
      </c>
      <c r="AD5">
        <f t="shared" si="2"/>
        <v>0.55999999999999872</v>
      </c>
      <c r="AE5" s="165">
        <f t="shared" si="3"/>
        <v>7.8842315369261673E-2</v>
      </c>
      <c r="AI5" t="s">
        <v>251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68155.163000000117</v>
      </c>
      <c r="W6" s="160">
        <v>42412</v>
      </c>
      <c r="X6" s="12">
        <v>9.8800000000000008</v>
      </c>
      <c r="Y6" s="12">
        <v>10.24</v>
      </c>
      <c r="Z6" s="12">
        <v>9.48</v>
      </c>
      <c r="AA6" s="12">
        <v>10.02</v>
      </c>
      <c r="AB6" s="115">
        <v>23805100</v>
      </c>
      <c r="AC6" s="12">
        <v>10.02</v>
      </c>
      <c r="AD6">
        <f t="shared" si="2"/>
        <v>0.75999999999999979</v>
      </c>
      <c r="AE6" s="165">
        <f t="shared" si="3"/>
        <v>3.4055727554179516E-2</v>
      </c>
      <c r="AI6" t="s">
        <v>252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-27979.163000000117</v>
      </c>
      <c r="R7" s="200" t="s">
        <v>331</v>
      </c>
      <c r="W7" s="160">
        <v>42411</v>
      </c>
      <c r="X7" s="12">
        <v>9.7200000000000006</v>
      </c>
      <c r="Y7" s="12">
        <v>9.9499999999999993</v>
      </c>
      <c r="Z7" s="12">
        <v>9.4499999999999993</v>
      </c>
      <c r="AA7" s="12">
        <v>9.69</v>
      </c>
      <c r="AB7" s="115">
        <v>27048500</v>
      </c>
      <c r="AC7" s="12">
        <v>9.69</v>
      </c>
      <c r="AD7">
        <f t="shared" si="2"/>
        <v>0.5</v>
      </c>
      <c r="AE7" s="165">
        <f t="shared" si="3"/>
        <v>-2.1212121212121349E-2</v>
      </c>
      <c r="AI7" t="s">
        <v>252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-0.4105215477219249</v>
      </c>
      <c r="W8" s="160">
        <v>42410</v>
      </c>
      <c r="X8" s="12">
        <v>10.08</v>
      </c>
      <c r="Y8" s="12">
        <v>10.28</v>
      </c>
      <c r="Z8" s="12">
        <v>9.82</v>
      </c>
      <c r="AA8" s="12">
        <v>9.9</v>
      </c>
      <c r="AB8" s="115">
        <v>22017200</v>
      </c>
      <c r="AC8" s="12">
        <v>9.9</v>
      </c>
      <c r="AD8">
        <f t="shared" si="2"/>
        <v>0.45999999999999908</v>
      </c>
      <c r="AE8" s="165">
        <f t="shared" si="3"/>
        <v>-8.0160320641282645E-3</v>
      </c>
      <c r="AI8" t="s">
        <v>225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42409</v>
      </c>
      <c r="X9" s="12">
        <v>10.01</v>
      </c>
      <c r="Y9" s="12">
        <v>10.34</v>
      </c>
      <c r="Z9" s="12">
        <v>9.75</v>
      </c>
      <c r="AA9" s="12">
        <v>9.98</v>
      </c>
      <c r="AB9" s="115">
        <v>30105600</v>
      </c>
      <c r="AC9" s="12">
        <v>9.98</v>
      </c>
      <c r="AD9">
        <f t="shared" si="2"/>
        <v>0.58999999999999986</v>
      </c>
      <c r="AE9" s="165">
        <f t="shared" si="3"/>
        <v>-1.8682399213372669E-2</v>
      </c>
      <c r="AI9" t="s">
        <v>225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42408</v>
      </c>
      <c r="X10" s="12">
        <v>10.71</v>
      </c>
      <c r="Y10" s="12">
        <v>10.76</v>
      </c>
      <c r="Z10" s="12">
        <v>9.94</v>
      </c>
      <c r="AA10" s="12">
        <v>10.17</v>
      </c>
      <c r="AB10" s="115">
        <v>27337000</v>
      </c>
      <c r="AC10" s="12">
        <v>10.17</v>
      </c>
      <c r="AD10">
        <f t="shared" si="2"/>
        <v>0.82000000000000028</v>
      </c>
      <c r="AE10" s="165">
        <f t="shared" si="3"/>
        <v>-7.5454545454545441E-2</v>
      </c>
      <c r="AI10" t="s">
        <v>232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42405</v>
      </c>
      <c r="X11" s="12">
        <v>11.15</v>
      </c>
      <c r="Y11" s="12">
        <v>11.38</v>
      </c>
      <c r="Z11" s="12">
        <v>10.76</v>
      </c>
      <c r="AA11" s="12">
        <v>11</v>
      </c>
      <c r="AB11" s="115">
        <v>22470600</v>
      </c>
      <c r="AC11" s="12">
        <v>11</v>
      </c>
      <c r="AD11">
        <f t="shared" si="2"/>
        <v>0.62000000000000099</v>
      </c>
      <c r="AE11" s="165">
        <f t="shared" si="3"/>
        <v>-2.0480854853072161E-2</v>
      </c>
      <c r="AI11" t="s">
        <v>212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42404</v>
      </c>
      <c r="X12" s="12">
        <v>10.71</v>
      </c>
      <c r="Y12" s="12">
        <v>11.55</v>
      </c>
      <c r="Z12" s="12">
        <v>10.7</v>
      </c>
      <c r="AA12" s="12">
        <v>11.23</v>
      </c>
      <c r="AB12" s="115">
        <v>26122800</v>
      </c>
      <c r="AC12" s="12">
        <v>11.23</v>
      </c>
      <c r="AD12">
        <f t="shared" si="2"/>
        <v>0.85000000000000142</v>
      </c>
      <c r="AE12" s="165">
        <f t="shared" si="3"/>
        <v>4.3680297397769685E-2</v>
      </c>
      <c r="AI12" t="s">
        <v>232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90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42403</v>
      </c>
      <c r="X13" s="12">
        <v>10.67</v>
      </c>
      <c r="Y13" s="12">
        <v>10.86</v>
      </c>
      <c r="Z13" s="12">
        <v>10.18</v>
      </c>
      <c r="AA13" s="12">
        <v>10.76</v>
      </c>
      <c r="AB13" s="115">
        <v>18058600</v>
      </c>
      <c r="AC13" s="12">
        <v>10.76</v>
      </c>
      <c r="AD13">
        <f t="shared" si="2"/>
        <v>0.67999999999999972</v>
      </c>
      <c r="AE13" s="165">
        <f t="shared" si="3"/>
        <v>1.6052880075543063E-2</v>
      </c>
      <c r="AI13" t="s">
        <v>212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90"/>
      <c r="H14" s="7">
        <v>190</v>
      </c>
      <c r="I14" s="57">
        <v>17.55</v>
      </c>
      <c r="J14" s="57">
        <v>0</v>
      </c>
      <c r="K14" s="57">
        <f t="shared" ref="K14:K32" si="4">H14*I14-J14</f>
        <v>3334.5</v>
      </c>
      <c r="W14" s="160">
        <v>42402</v>
      </c>
      <c r="X14" s="12">
        <v>10.8</v>
      </c>
      <c r="Y14" s="12">
        <v>11.07</v>
      </c>
      <c r="Z14" s="12">
        <v>10.48</v>
      </c>
      <c r="AA14" s="12">
        <v>10.59</v>
      </c>
      <c r="AB14" s="115">
        <v>21970000</v>
      </c>
      <c r="AC14" s="12">
        <v>10.59</v>
      </c>
      <c r="AD14">
        <f t="shared" si="2"/>
        <v>0.58999999999999986</v>
      </c>
      <c r="AE14" s="165">
        <f t="shared" si="3"/>
        <v>-3.3759124087591297E-2</v>
      </c>
      <c r="AI14" t="s">
        <v>232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42401</v>
      </c>
      <c r="X15" s="12">
        <v>11</v>
      </c>
      <c r="Y15" s="12">
        <v>11.1</v>
      </c>
      <c r="Z15" s="12">
        <v>10.51</v>
      </c>
      <c r="AA15" s="12">
        <v>10.96</v>
      </c>
      <c r="AB15" s="115">
        <v>25768800</v>
      </c>
      <c r="AC15" s="12">
        <v>10.96</v>
      </c>
      <c r="AD15">
        <f t="shared" si="2"/>
        <v>0.58999999999999986</v>
      </c>
      <c r="AE15" s="165">
        <f t="shared" si="3"/>
        <v>-6.3463281958294759E-3</v>
      </c>
      <c r="AI15" t="s">
        <v>212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42398</v>
      </c>
      <c r="X16" s="12">
        <v>9.99</v>
      </c>
      <c r="Y16" s="12">
        <v>11.05</v>
      </c>
      <c r="Z16" s="12">
        <v>9.94</v>
      </c>
      <c r="AA16" s="12">
        <v>11.03</v>
      </c>
      <c r="AB16" s="115">
        <v>38349100</v>
      </c>
      <c r="AC16" s="12">
        <v>11.03</v>
      </c>
      <c r="AD16">
        <f t="shared" si="2"/>
        <v>1.1100000000000012</v>
      </c>
      <c r="AE16" s="165">
        <f t="shared" si="3"/>
        <v>0.11526794742163782</v>
      </c>
      <c r="AI16" t="s">
        <v>253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42397</v>
      </c>
      <c r="X17" s="12">
        <v>10.48</v>
      </c>
      <c r="Y17" s="12">
        <v>10.55</v>
      </c>
      <c r="Z17" s="12">
        <v>9.7100000000000009</v>
      </c>
      <c r="AA17" s="12">
        <v>9.89</v>
      </c>
      <c r="AB17" s="115">
        <v>37327600</v>
      </c>
      <c r="AC17" s="12">
        <v>9.89</v>
      </c>
      <c r="AD17">
        <f t="shared" si="2"/>
        <v>0.83999999999999986</v>
      </c>
      <c r="AE17" s="165">
        <f t="shared" si="3"/>
        <v>-4.8123195380173289E-2</v>
      </c>
      <c r="AI17" t="s">
        <v>212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42396</v>
      </c>
      <c r="X18" s="12">
        <v>10.5</v>
      </c>
      <c r="Y18" s="12">
        <v>10.83</v>
      </c>
      <c r="Z18" s="12">
        <v>10.32</v>
      </c>
      <c r="AA18" s="12">
        <v>10.39</v>
      </c>
      <c r="AB18" s="115">
        <v>22926200</v>
      </c>
      <c r="AC18" s="12">
        <v>10.39</v>
      </c>
      <c r="AD18">
        <f t="shared" si="2"/>
        <v>0.50999999999999979</v>
      </c>
      <c r="AE18" s="165">
        <f t="shared" si="3"/>
        <v>-1.516587677725123E-2</v>
      </c>
      <c r="AI18" t="s">
        <v>254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42395</v>
      </c>
      <c r="X19" s="12">
        <v>10.55</v>
      </c>
      <c r="Y19" s="12">
        <v>10.72</v>
      </c>
      <c r="Z19" s="12">
        <v>10.36</v>
      </c>
      <c r="AA19" s="12">
        <v>10.55</v>
      </c>
      <c r="AB19" s="115">
        <v>26177000</v>
      </c>
      <c r="AC19" s="12">
        <v>10.55</v>
      </c>
      <c r="AD19">
        <f t="shared" si="2"/>
        <v>0.36000000000000121</v>
      </c>
      <c r="AE19" s="165">
        <f t="shared" si="3"/>
        <v>6.6793893129770687E-3</v>
      </c>
      <c r="AI19" t="s">
        <v>212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42394</v>
      </c>
      <c r="X20" s="12">
        <v>11.06</v>
      </c>
      <c r="Y20" s="12">
        <v>11.17</v>
      </c>
      <c r="Z20" s="12">
        <v>10.47</v>
      </c>
      <c r="AA20" s="12">
        <v>10.48</v>
      </c>
      <c r="AB20" s="115">
        <v>23807500</v>
      </c>
      <c r="AC20" s="12">
        <v>10.48</v>
      </c>
      <c r="AD20">
        <f t="shared" si="2"/>
        <v>0.69999999999999929</v>
      </c>
      <c r="AE20" s="165">
        <f t="shared" si="3"/>
        <v>-5.3297199638663084E-2</v>
      </c>
      <c r="AI20" t="s">
        <v>254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42391</v>
      </c>
      <c r="X21" s="12">
        <v>11.18</v>
      </c>
      <c r="Y21" s="12">
        <v>11.57</v>
      </c>
      <c r="Z21" s="12">
        <v>10.88</v>
      </c>
      <c r="AA21" s="12">
        <v>11.07</v>
      </c>
      <c r="AB21" s="115">
        <v>35088700</v>
      </c>
      <c r="AC21" s="12">
        <v>11.07</v>
      </c>
      <c r="AD21">
        <f t="shared" si="2"/>
        <v>0.6899999999999995</v>
      </c>
      <c r="AE21" s="165">
        <f t="shared" si="3"/>
        <v>2.0276497695852491E-2</v>
      </c>
      <c r="AI21" t="s">
        <v>212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42390</v>
      </c>
      <c r="X22" s="12">
        <v>10.45</v>
      </c>
      <c r="Y22" s="12">
        <v>10.9</v>
      </c>
      <c r="Z22" s="12">
        <v>10.130000000000001</v>
      </c>
      <c r="AA22" s="12">
        <v>10.85</v>
      </c>
      <c r="AB22" s="115">
        <v>52245600</v>
      </c>
      <c r="AC22" s="12">
        <v>10.85</v>
      </c>
      <c r="AD22">
        <f t="shared" si="2"/>
        <v>0.76999999999999957</v>
      </c>
      <c r="AE22" s="165">
        <f t="shared" si="3"/>
        <v>7.9601990049751103E-2</v>
      </c>
      <c r="AI22" t="s">
        <v>255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42389</v>
      </c>
      <c r="X23" s="12">
        <v>10.38</v>
      </c>
      <c r="Y23" s="12">
        <v>10.39</v>
      </c>
      <c r="Z23" s="12">
        <v>9.31</v>
      </c>
      <c r="AA23" s="12">
        <v>10.050000000000001</v>
      </c>
      <c r="AB23" s="115">
        <v>65025100</v>
      </c>
      <c r="AC23" s="12">
        <v>10.050000000000001</v>
      </c>
      <c r="AD23">
        <f t="shared" si="2"/>
        <v>1.08</v>
      </c>
      <c r="AE23" s="165">
        <f t="shared" si="3"/>
        <v>-6.944444444444442E-2</v>
      </c>
      <c r="AI23" t="s">
        <v>212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42388</v>
      </c>
      <c r="X24" s="12">
        <v>11.28</v>
      </c>
      <c r="Y24" s="12">
        <v>11.37</v>
      </c>
      <c r="Z24" s="12">
        <v>10.71</v>
      </c>
      <c r="AA24" s="12">
        <v>10.8</v>
      </c>
      <c r="AB24" s="115">
        <v>37146200</v>
      </c>
      <c r="AC24" s="12">
        <v>10.8</v>
      </c>
      <c r="AD24">
        <f t="shared" si="2"/>
        <v>0.65999999999999837</v>
      </c>
      <c r="AE24" s="165">
        <f t="shared" si="3"/>
        <v>-2.5270758122743597E-2</v>
      </c>
      <c r="AI24" t="s">
        <v>256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42384</v>
      </c>
      <c r="X25" s="12">
        <v>11.35</v>
      </c>
      <c r="Y25" s="12">
        <v>11.66</v>
      </c>
      <c r="Z25" s="12">
        <v>10.91</v>
      </c>
      <c r="AA25" s="12">
        <v>11.08</v>
      </c>
      <c r="AB25" s="115">
        <v>37037200</v>
      </c>
      <c r="AC25" s="12">
        <v>11.08</v>
      </c>
      <c r="AD25">
        <f t="shared" si="2"/>
        <v>0.75</v>
      </c>
      <c r="AE25" s="165">
        <f t="shared" si="3"/>
        <v>-7.8202995008319398E-2</v>
      </c>
      <c r="AI25" t="s">
        <v>212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42383</v>
      </c>
      <c r="X26" s="12">
        <v>12.08</v>
      </c>
      <c r="Y26" s="12">
        <v>12.26</v>
      </c>
      <c r="Z26" s="12">
        <v>11.53</v>
      </c>
      <c r="AA26" s="12">
        <v>12.02</v>
      </c>
      <c r="AB26" s="115">
        <v>35725400</v>
      </c>
      <c r="AC26" s="12">
        <v>12.02</v>
      </c>
      <c r="AD26">
        <f t="shared" si="2"/>
        <v>0.73000000000000043</v>
      </c>
      <c r="AE26" s="165">
        <f t="shared" si="3"/>
        <v>-3.3167495854063977E-3</v>
      </c>
      <c r="AI26" t="s">
        <v>256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42382</v>
      </c>
      <c r="X27" s="12">
        <v>12.78</v>
      </c>
      <c r="Y27" s="12">
        <v>12.97</v>
      </c>
      <c r="Z27" s="12">
        <v>11.91</v>
      </c>
      <c r="AA27" s="12">
        <v>12.06</v>
      </c>
      <c r="AB27" s="115">
        <v>34426600</v>
      </c>
      <c r="AC27" s="12">
        <v>12.06</v>
      </c>
      <c r="AD27">
        <f t="shared" si="2"/>
        <v>1.0600000000000005</v>
      </c>
      <c r="AE27" s="165">
        <f t="shared" si="3"/>
        <v>-5.1886792452830233E-2</v>
      </c>
      <c r="AI27" t="s">
        <v>212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42381</v>
      </c>
      <c r="X28" s="12">
        <v>12.72</v>
      </c>
      <c r="Y28" s="12">
        <v>13.24</v>
      </c>
      <c r="Z28" s="12">
        <v>12.4</v>
      </c>
      <c r="AA28" s="12">
        <v>12.72</v>
      </c>
      <c r="AB28" s="115">
        <v>25635000</v>
      </c>
      <c r="AC28" s="12">
        <v>12.72</v>
      </c>
      <c r="AD28">
        <f t="shared" si="2"/>
        <v>0.83999999999999986</v>
      </c>
      <c r="AE28" s="165">
        <f t="shared" si="3"/>
        <v>1.5163607342378427E-2</v>
      </c>
      <c r="AI28" t="s">
        <v>256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G29" s="395" t="s">
        <v>329</v>
      </c>
      <c r="H29" s="4">
        <v>500</v>
      </c>
      <c r="I29" s="2">
        <v>10.67</v>
      </c>
      <c r="J29" s="2">
        <v>0.12</v>
      </c>
      <c r="K29" s="2">
        <f t="shared" si="4"/>
        <v>5334.88</v>
      </c>
      <c r="W29" s="160">
        <v>42380</v>
      </c>
      <c r="X29" s="12">
        <v>13.37</v>
      </c>
      <c r="Y29" s="12">
        <v>13.46</v>
      </c>
      <c r="Z29" s="12">
        <v>12.21</v>
      </c>
      <c r="AA29" s="12">
        <v>12.53</v>
      </c>
      <c r="AB29" s="115">
        <v>43141800</v>
      </c>
      <c r="AC29" s="12">
        <v>12.53</v>
      </c>
      <c r="AD29">
        <f t="shared" si="2"/>
        <v>1.25</v>
      </c>
      <c r="AE29" s="165">
        <f t="shared" si="3"/>
        <v>-6.0015003750937823E-2</v>
      </c>
      <c r="AI29" t="s">
        <v>212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G30" s="395"/>
      <c r="H30" s="4">
        <v>760</v>
      </c>
      <c r="I30" s="2">
        <v>10.85</v>
      </c>
      <c r="J30" s="2">
        <v>0.18</v>
      </c>
      <c r="K30" s="2">
        <f t="shared" si="4"/>
        <v>8245.82</v>
      </c>
      <c r="W30" s="160">
        <v>42377</v>
      </c>
      <c r="X30" s="12">
        <v>13.78</v>
      </c>
      <c r="Y30" s="12">
        <v>13.95</v>
      </c>
      <c r="Z30" s="12">
        <v>13.29</v>
      </c>
      <c r="AA30" s="12">
        <v>13.33</v>
      </c>
      <c r="AB30" s="115">
        <v>26795100</v>
      </c>
      <c r="AC30" s="12">
        <v>13.33</v>
      </c>
      <c r="AD30">
        <f t="shared" si="2"/>
        <v>0.66000000000000014</v>
      </c>
      <c r="AE30" s="165">
        <f t="shared" si="3"/>
        <v>-2.4158125915080486E-2</v>
      </c>
      <c r="AI30" t="s">
        <v>256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G31" s="395"/>
      <c r="H31" s="4">
        <v>200</v>
      </c>
      <c r="I31" s="2">
        <v>11.46</v>
      </c>
      <c r="J31" s="2">
        <v>0.21</v>
      </c>
      <c r="K31" s="2">
        <f t="shared" si="4"/>
        <v>2291.79</v>
      </c>
      <c r="W31" s="160">
        <v>42376</v>
      </c>
      <c r="X31" s="12">
        <v>13.86</v>
      </c>
      <c r="Y31" s="12">
        <v>14.27</v>
      </c>
      <c r="Z31" s="12">
        <v>13.63</v>
      </c>
      <c r="AA31" s="12">
        <v>13.66</v>
      </c>
      <c r="AB31" s="115">
        <v>25922700</v>
      </c>
      <c r="AC31" s="12">
        <v>13.66</v>
      </c>
      <c r="AD31">
        <f t="shared" si="2"/>
        <v>0.63999999999999879</v>
      </c>
      <c r="AE31" s="165">
        <f t="shared" si="3"/>
        <v>-3.9381153305203975E-2</v>
      </c>
      <c r="AI31" t="s">
        <v>212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G32" s="395"/>
      <c r="H32" s="235">
        <v>200</v>
      </c>
      <c r="I32" s="2">
        <v>11.7</v>
      </c>
      <c r="J32" s="2">
        <v>0.05</v>
      </c>
      <c r="K32" s="2">
        <f t="shared" si="4"/>
        <v>2339.9499999999998</v>
      </c>
      <c r="W32" s="160">
        <v>42375</v>
      </c>
      <c r="X32" s="12">
        <v>14.5</v>
      </c>
      <c r="Y32" s="12">
        <v>14.69</v>
      </c>
      <c r="Z32" s="12">
        <v>14.11</v>
      </c>
      <c r="AA32" s="12">
        <v>14.22</v>
      </c>
      <c r="AB32" s="115">
        <v>26739600</v>
      </c>
      <c r="AC32" s="12">
        <v>14.22</v>
      </c>
      <c r="AD32">
        <f t="shared" si="2"/>
        <v>0.58000000000000007</v>
      </c>
      <c r="AE32" s="165">
        <f t="shared" si="3"/>
        <v>-4.0485829959514108E-2</v>
      </c>
      <c r="AI32" t="s">
        <v>256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H33" s="91"/>
      <c r="W33" s="160">
        <v>42374</v>
      </c>
      <c r="X33" s="12">
        <v>14.42</v>
      </c>
      <c r="Y33" s="12">
        <v>15.08</v>
      </c>
      <c r="Z33" s="12">
        <v>14.36</v>
      </c>
      <c r="AA33" s="12">
        <v>14.82</v>
      </c>
      <c r="AB33" s="115">
        <v>29768400</v>
      </c>
      <c r="AC33" s="12">
        <v>14.82</v>
      </c>
      <c r="AD33">
        <f t="shared" si="2"/>
        <v>0.72000000000000064</v>
      </c>
      <c r="AE33" s="165">
        <f t="shared" si="3"/>
        <v>3.4193998604326703E-2</v>
      </c>
      <c r="AI33" t="s">
        <v>212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H34" s="91"/>
      <c r="W34" s="160">
        <v>42373</v>
      </c>
      <c r="X34" s="12">
        <v>13.83</v>
      </c>
      <c r="Y34" s="12">
        <v>14.36</v>
      </c>
      <c r="Z34" s="12">
        <v>13.81</v>
      </c>
      <c r="AA34" s="12">
        <v>14.33</v>
      </c>
      <c r="AB34" s="115">
        <v>22585300</v>
      </c>
      <c r="AC34" s="12">
        <v>14.33</v>
      </c>
      <c r="AD34">
        <f t="shared" si="2"/>
        <v>0.54999999999999893</v>
      </c>
      <c r="AE34" s="165">
        <f t="shared" si="3"/>
        <v>1.2005649717514055E-2</v>
      </c>
      <c r="AI34" t="s">
        <v>256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H35" s="91"/>
      <c r="W35" s="160">
        <v>42369</v>
      </c>
      <c r="X35" s="12">
        <v>14.1</v>
      </c>
      <c r="Y35" s="12">
        <v>14.29</v>
      </c>
      <c r="Z35" s="12">
        <v>14.03</v>
      </c>
      <c r="AA35" s="12">
        <v>14.16</v>
      </c>
      <c r="AB35" s="115">
        <v>13211200</v>
      </c>
      <c r="AC35" s="12">
        <v>14.16</v>
      </c>
      <c r="AD35">
        <f t="shared" si="2"/>
        <v>0.25999999999999979</v>
      </c>
      <c r="AE35" s="165">
        <f t="shared" si="3"/>
        <v>0</v>
      </c>
      <c r="AI35" t="s">
        <v>212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H36" s="91"/>
      <c r="W36" s="160">
        <v>42368</v>
      </c>
      <c r="X36" s="12">
        <v>14.27</v>
      </c>
      <c r="Y36" s="12">
        <v>14.44</v>
      </c>
      <c r="Z36" s="12">
        <v>14.1</v>
      </c>
      <c r="AA36" s="12">
        <v>14.16</v>
      </c>
      <c r="AB36" s="115">
        <v>10895100</v>
      </c>
      <c r="AC36" s="12">
        <v>14.16</v>
      </c>
      <c r="AD36">
        <f t="shared" si="2"/>
        <v>0.33999999999999986</v>
      </c>
      <c r="AE36" s="165">
        <f t="shared" si="3"/>
        <v>-1.2552301255230103E-2</v>
      </c>
      <c r="AI36" t="s">
        <v>256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H37" s="91"/>
      <c r="W37" s="160">
        <v>42367</v>
      </c>
      <c r="X37" s="12">
        <v>14.35</v>
      </c>
      <c r="Y37" s="12">
        <v>14.51</v>
      </c>
      <c r="Z37" s="12">
        <v>14.23</v>
      </c>
      <c r="AA37" s="12">
        <v>14.34</v>
      </c>
      <c r="AB37" s="115">
        <v>16093900</v>
      </c>
      <c r="AC37" s="12">
        <v>14.34</v>
      </c>
      <c r="AD37">
        <f t="shared" si="2"/>
        <v>0.27999999999999936</v>
      </c>
      <c r="AE37" s="165">
        <f t="shared" si="3"/>
        <v>1.0570824524313016E-2</v>
      </c>
      <c r="AI37" t="s">
        <v>212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H38" s="91"/>
      <c r="W38" s="160">
        <v>42366</v>
      </c>
      <c r="X38" s="12">
        <v>14.45</v>
      </c>
      <c r="Y38" s="12">
        <v>14.51</v>
      </c>
      <c r="Z38" s="12">
        <v>14.05</v>
      </c>
      <c r="AA38" s="12">
        <v>14.19</v>
      </c>
      <c r="AB38" s="115">
        <v>17635000</v>
      </c>
      <c r="AC38" s="12">
        <v>14.19</v>
      </c>
      <c r="AD38">
        <f t="shared" si="2"/>
        <v>0.45999999999999908</v>
      </c>
      <c r="AE38" s="165">
        <f t="shared" si="3"/>
        <v>-2.0027624309392311E-2</v>
      </c>
      <c r="AI38" t="s">
        <v>240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H39" s="91"/>
      <c r="W39" s="160">
        <v>42362</v>
      </c>
      <c r="X39" s="12">
        <v>14.2</v>
      </c>
      <c r="Y39" s="12">
        <v>14.59</v>
      </c>
      <c r="Z39" s="12">
        <v>14.19</v>
      </c>
      <c r="AA39" s="12">
        <v>14.48</v>
      </c>
      <c r="AB39" s="115">
        <v>14284200</v>
      </c>
      <c r="AC39" s="12">
        <v>14.48</v>
      </c>
      <c r="AD39">
        <f t="shared" si="2"/>
        <v>0.40000000000000036</v>
      </c>
      <c r="AE39" s="165">
        <f t="shared" si="3"/>
        <v>1.2587412587412583E-2</v>
      </c>
      <c r="AI39" t="s">
        <v>212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H40" s="91"/>
      <c r="W40" s="160">
        <v>42361</v>
      </c>
      <c r="X40" s="12">
        <v>13.72</v>
      </c>
      <c r="Y40" s="12">
        <v>14.3</v>
      </c>
      <c r="Z40" s="12">
        <v>13.55</v>
      </c>
      <c r="AA40" s="12">
        <v>14.3</v>
      </c>
      <c r="AB40" s="115">
        <v>59094200</v>
      </c>
      <c r="AC40" s="12">
        <v>14.3</v>
      </c>
      <c r="AD40">
        <f t="shared" si="2"/>
        <v>0.75</v>
      </c>
      <c r="AE40" s="165">
        <f t="shared" si="3"/>
        <v>-2.1218343600273748E-2</v>
      </c>
      <c r="AI40" t="s">
        <v>240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H41" s="91"/>
      <c r="W41" s="160">
        <v>42360</v>
      </c>
      <c r="X41" s="12">
        <v>14.8</v>
      </c>
      <c r="Y41" s="12">
        <v>14.95</v>
      </c>
      <c r="Z41" s="12">
        <v>14.52</v>
      </c>
      <c r="AA41" s="12">
        <v>14.61</v>
      </c>
      <c r="AB41" s="115">
        <v>24987300</v>
      </c>
      <c r="AC41" s="12">
        <v>14.61</v>
      </c>
      <c r="AD41">
        <f t="shared" si="2"/>
        <v>0.42999999999999972</v>
      </c>
      <c r="AE41" s="165">
        <f t="shared" si="3"/>
        <v>-1.0832769126608022E-2</v>
      </c>
      <c r="AI41" t="s">
        <v>212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H42" s="91"/>
      <c r="W42" s="160">
        <v>42359</v>
      </c>
      <c r="X42" s="12">
        <v>14.44</v>
      </c>
      <c r="Y42" s="12">
        <v>14.79</v>
      </c>
      <c r="Z42" s="12">
        <v>14.33</v>
      </c>
      <c r="AA42" s="12">
        <v>14.77</v>
      </c>
      <c r="AB42" s="115">
        <v>22117000</v>
      </c>
      <c r="AC42" s="12">
        <v>14.77</v>
      </c>
      <c r="AD42">
        <f t="shared" si="2"/>
        <v>0.45999999999999908</v>
      </c>
      <c r="AE42" s="165">
        <f t="shared" si="3"/>
        <v>2.8551532033426197E-2</v>
      </c>
      <c r="AI42" t="s">
        <v>240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H43" s="91"/>
      <c r="W43" s="160">
        <v>42356</v>
      </c>
      <c r="X43" s="12">
        <v>14.38</v>
      </c>
      <c r="Y43" s="12">
        <v>14.73</v>
      </c>
      <c r="Z43" s="12">
        <v>14.26</v>
      </c>
      <c r="AA43" s="12">
        <v>14.36</v>
      </c>
      <c r="AB43" s="115">
        <v>38218800</v>
      </c>
      <c r="AC43" s="12">
        <v>14.36</v>
      </c>
      <c r="AD43">
        <f t="shared" si="2"/>
        <v>0.47000000000000064</v>
      </c>
      <c r="AE43" s="165">
        <f t="shared" si="3"/>
        <v>2.7932960893854997E-3</v>
      </c>
      <c r="AI43" t="s">
        <v>212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H44" s="91"/>
      <c r="O44" s="389" t="s">
        <v>78</v>
      </c>
      <c r="P44" s="389"/>
      <c r="T44" s="111" t="s">
        <v>121</v>
      </c>
      <c r="W44" s="160">
        <v>42355</v>
      </c>
      <c r="X44" s="12">
        <v>14.65</v>
      </c>
      <c r="Y44" s="12">
        <v>14.77</v>
      </c>
      <c r="Z44" s="12">
        <v>14.25</v>
      </c>
      <c r="AA44" s="12">
        <v>14.32</v>
      </c>
      <c r="AB44" s="115">
        <v>28927700</v>
      </c>
      <c r="AC44" s="12">
        <v>14.32</v>
      </c>
      <c r="AD44">
        <f t="shared" si="2"/>
        <v>0.51999999999999957</v>
      </c>
      <c r="AE44" s="165">
        <f t="shared" si="3"/>
        <v>1.7768301350390869E-2</v>
      </c>
      <c r="AI44" t="s">
        <v>240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H45" s="91"/>
      <c r="O45" s="103">
        <v>1.1000000000000001</v>
      </c>
      <c r="P45" s="103">
        <f>O45*$Q$4</f>
        <v>12.276000000000002</v>
      </c>
      <c r="T45" s="155" t="s">
        <v>106</v>
      </c>
      <c r="U45" s="156">
        <v>11.49</v>
      </c>
      <c r="W45" s="160">
        <v>42354</v>
      </c>
      <c r="X45" s="12">
        <v>14.36</v>
      </c>
      <c r="Y45" s="12">
        <v>14.45</v>
      </c>
      <c r="Z45" s="12">
        <v>13.78</v>
      </c>
      <c r="AA45" s="12">
        <v>14.07</v>
      </c>
      <c r="AB45" s="115">
        <v>21511900</v>
      </c>
      <c r="AC45" s="12">
        <v>14.07</v>
      </c>
      <c r="AD45">
        <f t="shared" si="2"/>
        <v>0.66999999999999993</v>
      </c>
      <c r="AE45" s="165">
        <f t="shared" si="3"/>
        <v>-7.7574047954865888E-3</v>
      </c>
      <c r="AI45" t="s">
        <v>212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H46" s="91"/>
      <c r="O46" s="103">
        <v>1.0900000000000001</v>
      </c>
      <c r="P46" s="103">
        <f t="shared" ref="P46:P65" si="5">O46*$Q$4</f>
        <v>12.164400000000001</v>
      </c>
      <c r="T46" s="113" t="s">
        <v>107</v>
      </c>
      <c r="U46" s="157">
        <v>11.39</v>
      </c>
      <c r="W46" s="160">
        <v>42353</v>
      </c>
      <c r="X46" s="12">
        <v>13.77</v>
      </c>
      <c r="Y46" s="12">
        <v>14.37</v>
      </c>
      <c r="Z46" s="12">
        <v>13.74</v>
      </c>
      <c r="AA46" s="12">
        <v>14.18</v>
      </c>
      <c r="AB46" s="115">
        <v>26395400</v>
      </c>
      <c r="AC46" s="12">
        <v>14.18</v>
      </c>
      <c r="AD46">
        <f t="shared" si="2"/>
        <v>0.62999999999999901</v>
      </c>
      <c r="AE46" s="165">
        <f t="shared" si="3"/>
        <v>3.8067349926793614E-2</v>
      </c>
      <c r="AI46" t="s">
        <v>240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H47" s="91"/>
      <c r="O47" s="103">
        <v>1.08</v>
      </c>
      <c r="P47" s="103">
        <f t="shared" si="5"/>
        <v>12.052800000000001</v>
      </c>
      <c r="T47" s="113" t="s">
        <v>108</v>
      </c>
      <c r="U47" s="157" t="s">
        <v>342</v>
      </c>
      <c r="W47" s="160">
        <v>42352</v>
      </c>
      <c r="X47" s="12">
        <v>14.43</v>
      </c>
      <c r="Y47" s="12">
        <v>14.48</v>
      </c>
      <c r="Z47" s="12">
        <v>13.51</v>
      </c>
      <c r="AA47" s="12">
        <v>13.66</v>
      </c>
      <c r="AB47" s="115">
        <v>35155800</v>
      </c>
      <c r="AC47" s="12">
        <v>13.66</v>
      </c>
      <c r="AD47">
        <f t="shared" si="2"/>
        <v>0.97000000000000064</v>
      </c>
      <c r="AE47" s="165">
        <f t="shared" si="3"/>
        <v>-2.7065527065527006E-2</v>
      </c>
      <c r="AI47" t="s">
        <v>212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91"/>
      <c r="O48" s="103">
        <v>1.07</v>
      </c>
      <c r="P48" s="103">
        <f t="shared" si="5"/>
        <v>11.9412</v>
      </c>
      <c r="T48" s="113" t="s">
        <v>109</v>
      </c>
      <c r="U48" s="157" t="s">
        <v>343</v>
      </c>
      <c r="W48" s="160">
        <v>42349</v>
      </c>
      <c r="X48" s="12">
        <v>14.32</v>
      </c>
      <c r="Y48" s="12">
        <v>14.44</v>
      </c>
      <c r="Z48" s="12">
        <v>13.99</v>
      </c>
      <c r="AA48" s="12">
        <v>14.04</v>
      </c>
      <c r="AB48" s="115">
        <v>23601500</v>
      </c>
      <c r="AC48" s="12">
        <v>14.04</v>
      </c>
      <c r="AD48">
        <f t="shared" si="2"/>
        <v>0.44999999999999929</v>
      </c>
      <c r="AE48" s="165">
        <f t="shared" si="3"/>
        <v>-4.2291950886766738E-2</v>
      </c>
      <c r="AI48" t="s">
        <v>240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91"/>
      <c r="O49" s="103">
        <v>1.06</v>
      </c>
      <c r="P49" s="103">
        <f t="shared" si="5"/>
        <v>11.829600000000001</v>
      </c>
      <c r="T49" s="113" t="s">
        <v>110</v>
      </c>
      <c r="U49" s="157">
        <v>16.05</v>
      </c>
      <c r="W49" s="160">
        <v>42348</v>
      </c>
      <c r="X49" s="12">
        <v>14.29</v>
      </c>
      <c r="Y49" s="12">
        <v>14.8</v>
      </c>
      <c r="Z49" s="12">
        <v>14.26</v>
      </c>
      <c r="AA49" s="12">
        <v>14.66</v>
      </c>
      <c r="AB49" s="115">
        <v>14788700</v>
      </c>
      <c r="AC49" s="12">
        <v>14.66</v>
      </c>
      <c r="AD49">
        <f t="shared" si="2"/>
        <v>0.54000000000000092</v>
      </c>
      <c r="AE49" s="165">
        <f t="shared" si="3"/>
        <v>2.3743016759776525E-2</v>
      </c>
      <c r="AI49" t="s">
        <v>212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H50" s="91"/>
      <c r="O50" s="103">
        <v>1.05</v>
      </c>
      <c r="P50" s="103">
        <f t="shared" si="5"/>
        <v>11.718</v>
      </c>
      <c r="T50" s="113" t="s">
        <v>111</v>
      </c>
      <c r="U50" s="157">
        <v>2.06515</v>
      </c>
      <c r="W50" s="160">
        <v>42347</v>
      </c>
      <c r="X50" s="12">
        <v>14.6</v>
      </c>
      <c r="Y50" s="12">
        <v>14.67</v>
      </c>
      <c r="Z50" s="12">
        <v>14.24</v>
      </c>
      <c r="AA50" s="12">
        <v>14.32</v>
      </c>
      <c r="AB50" s="115">
        <v>20781700</v>
      </c>
      <c r="AC50" s="12">
        <v>14.32</v>
      </c>
      <c r="AD50">
        <f t="shared" si="2"/>
        <v>0.42999999999999972</v>
      </c>
      <c r="AE50" s="165">
        <f t="shared" si="3"/>
        <v>-1.9178082191780743E-2</v>
      </c>
      <c r="AI50" t="s">
        <v>240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90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H51" s="91"/>
      <c r="O51" s="103">
        <v>1.04</v>
      </c>
      <c r="P51" s="103">
        <f t="shared" si="5"/>
        <v>11.606400000000001</v>
      </c>
      <c r="T51" s="113" t="s">
        <v>131</v>
      </c>
      <c r="U51" s="157" t="s">
        <v>290</v>
      </c>
      <c r="W51" s="160">
        <v>42346</v>
      </c>
      <c r="X51" s="12">
        <v>14.61</v>
      </c>
      <c r="Y51" s="12">
        <v>14.7</v>
      </c>
      <c r="Z51" s="12">
        <v>14.42</v>
      </c>
      <c r="AA51" s="12">
        <v>14.6</v>
      </c>
      <c r="AB51" s="115">
        <v>18169900</v>
      </c>
      <c r="AC51" s="12">
        <v>14.6</v>
      </c>
      <c r="AD51">
        <f t="shared" si="2"/>
        <v>0.27999999999999936</v>
      </c>
      <c r="AE51" s="165">
        <f t="shared" si="3"/>
        <v>-1.6835016835016869E-2</v>
      </c>
      <c r="AI51" t="s">
        <v>212</v>
      </c>
    </row>
    <row r="52" spans="2:43" x14ac:dyDescent="0.25">
      <c r="B52" s="39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91"/>
      <c r="O52" s="103">
        <v>1.03</v>
      </c>
      <c r="P52" s="103">
        <f t="shared" si="5"/>
        <v>11.4948</v>
      </c>
      <c r="T52" s="113"/>
      <c r="U52" s="157"/>
      <c r="W52" s="160">
        <v>42345</v>
      </c>
      <c r="X52" s="12">
        <v>15.35</v>
      </c>
      <c r="Y52" s="12">
        <v>15.47</v>
      </c>
      <c r="Z52" s="12">
        <v>14.71</v>
      </c>
      <c r="AA52" s="12">
        <v>14.85</v>
      </c>
      <c r="AB52" s="115">
        <v>23542300</v>
      </c>
      <c r="AC52" s="12">
        <v>14.85</v>
      </c>
      <c r="AD52">
        <f t="shared" si="2"/>
        <v>0.75999999999999979</v>
      </c>
      <c r="AE52" s="165">
        <f t="shared" si="3"/>
        <v>-4.1935483870967794E-2</v>
      </c>
      <c r="AI52" t="s">
        <v>240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91"/>
      <c r="O53" s="103">
        <v>1.02</v>
      </c>
      <c r="P53" s="103">
        <f t="shared" si="5"/>
        <v>11.3832</v>
      </c>
      <c r="T53" s="113" t="s">
        <v>113</v>
      </c>
      <c r="U53" s="157" t="s">
        <v>344</v>
      </c>
      <c r="W53" s="160">
        <v>42342</v>
      </c>
      <c r="X53" s="12">
        <v>15.54</v>
      </c>
      <c r="Y53" s="12">
        <v>15.93</v>
      </c>
      <c r="Z53" s="12">
        <v>15.4</v>
      </c>
      <c r="AA53" s="12">
        <v>15.5</v>
      </c>
      <c r="AB53" s="115">
        <v>18867300</v>
      </c>
      <c r="AC53" s="12">
        <v>15.5</v>
      </c>
      <c r="AD53">
        <f t="shared" si="2"/>
        <v>0.52999999999999936</v>
      </c>
      <c r="AE53" s="165">
        <f t="shared" si="3"/>
        <v>-7.0467648942984518E-3</v>
      </c>
      <c r="AI53" t="s">
        <v>212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91"/>
      <c r="O54" s="103">
        <v>1.01</v>
      </c>
      <c r="P54" s="103">
        <f t="shared" si="5"/>
        <v>11.271599999999999</v>
      </c>
      <c r="T54" s="113" t="s">
        <v>114</v>
      </c>
      <c r="U54" s="157" t="s">
        <v>345</v>
      </c>
      <c r="W54" s="160">
        <v>42341</v>
      </c>
      <c r="X54" s="12">
        <v>15.95</v>
      </c>
      <c r="Y54" s="12">
        <v>16.2</v>
      </c>
      <c r="Z54" s="12">
        <v>15.5</v>
      </c>
      <c r="AA54" s="12">
        <v>15.61</v>
      </c>
      <c r="AB54" s="115">
        <v>15164000</v>
      </c>
      <c r="AC54" s="12">
        <v>15.61</v>
      </c>
      <c r="AD54">
        <f t="shared" si="2"/>
        <v>0.69999999999999929</v>
      </c>
      <c r="AE54" s="165">
        <f t="shared" si="3"/>
        <v>-1.3274336283185861E-2</v>
      </c>
      <c r="AI54" t="s">
        <v>240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91"/>
      <c r="O55" s="103">
        <v>1</v>
      </c>
      <c r="P55" s="103">
        <f t="shared" si="5"/>
        <v>11.16</v>
      </c>
      <c r="T55" s="113" t="s">
        <v>115</v>
      </c>
      <c r="U55" s="158">
        <v>17907142</v>
      </c>
      <c r="W55" s="160">
        <v>42340</v>
      </c>
      <c r="X55" s="12">
        <v>16.489999999999998</v>
      </c>
      <c r="Y55" s="12">
        <v>16.59</v>
      </c>
      <c r="Z55" s="12">
        <v>15.72</v>
      </c>
      <c r="AA55" s="12">
        <v>15.82</v>
      </c>
      <c r="AB55" s="115">
        <v>16106800</v>
      </c>
      <c r="AC55" s="12">
        <v>15.82</v>
      </c>
      <c r="AD55">
        <f t="shared" si="2"/>
        <v>0.86999999999999922</v>
      </c>
      <c r="AE55" s="165">
        <f t="shared" si="3"/>
        <v>-4.4108761329305191E-2</v>
      </c>
      <c r="AI55" t="s">
        <v>212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H56" s="91"/>
      <c r="O56" s="103">
        <v>0.99</v>
      </c>
      <c r="P56" s="103">
        <f t="shared" si="5"/>
        <v>11.048400000000001</v>
      </c>
      <c r="T56" s="113" t="s">
        <v>118</v>
      </c>
      <c r="U56" s="158">
        <v>25908100</v>
      </c>
      <c r="W56" s="160">
        <v>42339</v>
      </c>
      <c r="X56" s="12">
        <v>16.18</v>
      </c>
      <c r="Y56" s="12">
        <v>16.63</v>
      </c>
      <c r="Z56" s="12">
        <v>16.12</v>
      </c>
      <c r="AA56" s="12">
        <v>16.55</v>
      </c>
      <c r="AB56" s="115">
        <v>20103700</v>
      </c>
      <c r="AC56" s="12">
        <v>16.55</v>
      </c>
      <c r="AD56">
        <f t="shared" si="2"/>
        <v>0.50999999999999801</v>
      </c>
      <c r="AE56" s="165">
        <f t="shared" si="3"/>
        <v>3.8920276208411764E-2</v>
      </c>
      <c r="AI56" t="s">
        <v>240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H57" s="91"/>
      <c r="O57" s="103">
        <v>0.98</v>
      </c>
      <c r="P57" s="103">
        <f t="shared" si="5"/>
        <v>10.9368</v>
      </c>
      <c r="T57" s="113" t="s">
        <v>116</v>
      </c>
      <c r="U57" s="157" t="s">
        <v>346</v>
      </c>
      <c r="W57" s="160">
        <v>42338</v>
      </c>
      <c r="X57" s="12">
        <v>15.59</v>
      </c>
      <c r="Y57" s="12">
        <v>16.010000000000002</v>
      </c>
      <c r="Z57" s="12">
        <v>15.5</v>
      </c>
      <c r="AA57" s="12">
        <v>15.93</v>
      </c>
      <c r="AB57" s="115">
        <v>13235300</v>
      </c>
      <c r="AC57" s="12">
        <v>15.93</v>
      </c>
      <c r="AD57">
        <f t="shared" si="2"/>
        <v>0.51000000000000156</v>
      </c>
      <c r="AE57" s="165">
        <f t="shared" si="3"/>
        <v>2.3778920308483276E-2</v>
      </c>
      <c r="AI57" t="s">
        <v>212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H58" s="91"/>
      <c r="O58" s="103">
        <v>0.97</v>
      </c>
      <c r="P58" s="103">
        <f t="shared" si="5"/>
        <v>10.825200000000001</v>
      </c>
      <c r="T58" s="113" t="s">
        <v>119</v>
      </c>
      <c r="U58" s="157">
        <v>6.07</v>
      </c>
      <c r="W58" s="160">
        <v>42335</v>
      </c>
      <c r="X58" s="12">
        <v>15.55</v>
      </c>
      <c r="Y58" s="12">
        <v>15.64</v>
      </c>
      <c r="Z58" s="12">
        <v>15.47</v>
      </c>
      <c r="AA58" s="12">
        <v>15.56</v>
      </c>
      <c r="AB58" s="115">
        <v>5018500</v>
      </c>
      <c r="AC58" s="12">
        <v>15.56</v>
      </c>
      <c r="AD58">
        <f t="shared" si="2"/>
        <v>0.16999999999999993</v>
      </c>
      <c r="AE58" s="165">
        <f t="shared" si="3"/>
        <v>-1.2836970474967568E-3</v>
      </c>
      <c r="AI58" t="s">
        <v>240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H59" s="91"/>
      <c r="O59" s="103">
        <v>0.96</v>
      </c>
      <c r="P59" s="103">
        <f t="shared" si="5"/>
        <v>10.7136</v>
      </c>
      <c r="T59" s="113" t="s">
        <v>120</v>
      </c>
      <c r="U59" s="157">
        <v>1.84</v>
      </c>
      <c r="W59" s="160">
        <v>42333</v>
      </c>
      <c r="X59" s="12">
        <v>15.4</v>
      </c>
      <c r="Y59" s="12">
        <v>15.78</v>
      </c>
      <c r="Z59" s="12">
        <v>15.35</v>
      </c>
      <c r="AA59" s="12">
        <v>15.58</v>
      </c>
      <c r="AB59" s="115">
        <v>10003300</v>
      </c>
      <c r="AC59" s="12">
        <v>15.58</v>
      </c>
      <c r="AD59">
        <f t="shared" si="2"/>
        <v>0.42999999999999972</v>
      </c>
      <c r="AE59" s="165">
        <f t="shared" si="3"/>
        <v>-3.1989763275752647E-3</v>
      </c>
      <c r="AI59" t="s">
        <v>212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10.602</v>
      </c>
      <c r="T60" s="113" t="s">
        <v>117</v>
      </c>
      <c r="U60" s="157" t="s">
        <v>132</v>
      </c>
      <c r="W60" s="160">
        <v>42332</v>
      </c>
      <c r="X60" s="12">
        <v>15.22</v>
      </c>
      <c r="Y60" s="12">
        <v>15.66</v>
      </c>
      <c r="Z60" s="12">
        <v>15.15</v>
      </c>
      <c r="AA60" s="12">
        <v>15.63</v>
      </c>
      <c r="AB60" s="115">
        <v>12222500</v>
      </c>
      <c r="AC60" s="12">
        <v>15.63</v>
      </c>
      <c r="AD60">
        <f t="shared" si="2"/>
        <v>0.50999999999999979</v>
      </c>
      <c r="AE60" s="165">
        <f t="shared" si="3"/>
        <v>2.0234986945169675E-2</v>
      </c>
      <c r="AI60" t="s">
        <v>240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10.490399999999999</v>
      </c>
      <c r="W61" s="160">
        <v>42331</v>
      </c>
      <c r="X61" s="12">
        <v>15.54</v>
      </c>
      <c r="Y61" s="12">
        <v>15.67</v>
      </c>
      <c r="Z61" s="12">
        <v>15.07</v>
      </c>
      <c r="AA61" s="12">
        <v>15.32</v>
      </c>
      <c r="AB61" s="115">
        <v>14049000</v>
      </c>
      <c r="AC61" s="12">
        <v>15.32</v>
      </c>
      <c r="AD61">
        <f t="shared" si="2"/>
        <v>0.59999999999999964</v>
      </c>
      <c r="AE61" s="165">
        <f t="shared" si="3"/>
        <v>-7.1289695398574215E-3</v>
      </c>
      <c r="AI61" t="s">
        <v>212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10.3788</v>
      </c>
      <c r="W62" s="160">
        <v>42328</v>
      </c>
      <c r="X62" s="12">
        <v>16</v>
      </c>
      <c r="Y62" s="12">
        <v>16.100000000000001</v>
      </c>
      <c r="Z62" s="12">
        <v>15.34</v>
      </c>
      <c r="AA62" s="12">
        <v>15.43</v>
      </c>
      <c r="AB62" s="115">
        <v>24068900</v>
      </c>
      <c r="AC62" s="12">
        <v>15.43</v>
      </c>
      <c r="AD62">
        <f t="shared" si="2"/>
        <v>0.76000000000000156</v>
      </c>
      <c r="AE62" s="165">
        <f t="shared" si="3"/>
        <v>-2.7725267800882136E-2</v>
      </c>
      <c r="AI62" t="s">
        <v>240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10.267200000000001</v>
      </c>
      <c r="W63" s="160">
        <v>42327</v>
      </c>
      <c r="X63" s="12">
        <v>15.71</v>
      </c>
      <c r="Y63" s="12">
        <v>16.28</v>
      </c>
      <c r="Z63" s="12">
        <v>15.71</v>
      </c>
      <c r="AA63" s="12">
        <v>15.87</v>
      </c>
      <c r="AB63" s="115">
        <v>18278900</v>
      </c>
      <c r="AC63" s="12">
        <v>15.87</v>
      </c>
      <c r="AD63">
        <f t="shared" si="2"/>
        <v>0.57000000000000028</v>
      </c>
      <c r="AE63" s="165">
        <f t="shared" si="3"/>
        <v>1.6655989750160138E-2</v>
      </c>
      <c r="AI63" t="s">
        <v>212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10.1556</v>
      </c>
      <c r="W64" s="160">
        <v>42326</v>
      </c>
      <c r="X64" s="12">
        <v>15.39</v>
      </c>
      <c r="Y64" s="12">
        <v>15.69</v>
      </c>
      <c r="Z64" s="12">
        <v>15.3</v>
      </c>
      <c r="AA64" s="12">
        <v>15.61</v>
      </c>
      <c r="AB64" s="115">
        <v>20071300</v>
      </c>
      <c r="AC64" s="12">
        <v>15.61</v>
      </c>
      <c r="AD64">
        <f t="shared" si="2"/>
        <v>0.38999999999999879</v>
      </c>
      <c r="AE64" s="165">
        <f t="shared" si="3"/>
        <v>2.1596858638743388E-2</v>
      </c>
      <c r="AI64" t="s">
        <v>240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3">
        <v>0.9</v>
      </c>
      <c r="P65" s="103">
        <f t="shared" si="5"/>
        <v>10.044</v>
      </c>
      <c r="W65" s="160">
        <v>42325</v>
      </c>
      <c r="X65" s="12">
        <v>15.03</v>
      </c>
      <c r="Y65" s="12">
        <v>15.73</v>
      </c>
      <c r="Z65" s="12">
        <v>14.94</v>
      </c>
      <c r="AA65" s="12">
        <v>15.28</v>
      </c>
      <c r="AB65" s="115">
        <v>25249600</v>
      </c>
      <c r="AC65" s="12">
        <v>15.28</v>
      </c>
      <c r="AD65">
        <f t="shared" si="2"/>
        <v>0.79000000000000092</v>
      </c>
      <c r="AE65" s="165">
        <f t="shared" si="3"/>
        <v>2.6192075218267163E-2</v>
      </c>
      <c r="AI65" t="s">
        <v>212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42324</v>
      </c>
      <c r="X66" s="12">
        <v>14.95</v>
      </c>
      <c r="Y66" s="12">
        <v>15.2</v>
      </c>
      <c r="Z66" s="12">
        <v>14.65</v>
      </c>
      <c r="AA66" s="12">
        <v>14.89</v>
      </c>
      <c r="AB66" s="115">
        <v>23731800</v>
      </c>
      <c r="AC66" s="12">
        <v>14.89</v>
      </c>
      <c r="AD66">
        <f t="shared" si="2"/>
        <v>0.54999999999999893</v>
      </c>
      <c r="AE66" s="165">
        <f t="shared" si="3"/>
        <v>-7.3333333333333028E-3</v>
      </c>
      <c r="AI66" t="s">
        <v>240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90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42321</v>
      </c>
      <c r="X67" s="12">
        <v>15.3</v>
      </c>
      <c r="Y67" s="12">
        <v>15.38</v>
      </c>
      <c r="Z67" s="12">
        <v>14.86</v>
      </c>
      <c r="AA67" s="12">
        <v>15</v>
      </c>
      <c r="AB67" s="115">
        <v>21071200</v>
      </c>
      <c r="AC67" s="12">
        <v>15</v>
      </c>
      <c r="AD67">
        <f>Y67-Z67</f>
        <v>0.52000000000000135</v>
      </c>
      <c r="AE67" s="165" t="e">
        <f>AC67/AC68-1</f>
        <v>#DIV/0!</v>
      </c>
      <c r="AI67" t="s">
        <v>212</v>
      </c>
    </row>
    <row r="68" spans="1:43" x14ac:dyDescent="0.25">
      <c r="B68" s="390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130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240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90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212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240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212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240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94"/>
      <c r="C73" s="4"/>
      <c r="D73" s="3"/>
      <c r="E73" s="3"/>
      <c r="F73" s="3"/>
      <c r="AI73" t="s">
        <v>212</v>
      </c>
    </row>
    <row r="74" spans="1:43" x14ac:dyDescent="0.25">
      <c r="AI74" t="s">
        <v>240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212</v>
      </c>
    </row>
    <row r="76" spans="1:43" x14ac:dyDescent="0.25">
      <c r="AI76" t="s">
        <v>240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212</v>
      </c>
    </row>
    <row r="78" spans="1:43" x14ac:dyDescent="0.25">
      <c r="A78" s="25" t="s">
        <v>81</v>
      </c>
      <c r="B78" s="14"/>
      <c r="C78" s="14">
        <f>SUM(C2:C73)</f>
        <v>27345</v>
      </c>
      <c r="D78" s="14"/>
      <c r="E78" s="14"/>
      <c r="F78" s="15">
        <f>SUM(F2:F73)</f>
        <v>445256.2730000001</v>
      </c>
      <c r="G78" s="14"/>
      <c r="H78" s="14">
        <f>SUM(H2:H48)</f>
        <v>23745</v>
      </c>
      <c r="I78" s="15"/>
      <c r="J78" s="15"/>
      <c r="K78" s="15">
        <f>SUM(K2:K38)</f>
        <v>377101.11</v>
      </c>
      <c r="L78" s="14"/>
      <c r="M78" s="14"/>
      <c r="AI78" t="s">
        <v>240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212</v>
      </c>
    </row>
    <row r="80" spans="1:43" x14ac:dyDescent="0.25">
      <c r="B80" s="246" t="s">
        <v>122</v>
      </c>
      <c r="C80" s="246" t="s">
        <v>189</v>
      </c>
      <c r="D80" s="247" t="s">
        <v>188</v>
      </c>
      <c r="E80" s="249" t="s">
        <v>190</v>
      </c>
      <c r="F80" s="250" t="s">
        <v>65</v>
      </c>
      <c r="G80" s="294" t="s">
        <v>195</v>
      </c>
      <c r="H80" s="250" t="s">
        <v>92</v>
      </c>
      <c r="I80" s="294" t="s">
        <v>203</v>
      </c>
      <c r="AI80" t="s">
        <v>257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4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212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257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212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257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212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257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212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257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212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258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4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212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259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/>
      <c r="AI93" t="s">
        <v>212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260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212</v>
      </c>
    </row>
    <row r="96" spans="2:43" x14ac:dyDescent="0.25">
      <c r="B96" s="248">
        <v>42347</v>
      </c>
      <c r="C96" s="347">
        <v>5260</v>
      </c>
      <c r="D96" s="34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4" si="14">IF(C96=0, D96, (E96-D96)/D96)</f>
        <v>-0.13526570048309169</v>
      </c>
      <c r="I96" s="53"/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4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4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4"/>
        <v>-0.13440197287299629</v>
      </c>
      <c r="I99" s="53"/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4"/>
        <v>-0.13011152416356886</v>
      </c>
      <c r="I100" s="53"/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4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4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4"/>
        <v>-0.13718827009863294</v>
      </c>
      <c r="I103" s="53"/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4"/>
        <v>-0.10206637445209772</v>
      </c>
      <c r="I104" s="53"/>
    </row>
    <row r="105" spans="2:9" x14ac:dyDescent="0.25">
      <c r="B105" s="248">
        <v>42356</v>
      </c>
      <c r="C105" s="370">
        <v>6000</v>
      </c>
      <c r="D105" s="371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4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4"/>
        <v>-0.12430481022538781</v>
      </c>
      <c r="I106" s="53"/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4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4"/>
        <v>-0.11698578474035398</v>
      </c>
      <c r="I108" s="53"/>
    </row>
    <row r="109" spans="2:9" x14ac:dyDescent="0.25">
      <c r="B109" s="248">
        <v>42377</v>
      </c>
      <c r="C109" s="347">
        <v>5260</v>
      </c>
      <c r="D109" s="34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4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4"/>
        <v>-0.35765550239234445</v>
      </c>
      <c r="I110" s="53"/>
    </row>
    <row r="111" spans="2:9" x14ac:dyDescent="0.25">
      <c r="B111" s="248">
        <v>42401</v>
      </c>
      <c r="C111" s="347">
        <v>5260</v>
      </c>
      <c r="D111" s="34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4"/>
        <v>-0.33250912014226802</v>
      </c>
      <c r="I111" s="53">
        <v>16</v>
      </c>
    </row>
    <row r="112" spans="2:9" x14ac:dyDescent="0.25">
      <c r="B112" s="248">
        <v>42416</v>
      </c>
      <c r="C112" s="12">
        <v>4760</v>
      </c>
      <c r="D112" s="257">
        <v>17.02</v>
      </c>
      <c r="E112" s="53">
        <v>10.65</v>
      </c>
      <c r="F112" s="53">
        <f t="shared" si="7"/>
        <v>-30321.199999999997</v>
      </c>
      <c r="G112" s="53">
        <f t="shared" si="12"/>
        <v>81015.199999999997</v>
      </c>
      <c r="H112" s="305">
        <f t="shared" si="14"/>
        <v>-0.37426556991774379</v>
      </c>
      <c r="I112" s="53"/>
    </row>
    <row r="113" spans="2:9" x14ac:dyDescent="0.25">
      <c r="B113" s="248">
        <v>42416</v>
      </c>
      <c r="C113" s="12">
        <v>4000</v>
      </c>
      <c r="D113" s="257">
        <v>18.1967</v>
      </c>
      <c r="E113" s="53">
        <v>10.744999999999999</v>
      </c>
      <c r="F113" s="53">
        <f t="shared" si="7"/>
        <v>-29806.800000000003</v>
      </c>
      <c r="G113" s="53">
        <f t="shared" si="12"/>
        <v>72786.8</v>
      </c>
      <c r="H113" s="305">
        <f t="shared" si="14"/>
        <v>-0.40950831744217364</v>
      </c>
      <c r="I113" s="53"/>
    </row>
    <row r="114" spans="2:9" x14ac:dyDescent="0.25">
      <c r="B114" s="248">
        <v>42418</v>
      </c>
      <c r="C114" s="12">
        <v>3600</v>
      </c>
      <c r="D114" s="257">
        <v>18.931999999999999</v>
      </c>
      <c r="E114" s="53">
        <v>10.81</v>
      </c>
      <c r="F114" s="53">
        <f t="shared" si="7"/>
        <v>-29239.199999999993</v>
      </c>
      <c r="G114" s="53">
        <f t="shared" si="12"/>
        <v>68155.199999999997</v>
      </c>
      <c r="H114" s="305">
        <f t="shared" si="14"/>
        <v>-0.42900908514684127</v>
      </c>
      <c r="I114" s="53"/>
    </row>
    <row r="115" spans="2:9" x14ac:dyDescent="0.25">
      <c r="B115" s="248"/>
      <c r="C115" s="12"/>
      <c r="D115" s="257"/>
      <c r="E115" s="53"/>
      <c r="F115" s="53"/>
      <c r="G115" s="53"/>
      <c r="H115" s="305"/>
      <c r="I115" s="53"/>
    </row>
    <row r="116" spans="2:9" x14ac:dyDescent="0.25">
      <c r="B116" s="248"/>
      <c r="C116" s="12"/>
      <c r="D116" s="257"/>
      <c r="E116" s="53"/>
      <c r="F116" s="53"/>
      <c r="G116" s="53"/>
      <c r="H116" s="305"/>
      <c r="I116" s="53"/>
    </row>
    <row r="117" spans="2:9" x14ac:dyDescent="0.25">
      <c r="B117" s="248"/>
      <c r="C117" s="12"/>
      <c r="D117" s="257"/>
      <c r="E117" s="53"/>
      <c r="F117" s="53"/>
      <c r="G117" s="53"/>
      <c r="H117" s="305"/>
      <c r="I117" s="53"/>
    </row>
    <row r="118" spans="2:9" x14ac:dyDescent="0.25">
      <c r="B118" s="248"/>
      <c r="C118" s="12"/>
      <c r="D118" s="257"/>
      <c r="E118" s="53"/>
      <c r="F118" s="53"/>
      <c r="G118" s="53"/>
      <c r="H118" s="305"/>
      <c r="I118" s="53"/>
    </row>
    <row r="119" spans="2:9" x14ac:dyDescent="0.25">
      <c r="B119" s="248"/>
      <c r="C119" s="12"/>
      <c r="D119" s="257"/>
      <c r="E119" s="53"/>
      <c r="F119" s="53"/>
      <c r="G119" s="53"/>
      <c r="H119" s="305"/>
      <c r="I119" s="5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83" priority="46">
      <formula>Q7&gt;0</formula>
    </cfRule>
    <cfRule type="expression" dxfId="38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81" priority="39">
      <formula>F81&gt;0</formula>
    </cfRule>
    <cfRule type="expression" dxfId="380" priority="40">
      <formula>F81&lt;0</formula>
    </cfRule>
  </conditionalFormatting>
  <conditionalFormatting sqref="F101:F119">
    <cfRule type="expression" dxfId="379" priority="33">
      <formula>F101&gt;0</formula>
    </cfRule>
    <cfRule type="expression" dxfId="378" priority="34">
      <formula>F101&lt;0</formula>
    </cfRule>
  </conditionalFormatting>
  <conditionalFormatting sqref="H81:H92">
    <cfRule type="expression" dxfId="377" priority="31">
      <formula>H81&gt;0</formula>
    </cfRule>
    <cfRule type="expression" dxfId="376" priority="32">
      <formula>H81&lt;0</formula>
    </cfRule>
  </conditionalFormatting>
  <conditionalFormatting sqref="H93">
    <cfRule type="expression" dxfId="375" priority="21">
      <formula>H93&gt;0</formula>
    </cfRule>
    <cfRule type="expression" dxfId="374" priority="22">
      <formula>H93&lt;0</formula>
    </cfRule>
  </conditionalFormatting>
  <conditionalFormatting sqref="F101:F119">
    <cfRule type="expression" dxfId="373" priority="19">
      <formula>F101&gt;0</formula>
    </cfRule>
    <cfRule type="expression" dxfId="372" priority="20">
      <formula>F101&lt;0</formula>
    </cfRule>
  </conditionalFormatting>
  <conditionalFormatting sqref="H94">
    <cfRule type="expression" dxfId="371" priority="17">
      <formula>H94&gt;0</formula>
    </cfRule>
    <cfRule type="expression" dxfId="370" priority="18">
      <formula>H94&lt;0</formula>
    </cfRule>
  </conditionalFormatting>
  <conditionalFormatting sqref="H95:H100">
    <cfRule type="expression" dxfId="369" priority="13">
      <formula>H95&gt;0</formula>
    </cfRule>
    <cfRule type="expression" dxfId="368" priority="14">
      <formula>H95&lt;0</formula>
    </cfRule>
  </conditionalFormatting>
  <conditionalFormatting sqref="F101:F119">
    <cfRule type="expression" dxfId="367" priority="3">
      <formula>F101&gt;0</formula>
    </cfRule>
    <cfRule type="expression" dxfId="366" priority="4">
      <formula>F101&lt;0</formula>
    </cfRule>
  </conditionalFormatting>
  <conditionalFormatting sqref="H101:H119">
    <cfRule type="expression" dxfId="365" priority="1">
      <formula>H101&gt;0</formula>
    </cfRule>
    <cfRule type="expression" dxfId="364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276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29"/>
      <c r="I2" s="95"/>
      <c r="J2" s="95"/>
      <c r="K2" s="20"/>
      <c r="L2" s="94"/>
      <c r="M2" s="95"/>
      <c r="O2" s="13" t="s">
        <v>57</v>
      </c>
      <c r="Q2">
        <f>C7-H7</f>
        <v>100</v>
      </c>
      <c r="S2" s="134"/>
      <c r="T2" s="20"/>
      <c r="U2" s="20"/>
      <c r="V2" s="119">
        <v>42419</v>
      </c>
      <c r="W2" s="123">
        <v>34.81</v>
      </c>
      <c r="X2" s="123">
        <v>34.81</v>
      </c>
      <c r="Y2" s="123">
        <v>33.43</v>
      </c>
      <c r="Z2" s="123">
        <v>34.01</v>
      </c>
      <c r="AA2" s="121">
        <v>5873900</v>
      </c>
      <c r="AB2" s="120">
        <v>34.01</v>
      </c>
      <c r="AC2" s="2">
        <f>X2-Y2</f>
        <v>1.3800000000000026</v>
      </c>
      <c r="AD2" s="165">
        <f>AB2/AB3-1</f>
        <v>-3.7089467723669389E-2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>
        <v>42418</v>
      </c>
      <c r="W3" s="123">
        <v>35.54</v>
      </c>
      <c r="X3" s="123">
        <v>35.61</v>
      </c>
      <c r="Y3" s="123">
        <v>35.03</v>
      </c>
      <c r="Z3" s="123">
        <v>35.32</v>
      </c>
      <c r="AA3" s="121">
        <v>2970400</v>
      </c>
      <c r="AB3" s="120">
        <v>35.32</v>
      </c>
      <c r="AC3" s="2">
        <f t="shared" ref="AC3:AC66" si="0">X3-Y3</f>
        <v>0.57999999999999829</v>
      </c>
      <c r="AD3" s="165">
        <f t="shared" ref="AD3:AD66" si="1">AB3/AB4-1</f>
        <v>-7.307476110174238E-3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34.01</v>
      </c>
      <c r="V4" s="119">
        <v>42417</v>
      </c>
      <c r="W4" s="123">
        <v>35.299999999999997</v>
      </c>
      <c r="X4" s="123">
        <v>36.17</v>
      </c>
      <c r="Y4" s="123">
        <v>35.26</v>
      </c>
      <c r="Z4" s="123">
        <v>35.58</v>
      </c>
      <c r="AA4" s="121">
        <v>4466400</v>
      </c>
      <c r="AB4" s="120">
        <v>35.58</v>
      </c>
      <c r="AC4" s="2">
        <f t="shared" si="0"/>
        <v>0.91000000000000369</v>
      </c>
      <c r="AD4" s="165">
        <f t="shared" si="1"/>
        <v>1.3675213675213627E-2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3401</v>
      </c>
      <c r="S5" s="105"/>
      <c r="V5" s="119">
        <v>42416</v>
      </c>
      <c r="W5" s="123">
        <v>34.549999999999997</v>
      </c>
      <c r="X5" s="123">
        <v>35.14</v>
      </c>
      <c r="Y5" s="123">
        <v>34.22</v>
      </c>
      <c r="Z5" s="123">
        <v>35.1</v>
      </c>
      <c r="AA5" s="121">
        <v>3380500</v>
      </c>
      <c r="AB5" s="120">
        <v>35.1</v>
      </c>
      <c r="AC5" s="2">
        <f t="shared" si="0"/>
        <v>0.92000000000000171</v>
      </c>
      <c r="AD5" s="165">
        <f t="shared" si="1"/>
        <v>2.7517564402810502E-2</v>
      </c>
    </row>
    <row r="6" spans="1:30" x14ac:dyDescent="0.25">
      <c r="O6" s="13" t="s">
        <v>64</v>
      </c>
      <c r="Q6" s="2">
        <f>Q3*Q2</f>
        <v>3665.9999999999995</v>
      </c>
      <c r="S6" s="105"/>
      <c r="V6" s="119">
        <v>42412</v>
      </c>
      <c r="W6" s="123">
        <v>33.57</v>
      </c>
      <c r="X6" s="123">
        <v>35.15</v>
      </c>
      <c r="Y6" s="123">
        <v>33.520000000000003</v>
      </c>
      <c r="Z6" s="123">
        <v>34.159999999999997</v>
      </c>
      <c r="AA6" s="121">
        <v>6366300</v>
      </c>
      <c r="AB6" s="120">
        <v>34.159999999999997</v>
      </c>
      <c r="AC6" s="2">
        <f t="shared" si="0"/>
        <v>1.6299999999999955</v>
      </c>
      <c r="AD6" s="165">
        <f t="shared" si="1"/>
        <v>3.1400966183574797E-2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-264.99999999999955</v>
      </c>
      <c r="R7" s="253"/>
      <c r="V7" s="119">
        <v>42411</v>
      </c>
      <c r="W7" s="123">
        <v>33.85</v>
      </c>
      <c r="X7" s="123">
        <v>34.130000000000003</v>
      </c>
      <c r="Y7" s="123">
        <v>32.86</v>
      </c>
      <c r="Z7" s="123">
        <v>33.119999999999997</v>
      </c>
      <c r="AA7" s="121">
        <v>5885500</v>
      </c>
      <c r="AB7" s="120">
        <v>33.119999999999997</v>
      </c>
      <c r="AC7" s="2">
        <f t="shared" si="0"/>
        <v>1.2700000000000031</v>
      </c>
      <c r="AD7" s="165" t="e">
        <f t="shared" si="1"/>
        <v>#DIV/0!</v>
      </c>
    </row>
    <row r="8" spans="1:30" x14ac:dyDescent="0.25">
      <c r="O8" s="13" t="s">
        <v>92</v>
      </c>
      <c r="Q8" s="165">
        <f>(Q4-Q3)/Q3</f>
        <v>-7.2285870158210558E-2</v>
      </c>
      <c r="S8" s="148"/>
      <c r="V8" s="119">
        <v>42411</v>
      </c>
      <c r="W8" s="123" t="s">
        <v>272</v>
      </c>
      <c r="X8" s="123"/>
      <c r="Y8" s="123"/>
      <c r="Z8" s="123"/>
      <c r="AA8" s="121"/>
      <c r="AB8" s="120"/>
      <c r="AC8" s="2">
        <f t="shared" si="0"/>
        <v>0</v>
      </c>
      <c r="AD8" s="165">
        <f t="shared" si="1"/>
        <v>-1</v>
      </c>
    </row>
    <row r="9" spans="1:30" x14ac:dyDescent="0.25">
      <c r="V9" s="119">
        <v>42410</v>
      </c>
      <c r="W9" s="123">
        <v>35.270000000000003</v>
      </c>
      <c r="X9" s="123">
        <v>36.119999999999997</v>
      </c>
      <c r="Y9" s="123">
        <v>34.700000000000003</v>
      </c>
      <c r="Z9" s="123">
        <v>34.78</v>
      </c>
      <c r="AA9" s="121">
        <v>7779000</v>
      </c>
      <c r="AB9" s="120">
        <v>34.340000000000003</v>
      </c>
      <c r="AC9" s="2">
        <f t="shared" si="0"/>
        <v>1.4199999999999946</v>
      </c>
      <c r="AD9" s="165">
        <f t="shared" si="1"/>
        <v>-1.0089362928797807E-2</v>
      </c>
    </row>
    <row r="10" spans="1:30" x14ac:dyDescent="0.25">
      <c r="V10" s="119">
        <v>42409</v>
      </c>
      <c r="W10" s="123">
        <v>34.01</v>
      </c>
      <c r="X10" s="123">
        <v>35.200000000000003</v>
      </c>
      <c r="Y10" s="123">
        <v>33.75</v>
      </c>
      <c r="Z10" s="123">
        <v>35.130000000000003</v>
      </c>
      <c r="AA10" s="121">
        <v>6144000</v>
      </c>
      <c r="AB10" s="120">
        <v>34.69</v>
      </c>
      <c r="AC10" s="2">
        <f t="shared" si="0"/>
        <v>1.4500000000000028</v>
      </c>
      <c r="AD10" s="165">
        <f t="shared" si="1"/>
        <v>2.2399056881815538E-2</v>
      </c>
    </row>
    <row r="11" spans="1:30" x14ac:dyDescent="0.25">
      <c r="B11" s="246" t="s">
        <v>122</v>
      </c>
      <c r="C11" s="246" t="s">
        <v>189</v>
      </c>
      <c r="D11" s="247" t="s">
        <v>188</v>
      </c>
      <c r="E11" s="249" t="s">
        <v>190</v>
      </c>
      <c r="F11" s="249" t="s">
        <v>65</v>
      </c>
      <c r="G11" s="294" t="s">
        <v>195</v>
      </c>
      <c r="H11" s="294" t="s">
        <v>92</v>
      </c>
      <c r="I11" s="294" t="s">
        <v>203</v>
      </c>
      <c r="V11" s="119">
        <v>42408</v>
      </c>
      <c r="W11" s="123">
        <v>34.5</v>
      </c>
      <c r="X11" s="123">
        <v>34.61</v>
      </c>
      <c r="Y11" s="123">
        <v>33.72</v>
      </c>
      <c r="Z11" s="123">
        <v>34.36</v>
      </c>
      <c r="AA11" s="121">
        <v>4257100</v>
      </c>
      <c r="AB11" s="120">
        <v>33.93</v>
      </c>
      <c r="AC11" s="2">
        <f t="shared" si="0"/>
        <v>0.89000000000000057</v>
      </c>
      <c r="AD11" s="165">
        <f t="shared" si="1"/>
        <v>-1.7376194613379692E-2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>
        <v>42405</v>
      </c>
      <c r="W12" s="123">
        <v>35.06</v>
      </c>
      <c r="X12" s="123">
        <v>35.36</v>
      </c>
      <c r="Y12" s="123">
        <v>34.81</v>
      </c>
      <c r="Z12" s="123">
        <v>34.97</v>
      </c>
      <c r="AA12" s="121">
        <v>6531400</v>
      </c>
      <c r="AB12" s="120">
        <v>34.53</v>
      </c>
      <c r="AC12" s="2">
        <f t="shared" si="0"/>
        <v>0.54999999999999716</v>
      </c>
      <c r="AD12" s="165">
        <f t="shared" si="1"/>
        <v>-2.8876696505920618E-3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>
        <v>42404</v>
      </c>
      <c r="W13" s="123">
        <v>34.229999999999997</v>
      </c>
      <c r="X13" s="123">
        <v>35.39</v>
      </c>
      <c r="Y13" s="123">
        <v>33.9</v>
      </c>
      <c r="Z13" s="123">
        <v>35.07</v>
      </c>
      <c r="AA13" s="121">
        <v>6493900</v>
      </c>
      <c r="AB13" s="120">
        <v>34.630000000000003</v>
      </c>
      <c r="AC13" s="2">
        <f t="shared" si="0"/>
        <v>1.490000000000002</v>
      </c>
      <c r="AD13" s="165">
        <f t="shared" si="1"/>
        <v>2.637818612922338E-2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>
        <v>42403</v>
      </c>
      <c r="W14" s="123">
        <v>34.700000000000003</v>
      </c>
      <c r="X14" s="123">
        <v>35.479999999999997</v>
      </c>
      <c r="Y14" s="123">
        <v>33.06</v>
      </c>
      <c r="Z14" s="123">
        <v>34.17</v>
      </c>
      <c r="AA14" s="121">
        <v>8870700</v>
      </c>
      <c r="AB14" s="120">
        <v>33.74</v>
      </c>
      <c r="AC14" s="2">
        <f t="shared" si="0"/>
        <v>2.4199999999999946</v>
      </c>
      <c r="AD14" s="165">
        <f t="shared" si="1"/>
        <v>9.2731079868382249E-3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>
        <v>42402</v>
      </c>
      <c r="W15" s="123">
        <v>34.08</v>
      </c>
      <c r="X15" s="123">
        <v>34.090000000000003</v>
      </c>
      <c r="Y15" s="123">
        <v>33.479999999999997</v>
      </c>
      <c r="Z15" s="123">
        <v>33.86</v>
      </c>
      <c r="AA15" s="121">
        <v>5374200</v>
      </c>
      <c r="AB15" s="120">
        <v>33.43</v>
      </c>
      <c r="AC15" s="2">
        <f t="shared" si="0"/>
        <v>0.61000000000000654</v>
      </c>
      <c r="AD15" s="165">
        <f t="shared" si="1"/>
        <v>-6.8330362448008053E-3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>
        <v>42401</v>
      </c>
      <c r="W16" s="123">
        <v>34.03</v>
      </c>
      <c r="X16" s="123">
        <v>34.33</v>
      </c>
      <c r="Y16" s="123">
        <v>33.51</v>
      </c>
      <c r="Z16" s="123">
        <v>34.090000000000003</v>
      </c>
      <c r="AA16" s="121">
        <v>5573900</v>
      </c>
      <c r="AB16" s="120">
        <v>33.659999999999997</v>
      </c>
      <c r="AC16" s="2">
        <f t="shared" si="0"/>
        <v>0.82000000000000028</v>
      </c>
      <c r="AD16" s="165">
        <f t="shared" si="1"/>
        <v>-3.5523978685614299E-3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>
        <v>42398</v>
      </c>
      <c r="W17" s="123">
        <v>32.880000000000003</v>
      </c>
      <c r="X17" s="123">
        <v>34.22</v>
      </c>
      <c r="Y17" s="123">
        <v>32.83</v>
      </c>
      <c r="Z17" s="123">
        <v>34.21</v>
      </c>
      <c r="AA17" s="121">
        <v>6266000</v>
      </c>
      <c r="AB17" s="120">
        <v>33.78</v>
      </c>
      <c r="AC17" s="2">
        <f t="shared" si="0"/>
        <v>1.3900000000000006</v>
      </c>
      <c r="AD17" s="165">
        <f t="shared" si="1"/>
        <v>4.7766749379652529E-2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>
        <v>42397</v>
      </c>
      <c r="W18" s="123">
        <v>33.1</v>
      </c>
      <c r="X18" s="123">
        <v>33.24</v>
      </c>
      <c r="Y18" s="123">
        <v>32.56</v>
      </c>
      <c r="Z18" s="123">
        <v>32.65</v>
      </c>
      <c r="AA18" s="121">
        <v>4276100</v>
      </c>
      <c r="AB18" s="120">
        <v>32.24</v>
      </c>
      <c r="AC18" s="2">
        <f t="shared" si="0"/>
        <v>0.67999999999999972</v>
      </c>
      <c r="AD18" s="165">
        <f t="shared" si="1"/>
        <v>-7.6946752847030231E-3</v>
      </c>
    </row>
    <row r="19" spans="2:30" x14ac:dyDescent="0.25">
      <c r="V19" s="119">
        <v>42396</v>
      </c>
      <c r="W19" s="123">
        <v>32.770000000000003</v>
      </c>
      <c r="X19" s="123">
        <v>33.67</v>
      </c>
      <c r="Y19" s="123">
        <v>32.53</v>
      </c>
      <c r="Z19" s="123">
        <v>32.909999999999997</v>
      </c>
      <c r="AA19" s="121">
        <v>6765000</v>
      </c>
      <c r="AB19" s="120">
        <v>32.49</v>
      </c>
      <c r="AC19" s="2">
        <f t="shared" si="0"/>
        <v>1.1400000000000006</v>
      </c>
      <c r="AD19" s="165">
        <f t="shared" si="1"/>
        <v>1.2326656394452407E-3</v>
      </c>
    </row>
    <row r="20" spans="2:30" x14ac:dyDescent="0.25">
      <c r="V20" s="119">
        <v>42395</v>
      </c>
      <c r="W20" s="123">
        <v>32.81</v>
      </c>
      <c r="X20" s="123">
        <v>33.29</v>
      </c>
      <c r="Y20" s="123">
        <v>32.58</v>
      </c>
      <c r="Z20" s="123">
        <v>32.869999999999997</v>
      </c>
      <c r="AA20" s="121">
        <v>8396000</v>
      </c>
      <c r="AB20" s="120">
        <v>32.450000000000003</v>
      </c>
      <c r="AC20" s="2">
        <f t="shared" si="0"/>
        <v>0.71000000000000085</v>
      </c>
      <c r="AD20" s="165">
        <f t="shared" si="1"/>
        <v>8.7037612682623333E-3</v>
      </c>
    </row>
    <row r="21" spans="2:30" x14ac:dyDescent="0.25">
      <c r="V21" s="119">
        <v>42394</v>
      </c>
      <c r="W21" s="123">
        <v>34.979999999999997</v>
      </c>
      <c r="X21" s="123">
        <v>35.01</v>
      </c>
      <c r="Y21" s="123">
        <v>32.5</v>
      </c>
      <c r="Z21" s="123">
        <v>32.58</v>
      </c>
      <c r="AA21" s="121">
        <v>14645200</v>
      </c>
      <c r="AB21" s="120">
        <v>32.17</v>
      </c>
      <c r="AC21" s="2">
        <f t="shared" si="0"/>
        <v>2.509999999999998</v>
      </c>
      <c r="AD21" s="165">
        <f t="shared" si="1"/>
        <v>-0.10614059460961378</v>
      </c>
    </row>
    <row r="22" spans="2:30" x14ac:dyDescent="0.25">
      <c r="V22" s="119">
        <v>42391</v>
      </c>
      <c r="W22" s="123">
        <v>36.03</v>
      </c>
      <c r="X22" s="123">
        <v>36.799999999999997</v>
      </c>
      <c r="Y22" s="123">
        <v>36.03</v>
      </c>
      <c r="Z22" s="123">
        <v>36.450000000000003</v>
      </c>
      <c r="AA22" s="121">
        <v>3713800</v>
      </c>
      <c r="AB22" s="120">
        <v>35.99</v>
      </c>
      <c r="AC22" s="2">
        <f t="shared" si="0"/>
        <v>0.76999999999999602</v>
      </c>
      <c r="AD22" s="165">
        <f t="shared" si="1"/>
        <v>2.799200228506149E-2</v>
      </c>
    </row>
    <row r="23" spans="2:30" x14ac:dyDescent="0.25">
      <c r="V23" s="119">
        <v>42390</v>
      </c>
      <c r="W23" s="123">
        <v>35.450000000000003</v>
      </c>
      <c r="X23" s="123">
        <v>35.99</v>
      </c>
      <c r="Y23" s="123">
        <v>34.94</v>
      </c>
      <c r="Z23" s="123">
        <v>35.46</v>
      </c>
      <c r="AA23" s="121">
        <v>3355600</v>
      </c>
      <c r="AB23" s="120">
        <v>35.01</v>
      </c>
      <c r="AC23" s="2">
        <f t="shared" si="0"/>
        <v>1.0500000000000043</v>
      </c>
      <c r="AD23" s="165">
        <f t="shared" si="1"/>
        <v>4.8794489092995885E-3</v>
      </c>
    </row>
    <row r="24" spans="2:30" x14ac:dyDescent="0.25">
      <c r="V24" s="119">
        <v>42389</v>
      </c>
      <c r="W24" s="123">
        <v>35.07</v>
      </c>
      <c r="X24" s="123">
        <v>35.61</v>
      </c>
      <c r="Y24" s="123">
        <v>34.03</v>
      </c>
      <c r="Z24" s="123">
        <v>35.29</v>
      </c>
      <c r="AA24" s="121">
        <v>4650400</v>
      </c>
      <c r="AB24" s="120">
        <v>34.840000000000003</v>
      </c>
      <c r="AC24" s="2">
        <f t="shared" si="0"/>
        <v>1.5799999999999983</v>
      </c>
      <c r="AD24" s="165">
        <f t="shared" si="1"/>
        <v>-9.9460073884625189E-3</v>
      </c>
    </row>
    <row r="25" spans="2:30" x14ac:dyDescent="0.25">
      <c r="V25" s="119">
        <v>42388</v>
      </c>
      <c r="W25" s="123">
        <v>36.76</v>
      </c>
      <c r="X25" s="123">
        <v>36.83</v>
      </c>
      <c r="Y25" s="123">
        <v>35.020000000000003</v>
      </c>
      <c r="Z25" s="123">
        <v>35.64</v>
      </c>
      <c r="AA25" s="121">
        <v>4418100</v>
      </c>
      <c r="AB25" s="120">
        <v>35.19</v>
      </c>
      <c r="AC25" s="2">
        <f t="shared" si="0"/>
        <v>1.8099999999999952</v>
      </c>
      <c r="AD25" s="165">
        <f t="shared" si="1"/>
        <v>-2.141268075639613E-2</v>
      </c>
    </row>
    <row r="26" spans="2:30" x14ac:dyDescent="0.25">
      <c r="V26" s="119">
        <v>42384</v>
      </c>
      <c r="W26" s="123">
        <v>35.49</v>
      </c>
      <c r="X26" s="123">
        <v>36.799999999999997</v>
      </c>
      <c r="Y26" s="123">
        <v>35.49</v>
      </c>
      <c r="Z26" s="123">
        <v>36.42</v>
      </c>
      <c r="AA26" s="121">
        <v>5079700</v>
      </c>
      <c r="AB26" s="120">
        <v>35.96</v>
      </c>
      <c r="AC26" s="2">
        <f t="shared" si="0"/>
        <v>1.3099999999999952</v>
      </c>
      <c r="AD26" s="165">
        <f t="shared" si="1"/>
        <v>-3.3259423503325669E-3</v>
      </c>
    </row>
    <row r="27" spans="2:30" x14ac:dyDescent="0.25">
      <c r="V27" s="119">
        <v>42383</v>
      </c>
      <c r="W27" s="123">
        <v>36.17</v>
      </c>
      <c r="X27" s="123">
        <v>36.79</v>
      </c>
      <c r="Y27" s="123">
        <v>35.69</v>
      </c>
      <c r="Z27" s="123">
        <v>36.54</v>
      </c>
      <c r="AA27" s="121">
        <v>4106100</v>
      </c>
      <c r="AB27" s="120">
        <v>36.08</v>
      </c>
      <c r="AC27" s="2">
        <f t="shared" si="0"/>
        <v>1.1000000000000014</v>
      </c>
      <c r="AD27" s="165">
        <f t="shared" si="1"/>
        <v>1.376791233492547E-2</v>
      </c>
    </row>
    <row r="28" spans="2:30" x14ac:dyDescent="0.25">
      <c r="V28" s="119">
        <v>42382</v>
      </c>
      <c r="W28" s="123">
        <v>36.549999999999997</v>
      </c>
      <c r="X28" s="123">
        <v>37.049999999999997</v>
      </c>
      <c r="Y28" s="123">
        <v>35.979999999999997</v>
      </c>
      <c r="Z28" s="123">
        <v>36.049999999999997</v>
      </c>
      <c r="AA28" s="121">
        <v>3962300</v>
      </c>
      <c r="AB28" s="120">
        <v>35.590000000000003</v>
      </c>
      <c r="AC28" s="2">
        <f t="shared" si="0"/>
        <v>1.0700000000000003</v>
      </c>
      <c r="AD28" s="165">
        <f t="shared" si="1"/>
        <v>-8.3588743382556618E-3</v>
      </c>
    </row>
    <row r="29" spans="2:30" x14ac:dyDescent="0.25">
      <c r="V29" s="119">
        <v>42381</v>
      </c>
      <c r="W29" s="123">
        <v>36.72</v>
      </c>
      <c r="X29" s="123">
        <v>36.880000000000003</v>
      </c>
      <c r="Y29" s="123">
        <v>35.950000000000003</v>
      </c>
      <c r="Z29" s="123">
        <v>36.35</v>
      </c>
      <c r="AA29" s="121">
        <v>3960200</v>
      </c>
      <c r="AB29" s="120">
        <v>35.89</v>
      </c>
      <c r="AC29" s="2">
        <f t="shared" si="0"/>
        <v>0.92999999999999972</v>
      </c>
      <c r="AD29" s="165">
        <f t="shared" si="1"/>
        <v>-1.3912075681691283E-3</v>
      </c>
    </row>
    <row r="30" spans="2:30" x14ac:dyDescent="0.25">
      <c r="V30" s="119">
        <v>42380</v>
      </c>
      <c r="W30" s="123">
        <v>36.18</v>
      </c>
      <c r="X30" s="123">
        <v>36.54</v>
      </c>
      <c r="Y30" s="123">
        <v>35.950000000000003</v>
      </c>
      <c r="Z30" s="123">
        <v>36.4</v>
      </c>
      <c r="AA30" s="121">
        <v>5870700</v>
      </c>
      <c r="AB30" s="120">
        <v>35.94</v>
      </c>
      <c r="AC30" s="2">
        <f t="shared" si="0"/>
        <v>0.58999999999999631</v>
      </c>
      <c r="AD30" s="165">
        <f t="shared" si="1"/>
        <v>1.3822284908321381E-2</v>
      </c>
    </row>
    <row r="31" spans="2:30" x14ac:dyDescent="0.25">
      <c r="V31" s="119">
        <v>42377</v>
      </c>
      <c r="W31" s="123">
        <v>36.299999999999997</v>
      </c>
      <c r="X31" s="123">
        <v>36.78</v>
      </c>
      <c r="Y31" s="123">
        <v>35.78</v>
      </c>
      <c r="Z31" s="123">
        <v>35.9</v>
      </c>
      <c r="AA31" s="121">
        <v>4781000</v>
      </c>
      <c r="AB31" s="120">
        <v>35.450000000000003</v>
      </c>
      <c r="AC31" s="2">
        <f t="shared" si="0"/>
        <v>1</v>
      </c>
      <c r="AD31" s="165">
        <f t="shared" si="1"/>
        <v>-1.0605637733742568E-2</v>
      </c>
    </row>
    <row r="32" spans="2:30" x14ac:dyDescent="0.25">
      <c r="V32" s="119">
        <v>42376</v>
      </c>
      <c r="W32" s="123">
        <v>36.79</v>
      </c>
      <c r="X32" s="123">
        <v>37.22</v>
      </c>
      <c r="Y32" s="123">
        <v>36.18</v>
      </c>
      <c r="Z32" s="123">
        <v>36.29</v>
      </c>
      <c r="AA32" s="121">
        <v>4851900</v>
      </c>
      <c r="AB32" s="120">
        <v>35.83</v>
      </c>
      <c r="AC32" s="2">
        <f t="shared" si="0"/>
        <v>1.0399999999999991</v>
      </c>
      <c r="AD32" s="165">
        <f t="shared" si="1"/>
        <v>-2.9523293607800705E-2</v>
      </c>
    </row>
    <row r="33" spans="15:30" x14ac:dyDescent="0.25">
      <c r="V33" s="119">
        <v>42375</v>
      </c>
      <c r="W33" s="123">
        <v>37.47</v>
      </c>
      <c r="X33" s="123">
        <v>37.58</v>
      </c>
      <c r="Y33" s="123">
        <v>37.119999999999997</v>
      </c>
      <c r="Z33" s="123">
        <v>37.39</v>
      </c>
      <c r="AA33" s="121">
        <v>3536800</v>
      </c>
      <c r="AB33" s="120">
        <v>36.92</v>
      </c>
      <c r="AC33" s="2">
        <f t="shared" si="0"/>
        <v>0.46000000000000085</v>
      </c>
      <c r="AD33" s="165">
        <f t="shared" si="1"/>
        <v>-1.5729138896294237E-2</v>
      </c>
    </row>
    <row r="34" spans="15:30" x14ac:dyDescent="0.25">
      <c r="V34" s="119">
        <v>42374</v>
      </c>
      <c r="W34" s="123">
        <v>37.79</v>
      </c>
      <c r="X34" s="123">
        <v>38</v>
      </c>
      <c r="Y34" s="123">
        <v>37.42</v>
      </c>
      <c r="Z34" s="123">
        <v>37.99</v>
      </c>
      <c r="AA34" s="121">
        <v>3313900</v>
      </c>
      <c r="AB34" s="120">
        <v>37.51</v>
      </c>
      <c r="AC34" s="2">
        <f t="shared" si="0"/>
        <v>0.57999999999999829</v>
      </c>
      <c r="AD34" s="165">
        <f t="shared" si="1"/>
        <v>8.6044635654745072E-3</v>
      </c>
    </row>
    <row r="35" spans="15:30" x14ac:dyDescent="0.25">
      <c r="V35" s="119">
        <v>42373</v>
      </c>
      <c r="W35" s="123">
        <v>37.159999999999997</v>
      </c>
      <c r="X35" s="123">
        <v>37.67</v>
      </c>
      <c r="Y35" s="123">
        <v>36.86</v>
      </c>
      <c r="Z35" s="123">
        <v>37.67</v>
      </c>
      <c r="AA35" s="121">
        <v>4115100</v>
      </c>
      <c r="AB35" s="120">
        <v>37.19</v>
      </c>
      <c r="AC35" s="2">
        <f t="shared" si="0"/>
        <v>0.81000000000000227</v>
      </c>
      <c r="AD35" s="165">
        <f t="shared" si="1"/>
        <v>-8.0601826974746604E-4</v>
      </c>
    </row>
    <row r="36" spans="15:30" x14ac:dyDescent="0.25">
      <c r="V36" s="119">
        <v>42369</v>
      </c>
      <c r="W36" s="123">
        <v>38.08</v>
      </c>
      <c r="X36" s="123">
        <v>38.200000000000003</v>
      </c>
      <c r="Y36" s="123">
        <v>37.69</v>
      </c>
      <c r="Z36" s="123">
        <v>37.700000000000003</v>
      </c>
      <c r="AA36" s="121">
        <v>2572500</v>
      </c>
      <c r="AB36" s="120">
        <v>37.22</v>
      </c>
      <c r="AC36" s="2">
        <f t="shared" si="0"/>
        <v>0.51000000000000512</v>
      </c>
      <c r="AD36" s="165">
        <f t="shared" si="1"/>
        <v>-1.3255567338282037E-2</v>
      </c>
    </row>
    <row r="37" spans="15:30" x14ac:dyDescent="0.25">
      <c r="V37" s="119">
        <v>42368</v>
      </c>
      <c r="W37" s="123">
        <v>38.520000000000003</v>
      </c>
      <c r="X37" s="123">
        <v>38.79</v>
      </c>
      <c r="Y37" s="123">
        <v>38.159999999999997</v>
      </c>
      <c r="Z37" s="123">
        <v>38.200000000000003</v>
      </c>
      <c r="AA37" s="121">
        <v>2425200</v>
      </c>
      <c r="AB37" s="120">
        <v>37.72</v>
      </c>
      <c r="AC37" s="2">
        <f t="shared" si="0"/>
        <v>0.63000000000000256</v>
      </c>
      <c r="AD37" s="165">
        <f t="shared" si="1"/>
        <v>-1.1530398322851076E-2</v>
      </c>
    </row>
    <row r="38" spans="15:30" x14ac:dyDescent="0.25">
      <c r="V38" s="119">
        <v>42367</v>
      </c>
      <c r="W38" s="123">
        <v>38.36</v>
      </c>
      <c r="X38" s="123">
        <v>38.75</v>
      </c>
      <c r="Y38" s="123">
        <v>38.21</v>
      </c>
      <c r="Z38" s="123">
        <v>38.65</v>
      </c>
      <c r="AA38" s="121">
        <v>2885200</v>
      </c>
      <c r="AB38" s="120">
        <v>38.159999999999997</v>
      </c>
      <c r="AC38" s="2">
        <f t="shared" si="0"/>
        <v>0.53999999999999915</v>
      </c>
      <c r="AD38" s="165">
        <f t="shared" si="1"/>
        <v>1.381509032943673E-2</v>
      </c>
    </row>
    <row r="39" spans="15:30" x14ac:dyDescent="0.25">
      <c r="V39" s="119">
        <v>42366</v>
      </c>
      <c r="W39" s="123">
        <v>38.35</v>
      </c>
      <c r="X39" s="123">
        <v>38.44</v>
      </c>
      <c r="Y39" s="123">
        <v>37.96</v>
      </c>
      <c r="Z39" s="123">
        <v>38.119999999999997</v>
      </c>
      <c r="AA39" s="121">
        <v>2243600</v>
      </c>
      <c r="AB39" s="120">
        <v>37.64</v>
      </c>
      <c r="AC39" s="2">
        <f t="shared" si="0"/>
        <v>0.47999999999999687</v>
      </c>
      <c r="AD39" s="165">
        <f t="shared" si="1"/>
        <v>-1.025506179332103E-2</v>
      </c>
    </row>
    <row r="40" spans="15:30" ht="20.25" thickBot="1" x14ac:dyDescent="0.35">
      <c r="O40" s="389" t="s">
        <v>78</v>
      </c>
      <c r="P40" s="389"/>
      <c r="S40" s="111" t="s">
        <v>121</v>
      </c>
      <c r="V40" s="119">
        <v>42362</v>
      </c>
      <c r="W40" s="123">
        <v>38.380000000000003</v>
      </c>
      <c r="X40" s="123">
        <v>38.72</v>
      </c>
      <c r="Y40" s="123">
        <v>38.270000000000003</v>
      </c>
      <c r="Z40" s="123">
        <v>38.520000000000003</v>
      </c>
      <c r="AA40" s="121">
        <v>1147700</v>
      </c>
      <c r="AB40" s="120">
        <v>38.03</v>
      </c>
      <c r="AC40" s="2">
        <f t="shared" si="0"/>
        <v>0.44999999999999574</v>
      </c>
      <c r="AD40" s="165">
        <f t="shared" si="1"/>
        <v>4.7556142668427892E-3</v>
      </c>
    </row>
    <row r="41" spans="15:30" ht="15.75" thickTop="1" x14ac:dyDescent="0.25">
      <c r="O41" s="103">
        <v>1.1000000000000001</v>
      </c>
      <c r="P41" s="103">
        <f>O41*$Q$4</f>
        <v>37.411000000000001</v>
      </c>
      <c r="Q41" s="2"/>
      <c r="S41" s="117" t="s">
        <v>106</v>
      </c>
      <c r="T41" s="118">
        <v>35.32</v>
      </c>
      <c r="V41" s="119">
        <v>42361</v>
      </c>
      <c r="W41" s="123">
        <v>37.94</v>
      </c>
      <c r="X41" s="123">
        <v>38.35</v>
      </c>
      <c r="Y41" s="123">
        <v>37.729999999999997</v>
      </c>
      <c r="Z41" s="123">
        <v>38.33</v>
      </c>
      <c r="AA41" s="121">
        <v>2512000</v>
      </c>
      <c r="AB41" s="120">
        <v>37.85</v>
      </c>
      <c r="AC41" s="2">
        <f t="shared" si="0"/>
        <v>0.62000000000000455</v>
      </c>
      <c r="AD41" s="165">
        <f t="shared" si="1"/>
        <v>1.8294323379069111E-2</v>
      </c>
    </row>
    <row r="42" spans="15:30" x14ac:dyDescent="0.25">
      <c r="O42" s="103">
        <v>1.0900000000000001</v>
      </c>
      <c r="P42" s="103">
        <f t="shared" ref="P42:P61" si="2">O42*$Q$4</f>
        <v>37.070900000000002</v>
      </c>
      <c r="Q42" s="2"/>
      <c r="S42" s="107" t="s">
        <v>107</v>
      </c>
      <c r="T42" s="108">
        <v>34.81</v>
      </c>
      <c r="V42" s="119">
        <v>42360</v>
      </c>
      <c r="W42" s="123">
        <v>37.39</v>
      </c>
      <c r="X42" s="123">
        <v>37.869999999999997</v>
      </c>
      <c r="Y42" s="123">
        <v>37.1</v>
      </c>
      <c r="Z42" s="123">
        <v>37.65</v>
      </c>
      <c r="AA42" s="121">
        <v>3716100</v>
      </c>
      <c r="AB42" s="120">
        <v>37.17</v>
      </c>
      <c r="AC42" s="2">
        <f t="shared" si="0"/>
        <v>0.76999999999999602</v>
      </c>
      <c r="AD42" s="165">
        <f t="shared" si="1"/>
        <v>9.2316046701059751E-3</v>
      </c>
    </row>
    <row r="43" spans="15:30" x14ac:dyDescent="0.25">
      <c r="O43" s="103">
        <v>1.08</v>
      </c>
      <c r="P43" s="103">
        <f t="shared" si="2"/>
        <v>36.730800000000002</v>
      </c>
      <c r="Q43" s="2"/>
      <c r="S43" s="107" t="s">
        <v>108</v>
      </c>
      <c r="T43" s="108" t="s">
        <v>452</v>
      </c>
      <c r="V43" s="119">
        <v>42359</v>
      </c>
      <c r="W43" s="123">
        <v>37.200000000000003</v>
      </c>
      <c r="X43" s="123">
        <v>37.61</v>
      </c>
      <c r="Y43" s="123">
        <v>36.950000000000003</v>
      </c>
      <c r="Z43" s="123">
        <v>37.299999999999997</v>
      </c>
      <c r="AA43" s="121">
        <v>2973600</v>
      </c>
      <c r="AB43" s="120">
        <v>36.83</v>
      </c>
      <c r="AC43" s="2">
        <f t="shared" si="0"/>
        <v>0.65999999999999659</v>
      </c>
      <c r="AD43" s="165">
        <f t="shared" si="1"/>
        <v>1.37627305257364E-2</v>
      </c>
    </row>
    <row r="44" spans="15:30" x14ac:dyDescent="0.25">
      <c r="O44" s="103">
        <v>1.07</v>
      </c>
      <c r="P44" s="103">
        <f t="shared" si="2"/>
        <v>36.390700000000002</v>
      </c>
      <c r="Q44" s="2"/>
      <c r="S44" s="107" t="s">
        <v>109</v>
      </c>
      <c r="T44" s="108" t="s">
        <v>453</v>
      </c>
      <c r="V44" s="119">
        <v>42356</v>
      </c>
      <c r="W44" s="123">
        <v>37.54</v>
      </c>
      <c r="X44" s="123">
        <v>37.58</v>
      </c>
      <c r="Y44" s="123">
        <v>36.76</v>
      </c>
      <c r="Z44" s="123">
        <v>36.799999999999997</v>
      </c>
      <c r="AA44" s="121">
        <v>6255600</v>
      </c>
      <c r="AB44" s="120">
        <v>36.33</v>
      </c>
      <c r="AC44" s="2">
        <f t="shared" si="0"/>
        <v>0.82000000000000028</v>
      </c>
      <c r="AD44" s="165">
        <f t="shared" si="1"/>
        <v>-2.4436090225564033E-2</v>
      </c>
    </row>
    <row r="45" spans="15:30" x14ac:dyDescent="0.25">
      <c r="O45" s="103">
        <v>1.06</v>
      </c>
      <c r="P45" s="103">
        <f t="shared" si="2"/>
        <v>36.050600000000003</v>
      </c>
      <c r="Q45" s="2"/>
      <c r="S45" s="107" t="s">
        <v>110</v>
      </c>
      <c r="T45" s="108">
        <v>43.13</v>
      </c>
      <c r="V45" s="119">
        <v>42355</v>
      </c>
      <c r="W45" s="123">
        <v>38.69</v>
      </c>
      <c r="X45" s="123">
        <v>38.75</v>
      </c>
      <c r="Y45" s="123">
        <v>37.72</v>
      </c>
      <c r="Z45" s="123">
        <v>37.72</v>
      </c>
      <c r="AA45" s="121">
        <v>3402100</v>
      </c>
      <c r="AB45" s="120">
        <v>37.24</v>
      </c>
      <c r="AC45" s="2">
        <f t="shared" si="0"/>
        <v>1.0300000000000011</v>
      </c>
      <c r="AD45" s="165">
        <f t="shared" si="1"/>
        <v>-2.2315568390653739E-2</v>
      </c>
    </row>
    <row r="46" spans="15:30" x14ac:dyDescent="0.25">
      <c r="O46" s="103">
        <v>1.05</v>
      </c>
      <c r="P46" s="103">
        <f t="shared" si="2"/>
        <v>35.710499999999996</v>
      </c>
      <c r="Q46" s="2"/>
      <c r="S46" s="107" t="s">
        <v>111</v>
      </c>
      <c r="T46" s="108">
        <v>1.46933</v>
      </c>
      <c r="V46" s="119">
        <v>42354</v>
      </c>
      <c r="W46" s="123">
        <v>38.380000000000003</v>
      </c>
      <c r="X46" s="123">
        <v>38.659999999999997</v>
      </c>
      <c r="Y46" s="123">
        <v>37.76</v>
      </c>
      <c r="Z46" s="123">
        <v>38.58</v>
      </c>
      <c r="AA46" s="121">
        <v>3488900</v>
      </c>
      <c r="AB46" s="120">
        <v>38.090000000000003</v>
      </c>
      <c r="AC46" s="2">
        <f t="shared" si="0"/>
        <v>0.89999999999999858</v>
      </c>
      <c r="AD46" s="165">
        <f t="shared" si="1"/>
        <v>1.0881104033970468E-2</v>
      </c>
    </row>
    <row r="47" spans="15:30" x14ac:dyDescent="0.25">
      <c r="O47" s="103">
        <v>1.04</v>
      </c>
      <c r="P47" s="103">
        <f t="shared" si="2"/>
        <v>35.370399999999997</v>
      </c>
      <c r="Q47" s="2"/>
      <c r="S47" s="107" t="s">
        <v>112</v>
      </c>
      <c r="T47" s="109" t="s">
        <v>307</v>
      </c>
      <c r="V47" s="119">
        <v>42353</v>
      </c>
      <c r="W47" s="123">
        <v>37.97</v>
      </c>
      <c r="X47" s="123">
        <v>38.450000000000003</v>
      </c>
      <c r="Y47" s="123">
        <v>37.82</v>
      </c>
      <c r="Z47" s="123">
        <v>38.159999999999997</v>
      </c>
      <c r="AA47" s="121">
        <v>4033000</v>
      </c>
      <c r="AB47" s="120">
        <v>37.68</v>
      </c>
      <c r="AC47" s="2">
        <f t="shared" si="0"/>
        <v>0.63000000000000256</v>
      </c>
      <c r="AD47" s="165">
        <f t="shared" si="1"/>
        <v>1.5907252628740709E-2</v>
      </c>
    </row>
    <row r="48" spans="15:30" x14ac:dyDescent="0.25">
      <c r="O48" s="103">
        <v>1.03</v>
      </c>
      <c r="P48" s="103">
        <f t="shared" si="2"/>
        <v>35.030299999999997</v>
      </c>
      <c r="Q48" s="2"/>
      <c r="S48" s="107"/>
      <c r="T48" s="108"/>
      <c r="V48" s="119">
        <v>42352</v>
      </c>
      <c r="W48" s="123">
        <v>38.07</v>
      </c>
      <c r="X48" s="123">
        <v>38.18</v>
      </c>
      <c r="Y48" s="123">
        <v>37.29</v>
      </c>
      <c r="Z48" s="123">
        <v>37.57</v>
      </c>
      <c r="AA48" s="121">
        <v>3312800</v>
      </c>
      <c r="AB48" s="120">
        <v>37.090000000000003</v>
      </c>
      <c r="AC48" s="2">
        <f t="shared" si="0"/>
        <v>0.89000000000000057</v>
      </c>
      <c r="AD48" s="165">
        <f t="shared" si="1"/>
        <v>-1.4873837981407623E-2</v>
      </c>
    </row>
    <row r="49" spans="15:30" x14ac:dyDescent="0.25">
      <c r="O49" s="103">
        <v>1.02</v>
      </c>
      <c r="P49" s="103">
        <f t="shared" si="2"/>
        <v>34.690199999999997</v>
      </c>
      <c r="Q49" s="2"/>
      <c r="S49" s="107" t="s">
        <v>113</v>
      </c>
      <c r="T49" s="108" t="s">
        <v>454</v>
      </c>
      <c r="V49" s="119">
        <v>42349</v>
      </c>
      <c r="W49" s="123">
        <v>38.5</v>
      </c>
      <c r="X49" s="123">
        <v>38.6</v>
      </c>
      <c r="Y49" s="123">
        <v>38.020000000000003</v>
      </c>
      <c r="Z49" s="123">
        <v>38.130000000000003</v>
      </c>
      <c r="AA49" s="121">
        <v>2541600</v>
      </c>
      <c r="AB49" s="120">
        <v>37.65</v>
      </c>
      <c r="AC49" s="2">
        <f t="shared" si="0"/>
        <v>0.57999999999999829</v>
      </c>
      <c r="AD49" s="165">
        <f t="shared" si="1"/>
        <v>-1.6200679383329142E-2</v>
      </c>
    </row>
    <row r="50" spans="15:30" x14ac:dyDescent="0.25">
      <c r="O50" s="103">
        <v>1.01</v>
      </c>
      <c r="P50" s="103">
        <f t="shared" si="2"/>
        <v>34.350099999999998</v>
      </c>
      <c r="Q50" s="2"/>
      <c r="S50" s="107" t="s">
        <v>114</v>
      </c>
      <c r="T50" s="108" t="s">
        <v>299</v>
      </c>
      <c r="V50" s="119">
        <v>42348</v>
      </c>
      <c r="W50" s="123">
        <v>39.340000000000003</v>
      </c>
      <c r="X50" s="123">
        <v>39.51</v>
      </c>
      <c r="Y50" s="123">
        <v>38.72</v>
      </c>
      <c r="Z50" s="123">
        <v>38.76</v>
      </c>
      <c r="AA50" s="121">
        <v>2326000</v>
      </c>
      <c r="AB50" s="120">
        <v>38.270000000000003</v>
      </c>
      <c r="AC50" s="2">
        <f t="shared" si="0"/>
        <v>0.78999999999999915</v>
      </c>
      <c r="AD50" s="165">
        <f t="shared" si="1"/>
        <v>-1.6195372750642534E-2</v>
      </c>
    </row>
    <row r="51" spans="15:30" x14ac:dyDescent="0.25">
      <c r="O51" s="103">
        <v>1</v>
      </c>
      <c r="P51" s="103">
        <f t="shared" si="2"/>
        <v>34.01</v>
      </c>
      <c r="Q51" s="2"/>
      <c r="S51" s="107" t="s">
        <v>115</v>
      </c>
      <c r="T51" s="110">
        <v>5877678</v>
      </c>
      <c r="V51" s="119">
        <v>42347</v>
      </c>
      <c r="W51" s="123">
        <v>39.11</v>
      </c>
      <c r="X51" s="123">
        <v>39.93</v>
      </c>
      <c r="Y51" s="123">
        <v>39.090000000000003</v>
      </c>
      <c r="Z51" s="123">
        <v>39.4</v>
      </c>
      <c r="AA51" s="121">
        <v>2796400</v>
      </c>
      <c r="AB51" s="120">
        <v>38.9</v>
      </c>
      <c r="AC51" s="2">
        <f t="shared" si="0"/>
        <v>0.83999999999999631</v>
      </c>
      <c r="AD51" s="165">
        <f t="shared" si="1"/>
        <v>2.5773195876288568E-3</v>
      </c>
    </row>
    <row r="52" spans="15:30" x14ac:dyDescent="0.25">
      <c r="O52" s="103">
        <v>0.99</v>
      </c>
      <c r="P52" s="103">
        <f t="shared" si="2"/>
        <v>33.669899999999998</v>
      </c>
      <c r="Q52" s="2"/>
      <c r="S52" s="107" t="s">
        <v>118</v>
      </c>
      <c r="T52" s="110">
        <v>4366600</v>
      </c>
      <c r="V52" s="119">
        <v>42346</v>
      </c>
      <c r="W52" s="123">
        <v>39.36</v>
      </c>
      <c r="X52" s="123">
        <v>39.92</v>
      </c>
      <c r="Y52" s="123">
        <v>39.159999999999997</v>
      </c>
      <c r="Z52" s="123">
        <v>39.299999999999997</v>
      </c>
      <c r="AA52" s="121">
        <v>2944900</v>
      </c>
      <c r="AB52" s="120">
        <v>38.799999999999997</v>
      </c>
      <c r="AC52" s="2">
        <f t="shared" si="0"/>
        <v>0.76000000000000512</v>
      </c>
      <c r="AD52" s="165">
        <f t="shared" si="1"/>
        <v>-1.2219959266802527E-2</v>
      </c>
    </row>
    <row r="53" spans="15:30" x14ac:dyDescent="0.25">
      <c r="O53" s="103">
        <v>0.98</v>
      </c>
      <c r="P53" s="103">
        <f t="shared" si="2"/>
        <v>33.329799999999999</v>
      </c>
      <c r="Q53" s="2"/>
      <c r="S53" s="107" t="s">
        <v>116</v>
      </c>
      <c r="T53" s="108" t="s">
        <v>455</v>
      </c>
      <c r="V53" s="119">
        <v>42345</v>
      </c>
      <c r="W53" s="123">
        <v>39.950000000000003</v>
      </c>
      <c r="X53" s="123">
        <v>40.06</v>
      </c>
      <c r="Y53" s="123">
        <v>39.47</v>
      </c>
      <c r="Z53" s="123">
        <v>39.78</v>
      </c>
      <c r="AA53" s="121">
        <v>2136500</v>
      </c>
      <c r="AB53" s="120">
        <v>39.28</v>
      </c>
      <c r="AC53" s="2">
        <f t="shared" si="0"/>
        <v>0.59000000000000341</v>
      </c>
      <c r="AD53" s="165">
        <f t="shared" si="1"/>
        <v>-1.1077542799597162E-2</v>
      </c>
    </row>
    <row r="54" spans="15:30" x14ac:dyDescent="0.25">
      <c r="O54" s="103">
        <v>0.97</v>
      </c>
      <c r="P54" s="103">
        <f t="shared" si="2"/>
        <v>32.989699999999999</v>
      </c>
      <c r="S54" s="107" t="s">
        <v>119</v>
      </c>
      <c r="T54" s="108">
        <v>15.25</v>
      </c>
      <c r="V54" s="119">
        <v>42342</v>
      </c>
      <c r="W54" s="123">
        <v>39.65</v>
      </c>
      <c r="X54" s="123">
        <v>40.33</v>
      </c>
      <c r="Y54" s="123">
        <v>39.340000000000003</v>
      </c>
      <c r="Z54" s="123">
        <v>40.229999999999997</v>
      </c>
      <c r="AA54" s="121">
        <v>3137100</v>
      </c>
      <c r="AB54" s="120">
        <v>39.72</v>
      </c>
      <c r="AC54" s="2">
        <f t="shared" si="0"/>
        <v>0.98999999999999488</v>
      </c>
      <c r="AD54" s="165">
        <f t="shared" si="1"/>
        <v>1.5597034006647803E-2</v>
      </c>
    </row>
    <row r="55" spans="15:30" x14ac:dyDescent="0.25">
      <c r="O55" s="103">
        <v>0.96</v>
      </c>
      <c r="P55" s="103">
        <f t="shared" si="2"/>
        <v>32.6496</v>
      </c>
      <c r="S55" s="107" t="s">
        <v>120</v>
      </c>
      <c r="T55" s="108">
        <v>2.23</v>
      </c>
      <c r="V55" s="119">
        <v>42341</v>
      </c>
      <c r="W55" s="123">
        <v>40.049999999999997</v>
      </c>
      <c r="X55" s="123">
        <v>40.450000000000003</v>
      </c>
      <c r="Y55" s="123">
        <v>39.380000000000003</v>
      </c>
      <c r="Z55" s="123">
        <v>39.61</v>
      </c>
      <c r="AA55" s="121">
        <v>4519900</v>
      </c>
      <c r="AB55" s="120">
        <v>39.11</v>
      </c>
      <c r="AC55" s="2">
        <f t="shared" si="0"/>
        <v>1.0700000000000003</v>
      </c>
      <c r="AD55" s="165">
        <f t="shared" si="1"/>
        <v>-1.1375126390293255E-2</v>
      </c>
    </row>
    <row r="56" spans="15:30" x14ac:dyDescent="0.25">
      <c r="O56" s="103">
        <v>0.95</v>
      </c>
      <c r="P56" s="103">
        <f t="shared" si="2"/>
        <v>32.3095</v>
      </c>
      <c r="S56" s="107" t="s">
        <v>117</v>
      </c>
      <c r="T56" s="108" t="s">
        <v>456</v>
      </c>
      <c r="V56" s="119">
        <v>42340</v>
      </c>
      <c r="W56" s="123">
        <v>41.05</v>
      </c>
      <c r="X56" s="123">
        <v>41.17</v>
      </c>
      <c r="Y56" s="123">
        <v>39.909999999999997</v>
      </c>
      <c r="Z56" s="123">
        <v>40.07</v>
      </c>
      <c r="AA56" s="121">
        <v>5312800</v>
      </c>
      <c r="AB56" s="120">
        <v>39.56</v>
      </c>
      <c r="AC56" s="2">
        <f t="shared" si="0"/>
        <v>1.2600000000000051</v>
      </c>
      <c r="AD56" s="165">
        <f t="shared" si="1"/>
        <v>-2.8009828009827986E-2</v>
      </c>
    </row>
    <row r="57" spans="15:30" x14ac:dyDescent="0.25">
      <c r="O57" s="103">
        <v>0.94</v>
      </c>
      <c r="P57" s="103">
        <f t="shared" si="2"/>
        <v>31.969399999999997</v>
      </c>
      <c r="V57" s="119">
        <v>42339</v>
      </c>
      <c r="W57" s="123">
        <v>41.92</v>
      </c>
      <c r="X57" s="123">
        <v>42.12</v>
      </c>
      <c r="Y57" s="123">
        <v>40.9</v>
      </c>
      <c r="Z57" s="123">
        <v>41.22</v>
      </c>
      <c r="AA57" s="121">
        <v>3626900</v>
      </c>
      <c r="AB57" s="120">
        <v>40.700000000000003</v>
      </c>
      <c r="AC57" s="2">
        <f t="shared" si="0"/>
        <v>1.2199999999999989</v>
      </c>
      <c r="AD57" s="165">
        <f t="shared" si="1"/>
        <v>-1.4527845036319431E-2</v>
      </c>
    </row>
    <row r="58" spans="15:30" x14ac:dyDescent="0.25">
      <c r="O58" s="103">
        <v>0.93</v>
      </c>
      <c r="P58" s="103">
        <f t="shared" si="2"/>
        <v>31.629300000000001</v>
      </c>
      <c r="V58" s="119">
        <v>42338</v>
      </c>
      <c r="W58" s="123">
        <v>42.04</v>
      </c>
      <c r="X58" s="123">
        <v>42.37</v>
      </c>
      <c r="Y58" s="123">
        <v>41.66</v>
      </c>
      <c r="Z58" s="123">
        <v>41.83</v>
      </c>
      <c r="AA58" s="121">
        <v>5052200</v>
      </c>
      <c r="AB58" s="120">
        <v>41.3</v>
      </c>
      <c r="AC58" s="2">
        <f t="shared" si="0"/>
        <v>0.71000000000000085</v>
      </c>
      <c r="AD58" s="165">
        <f t="shared" si="1"/>
        <v>-4.8402710551798123E-4</v>
      </c>
    </row>
    <row r="59" spans="15:30" x14ac:dyDescent="0.25">
      <c r="O59" s="103">
        <v>0.92</v>
      </c>
      <c r="P59" s="103">
        <f t="shared" si="2"/>
        <v>31.289200000000001</v>
      </c>
      <c r="V59" s="119">
        <v>42335</v>
      </c>
      <c r="W59" s="123">
        <v>41.68</v>
      </c>
      <c r="X59" s="123">
        <v>42.11</v>
      </c>
      <c r="Y59" s="123">
        <v>41.5</v>
      </c>
      <c r="Z59" s="123">
        <v>41.85</v>
      </c>
      <c r="AA59" s="121">
        <v>1067900</v>
      </c>
      <c r="AB59" s="120">
        <v>41.32</v>
      </c>
      <c r="AC59" s="2">
        <f t="shared" si="0"/>
        <v>0.60999999999999943</v>
      </c>
      <c r="AD59" s="165">
        <f t="shared" si="1"/>
        <v>5.1082461688154446E-3</v>
      </c>
    </row>
    <row r="60" spans="15:30" x14ac:dyDescent="0.25">
      <c r="O60" s="103">
        <v>0.91</v>
      </c>
      <c r="P60" s="103">
        <f t="shared" si="2"/>
        <v>30.949099999999998</v>
      </c>
      <c r="V60" s="119">
        <v>42333</v>
      </c>
      <c r="W60" s="123">
        <v>41.81</v>
      </c>
      <c r="X60" s="123">
        <v>41.93</v>
      </c>
      <c r="Y60" s="123">
        <v>41.33</v>
      </c>
      <c r="Z60" s="123">
        <v>41.64</v>
      </c>
      <c r="AA60" s="121">
        <v>2123600</v>
      </c>
      <c r="AB60" s="120">
        <v>41.11</v>
      </c>
      <c r="AC60" s="2">
        <f t="shared" si="0"/>
        <v>0.60000000000000142</v>
      </c>
      <c r="AD60" s="165">
        <f t="shared" si="1"/>
        <v>-4.6004842615011698E-3</v>
      </c>
    </row>
    <row r="61" spans="15:30" x14ac:dyDescent="0.25">
      <c r="O61" s="103">
        <v>0.9</v>
      </c>
      <c r="P61" s="103">
        <f t="shared" si="2"/>
        <v>30.608999999999998</v>
      </c>
      <c r="V61" s="119">
        <v>42332</v>
      </c>
      <c r="W61" s="123">
        <v>41.01</v>
      </c>
      <c r="X61" s="123">
        <v>41.92</v>
      </c>
      <c r="Y61" s="123">
        <v>40.869999999999997</v>
      </c>
      <c r="Z61" s="123">
        <v>41.83</v>
      </c>
      <c r="AA61" s="121">
        <v>3176500</v>
      </c>
      <c r="AB61" s="120">
        <v>41.3</v>
      </c>
      <c r="AC61" s="2">
        <f t="shared" si="0"/>
        <v>1.0500000000000043</v>
      </c>
      <c r="AD61" s="165">
        <f t="shared" si="1"/>
        <v>1.5490533562822595E-2</v>
      </c>
    </row>
    <row r="62" spans="15:30" x14ac:dyDescent="0.25">
      <c r="V62" s="119">
        <v>42331</v>
      </c>
      <c r="W62" s="123">
        <v>41.17</v>
      </c>
      <c r="X62" s="123">
        <v>41.89</v>
      </c>
      <c r="Y62" s="123">
        <v>41.08</v>
      </c>
      <c r="Z62" s="123">
        <v>41.19</v>
      </c>
      <c r="AA62" s="121">
        <v>2148300</v>
      </c>
      <c r="AB62" s="120">
        <v>40.67</v>
      </c>
      <c r="AC62" s="2">
        <f t="shared" si="0"/>
        <v>0.81000000000000227</v>
      </c>
      <c r="AD62" s="165">
        <f t="shared" si="1"/>
        <v>-7.3710073710075985E-4</v>
      </c>
    </row>
    <row r="63" spans="15:30" x14ac:dyDescent="0.25">
      <c r="V63" s="119">
        <v>42328</v>
      </c>
      <c r="W63" s="123">
        <v>41.49</v>
      </c>
      <c r="X63" s="123">
        <v>41.84</v>
      </c>
      <c r="Y63" s="123">
        <v>41.05</v>
      </c>
      <c r="Z63" s="123">
        <v>41.22</v>
      </c>
      <c r="AA63" s="121">
        <v>2137800</v>
      </c>
      <c r="AB63" s="120">
        <v>40.700000000000003</v>
      </c>
      <c r="AC63" s="2">
        <f t="shared" si="0"/>
        <v>0.79000000000000625</v>
      </c>
      <c r="AD63" s="165">
        <f t="shared" si="1"/>
        <v>-9.8183603338242165E-4</v>
      </c>
    </row>
    <row r="64" spans="15:30" x14ac:dyDescent="0.25">
      <c r="V64" s="119">
        <v>42327</v>
      </c>
      <c r="W64" s="123">
        <v>41.03</v>
      </c>
      <c r="X64" s="123">
        <v>41.44</v>
      </c>
      <c r="Y64" s="123">
        <v>40.83</v>
      </c>
      <c r="Z64" s="123">
        <v>41.26</v>
      </c>
      <c r="AA64" s="121">
        <v>2581000</v>
      </c>
      <c r="AB64" s="120">
        <v>40.74</v>
      </c>
      <c r="AC64" s="2">
        <f t="shared" si="0"/>
        <v>0.60999999999999943</v>
      </c>
      <c r="AD64" s="165">
        <f t="shared" si="1"/>
        <v>4.9333991119882015E-3</v>
      </c>
    </row>
    <row r="65" spans="22:30" x14ac:dyDescent="0.25">
      <c r="V65" s="119">
        <v>42326</v>
      </c>
      <c r="W65" s="123">
        <v>40</v>
      </c>
      <c r="X65" s="123">
        <v>41.14</v>
      </c>
      <c r="Y65" s="123">
        <v>40</v>
      </c>
      <c r="Z65" s="123">
        <v>41.06</v>
      </c>
      <c r="AA65" s="121">
        <v>3132100</v>
      </c>
      <c r="AB65" s="120">
        <v>40.54</v>
      </c>
      <c r="AC65" s="2">
        <f t="shared" si="0"/>
        <v>1.1400000000000006</v>
      </c>
      <c r="AD65" s="165">
        <f t="shared" si="1"/>
        <v>2.9718059436118827E-2</v>
      </c>
    </row>
    <row r="66" spans="22:30" x14ac:dyDescent="0.25">
      <c r="V66" s="119">
        <v>42325</v>
      </c>
      <c r="W66" s="123">
        <v>40.22</v>
      </c>
      <c r="X66" s="123">
        <v>41.71</v>
      </c>
      <c r="Y66" s="123">
        <v>39.86</v>
      </c>
      <c r="Z66" s="123">
        <v>39.869999999999997</v>
      </c>
      <c r="AA66" s="121">
        <v>7074700</v>
      </c>
      <c r="AB66" s="120">
        <v>39.369999999999997</v>
      </c>
      <c r="AC66" s="2">
        <f t="shared" si="0"/>
        <v>1.8500000000000014</v>
      </c>
      <c r="AD66" s="165">
        <f t="shared" si="1"/>
        <v>-2.786220871327294E-3</v>
      </c>
    </row>
    <row r="67" spans="22:30" x14ac:dyDescent="0.25">
      <c r="V67" s="119">
        <v>42324</v>
      </c>
      <c r="W67" s="123">
        <v>40.159999999999997</v>
      </c>
      <c r="X67" s="123">
        <v>40.29</v>
      </c>
      <c r="Y67" s="123">
        <v>39.590000000000003</v>
      </c>
      <c r="Z67" s="123">
        <v>39.99</v>
      </c>
      <c r="AA67" s="121">
        <v>4530700</v>
      </c>
      <c r="AB67" s="120">
        <v>39.479999999999997</v>
      </c>
      <c r="AC67" s="2">
        <f>X67-Y67</f>
        <v>0.69999999999999574</v>
      </c>
      <c r="AD67" s="165">
        <f>AB67/AB68-1</f>
        <v>-5.0403225806452401E-3</v>
      </c>
    </row>
    <row r="68" spans="22:30" x14ac:dyDescent="0.25">
      <c r="V68" s="119">
        <v>42321</v>
      </c>
      <c r="W68" s="123">
        <v>40.25</v>
      </c>
      <c r="X68" s="123">
        <v>40.69</v>
      </c>
      <c r="Y68" s="123">
        <v>39.99</v>
      </c>
      <c r="Z68" s="123">
        <v>40.19</v>
      </c>
      <c r="AA68" s="121">
        <v>3702400</v>
      </c>
      <c r="AB68" s="120">
        <v>39.68</v>
      </c>
      <c r="AC68" s="2">
        <f>X68-Y68</f>
        <v>0.69999999999999574</v>
      </c>
      <c r="AD68" s="165" t="e">
        <f>AB68/#REF!-1</f>
        <v>#REF!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 t="e">
        <f>#REF!-#REF!</f>
        <v>#REF!</v>
      </c>
      <c r="AD69" s="165" t="e">
        <f>#REF!/AB69-1</f>
        <v>#REF!</v>
      </c>
    </row>
  </sheetData>
  <mergeCells count="1">
    <mergeCell ref="O40:P40"/>
  </mergeCells>
  <conditionalFormatting sqref="Q7">
    <cfRule type="expression" dxfId="363" priority="17">
      <formula>Q7&gt;0</formula>
    </cfRule>
    <cfRule type="expression" dxfId="36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61" priority="7">
      <formula>F14&gt;0</formula>
    </cfRule>
    <cfRule type="expression" dxfId="360" priority="8">
      <formula>F14&lt;0</formula>
    </cfRule>
  </conditionalFormatting>
  <conditionalFormatting sqref="H14:H18">
    <cfRule type="expression" dxfId="359" priority="5">
      <formula>H14&gt;0</formula>
    </cfRule>
    <cfRule type="expression" dxfId="358" priority="6">
      <formula>H14&lt;0</formula>
    </cfRule>
  </conditionalFormatting>
  <conditionalFormatting sqref="F12:F13">
    <cfRule type="expression" dxfId="357" priority="3">
      <formula>F12&gt;0</formula>
    </cfRule>
    <cfRule type="expression" dxfId="356" priority="4">
      <formula>F12&lt;0</formula>
    </cfRule>
  </conditionalFormatting>
  <conditionalFormatting sqref="H12:H13">
    <cfRule type="expression" dxfId="355" priority="1">
      <formula>H12&gt;0</formula>
    </cfRule>
    <cfRule type="expression" dxfId="35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42419</v>
      </c>
      <c r="W2" s="123">
        <v>29.2</v>
      </c>
      <c r="X2" s="123">
        <v>29.33</v>
      </c>
      <c r="Y2" s="123">
        <v>28.71</v>
      </c>
      <c r="Z2" s="123">
        <v>28.71</v>
      </c>
      <c r="AA2" s="121">
        <v>41618800</v>
      </c>
      <c r="AB2" s="120">
        <v>28.71</v>
      </c>
      <c r="AC2" s="2">
        <f>X2-Y2</f>
        <v>0.61999999999999744</v>
      </c>
      <c r="AD2" s="165">
        <f>AB2/AB3-1</f>
        <v>-2.4133242692046308E-2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28.71</v>
      </c>
      <c r="S3" s="135"/>
      <c r="T3" s="20"/>
      <c r="U3" s="20"/>
      <c r="V3" s="119">
        <v>42418</v>
      </c>
      <c r="W3" s="123">
        <v>29.53</v>
      </c>
      <c r="X3" s="123">
        <v>29.76</v>
      </c>
      <c r="Y3" s="123">
        <v>29.38</v>
      </c>
      <c r="Z3" s="123">
        <v>29.42</v>
      </c>
      <c r="AA3" s="121">
        <v>20261500</v>
      </c>
      <c r="AB3" s="120">
        <v>29.42</v>
      </c>
      <c r="AC3" s="2">
        <f t="shared" ref="AC3:AC66" si="2">X3-Y3</f>
        <v>0.38000000000000256</v>
      </c>
      <c r="AD3" s="165">
        <f t="shared" ref="AD3:AD66" si="3">AB3/AB4-1</f>
        <v>-1.6966406515098731E-3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28.71</v>
      </c>
      <c r="V4" s="119">
        <v>42417</v>
      </c>
      <c r="W4" s="123">
        <v>28.86</v>
      </c>
      <c r="X4" s="123">
        <v>29.62</v>
      </c>
      <c r="Y4" s="123">
        <v>28.73</v>
      </c>
      <c r="Z4" s="123">
        <v>29.47</v>
      </c>
      <c r="AA4" s="121">
        <v>27295100</v>
      </c>
      <c r="AB4" s="120">
        <v>29.47</v>
      </c>
      <c r="AC4" s="2">
        <f t="shared" si="2"/>
        <v>0.89000000000000057</v>
      </c>
      <c r="AD4" s="165">
        <f t="shared" si="3"/>
        <v>2.3974982626824071E-2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42416</v>
      </c>
      <c r="W5" s="123">
        <v>28.75</v>
      </c>
      <c r="X5" s="123">
        <v>28.95</v>
      </c>
      <c r="Y5" s="123">
        <v>28.36</v>
      </c>
      <c r="Z5" s="123">
        <v>28.78</v>
      </c>
      <c r="AA5" s="121">
        <v>30354200</v>
      </c>
      <c r="AB5" s="120">
        <v>28.78</v>
      </c>
      <c r="AC5" s="2">
        <f t="shared" si="2"/>
        <v>0.58999999999999986</v>
      </c>
      <c r="AD5" s="165">
        <f t="shared" si="3"/>
        <v>4.8882681564246244E-3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42412</v>
      </c>
      <c r="W6" s="123">
        <v>28.57</v>
      </c>
      <c r="X6" s="123">
        <v>28.7</v>
      </c>
      <c r="Y6" s="123">
        <v>28.14</v>
      </c>
      <c r="Z6" s="123">
        <v>28.64</v>
      </c>
      <c r="AA6" s="121">
        <v>19507900</v>
      </c>
      <c r="AB6" s="120">
        <v>28.64</v>
      </c>
      <c r="AC6" s="2">
        <f t="shared" si="2"/>
        <v>0.55999999999999872</v>
      </c>
      <c r="AD6" s="165">
        <f t="shared" si="3"/>
        <v>1.4883061658398367E-2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42411</v>
      </c>
      <c r="W7" s="123">
        <v>27.83</v>
      </c>
      <c r="X7" s="123">
        <v>28.41</v>
      </c>
      <c r="Y7" s="123">
        <v>27.68</v>
      </c>
      <c r="Z7" s="123">
        <v>28.22</v>
      </c>
      <c r="AA7" s="121">
        <v>28142600</v>
      </c>
      <c r="AB7" s="120">
        <v>28.22</v>
      </c>
      <c r="AC7" s="2">
        <f t="shared" si="2"/>
        <v>0.73000000000000043</v>
      </c>
      <c r="AD7" s="165">
        <f t="shared" si="3"/>
        <v>-3.5423308537019249E-4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42410</v>
      </c>
      <c r="W8" s="123">
        <v>28.88</v>
      </c>
      <c r="X8" s="123">
        <v>29</v>
      </c>
      <c r="Y8" s="123">
        <v>28.19</v>
      </c>
      <c r="Z8" s="123">
        <v>28.23</v>
      </c>
      <c r="AA8" s="121">
        <v>26850900</v>
      </c>
      <c r="AB8" s="120">
        <v>28.23</v>
      </c>
      <c r="AC8" s="2">
        <f t="shared" si="2"/>
        <v>0.80999999999999872</v>
      </c>
      <c r="AD8" s="165">
        <f t="shared" si="3"/>
        <v>-2.013189864630327E-2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42409</v>
      </c>
      <c r="W9" s="123">
        <v>28.49</v>
      </c>
      <c r="X9" s="123">
        <v>29.15</v>
      </c>
      <c r="Y9" s="123">
        <v>28.41</v>
      </c>
      <c r="Z9" s="123">
        <v>28.81</v>
      </c>
      <c r="AA9" s="121">
        <v>22710600</v>
      </c>
      <c r="AB9" s="120">
        <v>28.81</v>
      </c>
      <c r="AC9" s="2">
        <f t="shared" si="2"/>
        <v>0.73999999999999844</v>
      </c>
      <c r="AD9" s="165">
        <f t="shared" si="3"/>
        <v>-3.4698126301180299E-4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42408</v>
      </c>
      <c r="W10" s="123">
        <v>28.74</v>
      </c>
      <c r="X10" s="123">
        <v>28.98</v>
      </c>
      <c r="Y10" s="123">
        <v>28.3</v>
      </c>
      <c r="Z10" s="123">
        <v>28.82</v>
      </c>
      <c r="AA10" s="121">
        <v>28623800</v>
      </c>
      <c r="AB10" s="120">
        <v>28.82</v>
      </c>
      <c r="AC10" s="2">
        <f t="shared" si="2"/>
        <v>0.67999999999999972</v>
      </c>
      <c r="AD10" s="165">
        <f t="shared" si="3"/>
        <v>-7.575757575757569E-3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42405</v>
      </c>
      <c r="W11" s="123">
        <v>29.58</v>
      </c>
      <c r="X11" s="123">
        <v>29.76</v>
      </c>
      <c r="Y11" s="123">
        <v>28.91</v>
      </c>
      <c r="Z11" s="123">
        <v>29.04</v>
      </c>
      <c r="AA11" s="121">
        <v>27429400</v>
      </c>
      <c r="AB11" s="120">
        <v>29.04</v>
      </c>
      <c r="AC11" s="2">
        <f t="shared" si="2"/>
        <v>0.85000000000000142</v>
      </c>
      <c r="AD11" s="165">
        <f t="shared" si="3"/>
        <v>-2.4521330198186142E-2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42404</v>
      </c>
      <c r="W12" s="123">
        <v>29.14</v>
      </c>
      <c r="X12" s="123">
        <v>29.88</v>
      </c>
      <c r="Y12" s="123">
        <v>29.11</v>
      </c>
      <c r="Z12" s="123">
        <v>29.77</v>
      </c>
      <c r="AA12" s="121">
        <v>29109700</v>
      </c>
      <c r="AB12" s="120">
        <v>29.77</v>
      </c>
      <c r="AC12" s="2">
        <f t="shared" si="2"/>
        <v>0.76999999999999957</v>
      </c>
      <c r="AD12" s="165">
        <f t="shared" si="3"/>
        <v>1.4655760054532951E-2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42403</v>
      </c>
      <c r="W13" s="123">
        <v>29.72</v>
      </c>
      <c r="X13" s="123">
        <v>29.72</v>
      </c>
      <c r="Y13" s="123">
        <v>28.52</v>
      </c>
      <c r="Z13" s="123">
        <v>29.34</v>
      </c>
      <c r="AA13" s="121">
        <v>44632000</v>
      </c>
      <c r="AB13" s="120">
        <v>29.34</v>
      </c>
      <c r="AC13" s="2">
        <f t="shared" si="2"/>
        <v>1.1999999999999993</v>
      </c>
      <c r="AD13" s="165" t="e">
        <f t="shared" si="3"/>
        <v>#DIV/0!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42403</v>
      </c>
      <c r="W14" s="123" t="s">
        <v>158</v>
      </c>
      <c r="X14" s="123"/>
      <c r="Y14" s="123"/>
      <c r="Z14" s="123"/>
      <c r="AA14" s="121"/>
      <c r="AB14" s="120"/>
      <c r="AC14" s="2">
        <f t="shared" si="2"/>
        <v>0</v>
      </c>
      <c r="AD14" s="165">
        <f t="shared" si="3"/>
        <v>-1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42402</v>
      </c>
      <c r="W15" s="123">
        <v>30.45</v>
      </c>
      <c r="X15" s="123">
        <v>30.49</v>
      </c>
      <c r="Y15" s="123">
        <v>29.63</v>
      </c>
      <c r="Z15" s="123">
        <v>29.8</v>
      </c>
      <c r="AA15" s="121">
        <v>24994300</v>
      </c>
      <c r="AB15" s="120">
        <v>29.54</v>
      </c>
      <c r="AC15" s="2">
        <f t="shared" si="2"/>
        <v>0.85999999999999943</v>
      </c>
      <c r="AD15" s="165">
        <f t="shared" si="3"/>
        <v>-3.3060556464811874E-2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42401</v>
      </c>
      <c r="W16" s="123">
        <v>30.72</v>
      </c>
      <c r="X16" s="123">
        <v>31.12</v>
      </c>
      <c r="Y16" s="123">
        <v>30.64</v>
      </c>
      <c r="Z16" s="123">
        <v>30.82</v>
      </c>
      <c r="AA16" s="121">
        <v>19015100</v>
      </c>
      <c r="AB16" s="120">
        <v>30.55</v>
      </c>
      <c r="AC16" s="2">
        <f t="shared" si="2"/>
        <v>0.48000000000000043</v>
      </c>
      <c r="AD16" s="165">
        <f t="shared" si="3"/>
        <v>-6.5040650406503753E-3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42398</v>
      </c>
      <c r="W17" s="123">
        <v>30.21</v>
      </c>
      <c r="X17" s="123">
        <v>31.03</v>
      </c>
      <c r="Y17" s="123">
        <v>30.1</v>
      </c>
      <c r="Z17" s="123">
        <v>31.02</v>
      </c>
      <c r="AA17" s="121">
        <v>38311400</v>
      </c>
      <c r="AB17" s="120">
        <v>30.75</v>
      </c>
      <c r="AC17" s="2">
        <f t="shared" si="2"/>
        <v>0.92999999999999972</v>
      </c>
      <c r="AD17" s="165">
        <f t="shared" si="3"/>
        <v>3.5005048805116123E-2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42397</v>
      </c>
      <c r="W18" s="123">
        <v>30.02</v>
      </c>
      <c r="X18" s="123">
        <v>30.18</v>
      </c>
      <c r="Y18" s="123">
        <v>29.75</v>
      </c>
      <c r="Z18" s="123">
        <v>29.97</v>
      </c>
      <c r="AA18" s="121">
        <v>22028100</v>
      </c>
      <c r="AB18" s="120">
        <v>29.71</v>
      </c>
      <c r="AC18" s="2">
        <f t="shared" si="2"/>
        <v>0.42999999999999972</v>
      </c>
      <c r="AD18" s="165">
        <f t="shared" si="3"/>
        <v>5.4145516074450839E-3</v>
      </c>
    </row>
    <row r="19" spans="1:30" x14ac:dyDescent="0.25">
      <c r="E19" s="2"/>
      <c r="G19" s="2"/>
      <c r="I19" s="2"/>
      <c r="K19" s="2"/>
      <c r="V19" s="119">
        <v>42396</v>
      </c>
      <c r="W19" s="123">
        <v>29.88</v>
      </c>
      <c r="X19" s="123">
        <v>30.22</v>
      </c>
      <c r="Y19" s="123">
        <v>29.64</v>
      </c>
      <c r="Z19" s="123">
        <v>29.81</v>
      </c>
      <c r="AA19" s="121">
        <v>26384100</v>
      </c>
      <c r="AB19" s="120">
        <v>29.55</v>
      </c>
      <c r="AC19" s="2">
        <f t="shared" si="2"/>
        <v>0.57999999999999829</v>
      </c>
      <c r="AD19" s="165">
        <f t="shared" si="3"/>
        <v>-4.3800539083557188E-3</v>
      </c>
    </row>
    <row r="20" spans="1:30" x14ac:dyDescent="0.25">
      <c r="V20" s="119">
        <v>42395</v>
      </c>
      <c r="W20" s="123">
        <v>29.61</v>
      </c>
      <c r="X20" s="123">
        <v>30.05</v>
      </c>
      <c r="Y20" s="123">
        <v>29.61</v>
      </c>
      <c r="Z20" s="123">
        <v>29.94</v>
      </c>
      <c r="AA20" s="121">
        <v>24754900</v>
      </c>
      <c r="AB20" s="120">
        <v>29.68</v>
      </c>
      <c r="AC20" s="2">
        <f t="shared" si="2"/>
        <v>0.44000000000000128</v>
      </c>
      <c r="AD20" s="165">
        <f t="shared" si="3"/>
        <v>1.1588275391956282E-2</v>
      </c>
    </row>
    <row r="21" spans="1:30" x14ac:dyDescent="0.25">
      <c r="V21" s="119">
        <v>42394</v>
      </c>
      <c r="W21" s="123">
        <v>29.99</v>
      </c>
      <c r="X21" s="123">
        <v>30.22</v>
      </c>
      <c r="Y21" s="123">
        <v>29.57</v>
      </c>
      <c r="Z21" s="123">
        <v>29.6</v>
      </c>
      <c r="AA21" s="121">
        <v>26441000</v>
      </c>
      <c r="AB21" s="120">
        <v>29.34</v>
      </c>
      <c r="AC21" s="2">
        <f t="shared" si="2"/>
        <v>0.64999999999999858</v>
      </c>
      <c r="AD21" s="165">
        <f t="shared" si="3"/>
        <v>-1.1122345803842304E-2</v>
      </c>
    </row>
    <row r="22" spans="1:30" x14ac:dyDescent="0.25">
      <c r="V22" s="119">
        <v>42391</v>
      </c>
      <c r="W22" s="123">
        <v>30.12</v>
      </c>
      <c r="X22" s="123">
        <v>30.24</v>
      </c>
      <c r="Y22" s="123">
        <v>29.51</v>
      </c>
      <c r="Z22" s="123">
        <v>29.93</v>
      </c>
      <c r="AA22" s="121">
        <v>25326500</v>
      </c>
      <c r="AB22" s="120">
        <v>29.67</v>
      </c>
      <c r="AC22" s="2">
        <f t="shared" si="2"/>
        <v>0.72999999999999687</v>
      </c>
      <c r="AD22" s="165">
        <f t="shared" si="3"/>
        <v>9.1836734693877542E-3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42390</v>
      </c>
      <c r="W23" s="123">
        <v>29.65</v>
      </c>
      <c r="X23" s="123">
        <v>30.03</v>
      </c>
      <c r="Y23" s="123">
        <v>29.24</v>
      </c>
      <c r="Z23" s="123">
        <v>29.66</v>
      </c>
      <c r="AA23" s="121">
        <v>30157400</v>
      </c>
      <c r="AB23" s="120">
        <v>29.4</v>
      </c>
      <c r="AC23" s="2">
        <f t="shared" si="2"/>
        <v>0.7900000000000027</v>
      </c>
      <c r="AD23" s="165">
        <f t="shared" si="3"/>
        <v>2.3866348448686736E-3</v>
      </c>
    </row>
    <row r="24" spans="1:30" x14ac:dyDescent="0.25">
      <c r="V24" s="119">
        <v>42389</v>
      </c>
      <c r="W24" s="123">
        <v>29.35</v>
      </c>
      <c r="X24" s="123">
        <v>29.87</v>
      </c>
      <c r="Y24" s="123">
        <v>29.21</v>
      </c>
      <c r="Z24" s="123">
        <v>29.59</v>
      </c>
      <c r="AA24" s="121">
        <v>39598200</v>
      </c>
      <c r="AB24" s="120">
        <v>29.33</v>
      </c>
      <c r="AC24" s="2">
        <f t="shared" si="2"/>
        <v>0.66000000000000014</v>
      </c>
      <c r="AD24" s="165">
        <f t="shared" si="3"/>
        <v>-7.1090047393365108E-3</v>
      </c>
    </row>
    <row r="25" spans="1:30" x14ac:dyDescent="0.25">
      <c r="B25" s="246" t="s">
        <v>122</v>
      </c>
      <c r="C25" s="246" t="s">
        <v>189</v>
      </c>
      <c r="D25" s="247" t="s">
        <v>188</v>
      </c>
      <c r="E25" s="249" t="s">
        <v>190</v>
      </c>
      <c r="F25" s="250" t="s">
        <v>65</v>
      </c>
      <c r="G25" s="294" t="s">
        <v>195</v>
      </c>
      <c r="V25" s="119">
        <v>42388</v>
      </c>
      <c r="W25" s="123">
        <v>29.98</v>
      </c>
      <c r="X25" s="123">
        <v>30.06</v>
      </c>
      <c r="Y25" s="123">
        <v>29.48</v>
      </c>
      <c r="Z25" s="123">
        <v>29.8</v>
      </c>
      <c r="AA25" s="121">
        <v>28878100</v>
      </c>
      <c r="AB25" s="120">
        <v>29.54</v>
      </c>
      <c r="AC25" s="2">
        <f t="shared" si="2"/>
        <v>0.57999999999999829</v>
      </c>
      <c r="AD25" s="165">
        <f t="shared" si="3"/>
        <v>1.3559322033898091E-3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42384</v>
      </c>
      <c r="W26" s="123">
        <v>29.73</v>
      </c>
      <c r="X26" s="123">
        <v>30.5</v>
      </c>
      <c r="Y26" s="123">
        <v>29.45</v>
      </c>
      <c r="Z26" s="123">
        <v>29.76</v>
      </c>
      <c r="AA26" s="121">
        <v>76373900</v>
      </c>
      <c r="AB26" s="120">
        <v>29.5</v>
      </c>
      <c r="AC26" s="2">
        <f t="shared" si="2"/>
        <v>1.0500000000000007</v>
      </c>
      <c r="AD26" s="165">
        <f t="shared" si="3"/>
        <v>-9.0909090909090939E-2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42383</v>
      </c>
      <c r="W27" s="123">
        <v>31.97</v>
      </c>
      <c r="X27" s="123">
        <v>32.869999999999997</v>
      </c>
      <c r="Y27" s="123">
        <v>31.8</v>
      </c>
      <c r="Z27" s="123">
        <v>32.74</v>
      </c>
      <c r="AA27" s="121">
        <v>48728200</v>
      </c>
      <c r="AB27" s="120">
        <v>32.450000000000003</v>
      </c>
      <c r="AC27" s="2">
        <f t="shared" si="2"/>
        <v>1.0699999999999967</v>
      </c>
      <c r="AD27" s="165">
        <f t="shared" si="3"/>
        <v>2.5924754979449904E-2</v>
      </c>
    </row>
    <row r="28" spans="1:30" x14ac:dyDescent="0.25">
      <c r="B28" s="12"/>
      <c r="C28" s="12"/>
      <c r="D28" s="53"/>
      <c r="E28" s="53"/>
      <c r="F28" s="53"/>
      <c r="G28" s="53"/>
      <c r="V28" s="119">
        <v>42382</v>
      </c>
      <c r="W28" s="123">
        <v>32.76</v>
      </c>
      <c r="X28" s="123">
        <v>32.93</v>
      </c>
      <c r="Y28" s="123">
        <v>31.83</v>
      </c>
      <c r="Z28" s="123">
        <v>31.91</v>
      </c>
      <c r="AA28" s="121">
        <v>34445700</v>
      </c>
      <c r="AB28" s="120">
        <v>31.63</v>
      </c>
      <c r="AC28" s="2">
        <f t="shared" si="2"/>
        <v>1.1000000000000014</v>
      </c>
      <c r="AD28" s="165">
        <f t="shared" si="3"/>
        <v>-2.3464032108675537E-2</v>
      </c>
    </row>
    <row r="29" spans="1:30" x14ac:dyDescent="0.25">
      <c r="B29" s="12"/>
      <c r="C29" s="12"/>
      <c r="D29" s="53"/>
      <c r="E29" s="53"/>
      <c r="F29" s="53"/>
      <c r="G29" s="53"/>
      <c r="V29" s="119">
        <v>42381</v>
      </c>
      <c r="W29" s="123">
        <v>32.76</v>
      </c>
      <c r="X29" s="123">
        <v>32.89</v>
      </c>
      <c r="Y29" s="123">
        <v>32.270000000000003</v>
      </c>
      <c r="Z29" s="123">
        <v>32.68</v>
      </c>
      <c r="AA29" s="121">
        <v>28587700</v>
      </c>
      <c r="AB29" s="120">
        <v>32.39</v>
      </c>
      <c r="AC29" s="2">
        <f t="shared" si="2"/>
        <v>0.61999999999999744</v>
      </c>
      <c r="AD29" s="165">
        <f t="shared" si="3"/>
        <v>1.919446192573937E-2</v>
      </c>
    </row>
    <row r="30" spans="1:30" x14ac:dyDescent="0.25">
      <c r="B30" s="12"/>
      <c r="C30" s="12"/>
      <c r="D30" s="53"/>
      <c r="E30" s="53"/>
      <c r="F30" s="53"/>
      <c r="G30" s="53"/>
      <c r="V30" s="119">
        <v>42380</v>
      </c>
      <c r="W30" s="123">
        <v>31.81</v>
      </c>
      <c r="X30" s="123">
        <v>32.22</v>
      </c>
      <c r="Y30" s="123">
        <v>31.68</v>
      </c>
      <c r="Z30" s="123">
        <v>32.06</v>
      </c>
      <c r="AA30" s="121">
        <v>27732400</v>
      </c>
      <c r="AB30" s="120">
        <v>31.78</v>
      </c>
      <c r="AC30" s="2">
        <f t="shared" si="2"/>
        <v>0.53999999999999915</v>
      </c>
      <c r="AD30" s="165">
        <f t="shared" si="3"/>
        <v>1.7285531370038409E-2</v>
      </c>
    </row>
    <row r="31" spans="1:30" x14ac:dyDescent="0.25">
      <c r="B31" s="12"/>
      <c r="C31" s="12"/>
      <c r="D31" s="53"/>
      <c r="E31" s="53"/>
      <c r="F31" s="53"/>
      <c r="G31" s="53"/>
      <c r="V31" s="119">
        <v>42377</v>
      </c>
      <c r="W31" s="123">
        <v>32.090000000000003</v>
      </c>
      <c r="X31" s="123">
        <v>32.22</v>
      </c>
      <c r="Y31" s="123">
        <v>31.43</v>
      </c>
      <c r="Z31" s="123">
        <v>31.51</v>
      </c>
      <c r="AA31" s="121">
        <v>29953800</v>
      </c>
      <c r="AB31" s="120">
        <v>31.24</v>
      </c>
      <c r="AC31" s="2">
        <f t="shared" si="2"/>
        <v>0.78999999999999915</v>
      </c>
      <c r="AD31" s="165">
        <f t="shared" si="3"/>
        <v>-1.0139416983523497E-2</v>
      </c>
    </row>
    <row r="32" spans="1:30" x14ac:dyDescent="0.25">
      <c r="B32" s="12"/>
      <c r="C32" s="12"/>
      <c r="D32" s="53"/>
      <c r="E32" s="53"/>
      <c r="F32" s="53"/>
      <c r="G32" s="53"/>
      <c r="V32" s="119">
        <v>42376</v>
      </c>
      <c r="W32" s="123">
        <v>32.28</v>
      </c>
      <c r="X32" s="123">
        <v>33.01</v>
      </c>
      <c r="Y32" s="123">
        <v>31.84</v>
      </c>
      <c r="Z32" s="123">
        <v>31.84</v>
      </c>
      <c r="AA32" s="121">
        <v>37680500</v>
      </c>
      <c r="AB32" s="120">
        <v>31.56</v>
      </c>
      <c r="AC32" s="2">
        <f t="shared" si="2"/>
        <v>1.1699999999999982</v>
      </c>
      <c r="AD32" s="165">
        <f t="shared" si="3"/>
        <v>-3.7511436413540711E-2</v>
      </c>
    </row>
    <row r="33" spans="2:30" x14ac:dyDescent="0.25">
      <c r="B33" s="12"/>
      <c r="C33" s="12"/>
      <c r="D33" s="53"/>
      <c r="E33" s="53"/>
      <c r="F33" s="53"/>
      <c r="G33" s="53"/>
      <c r="V33" s="119">
        <v>42375</v>
      </c>
      <c r="W33" s="123">
        <v>33.25</v>
      </c>
      <c r="X33" s="123">
        <v>33.520000000000003</v>
      </c>
      <c r="Y33" s="123">
        <v>32.799999999999997</v>
      </c>
      <c r="Z33" s="123">
        <v>33.08</v>
      </c>
      <c r="AA33" s="121">
        <v>25491300</v>
      </c>
      <c r="AB33" s="120">
        <v>32.79</v>
      </c>
      <c r="AC33" s="2">
        <f t="shared" si="2"/>
        <v>0.72000000000000597</v>
      </c>
      <c r="AD33" s="165">
        <f t="shared" si="3"/>
        <v>-2.2069788249329036E-2</v>
      </c>
    </row>
    <row r="34" spans="2:30" x14ac:dyDescent="0.25">
      <c r="B34" s="12"/>
      <c r="C34" s="12"/>
      <c r="D34" s="53"/>
      <c r="E34" s="53"/>
      <c r="F34" s="53"/>
      <c r="G34" s="53"/>
      <c r="V34" s="119">
        <v>42374</v>
      </c>
      <c r="W34" s="123">
        <v>33.96</v>
      </c>
      <c r="X34" s="123">
        <v>34</v>
      </c>
      <c r="Y34" s="123">
        <v>33.53</v>
      </c>
      <c r="Z34" s="123">
        <v>33.83</v>
      </c>
      <c r="AA34" s="121">
        <v>16709500</v>
      </c>
      <c r="AB34" s="120">
        <v>33.53</v>
      </c>
      <c r="AC34" s="2">
        <f t="shared" si="2"/>
        <v>0.46999999999999886</v>
      </c>
      <c r="AD34" s="165">
        <f t="shared" si="3"/>
        <v>-4.7491837340456478E-3</v>
      </c>
    </row>
    <row r="35" spans="2:30" x14ac:dyDescent="0.25">
      <c r="B35" s="12"/>
      <c r="C35" s="12"/>
      <c r="D35" s="53"/>
      <c r="E35" s="53"/>
      <c r="F35" s="53"/>
      <c r="G35" s="53"/>
      <c r="V35" s="119">
        <v>42373</v>
      </c>
      <c r="W35" s="123">
        <v>33.880000000000003</v>
      </c>
      <c r="X35" s="123">
        <v>34.01</v>
      </c>
      <c r="Y35" s="123">
        <v>33.46</v>
      </c>
      <c r="Z35" s="123">
        <v>33.99</v>
      </c>
      <c r="AA35" s="121">
        <v>27882200</v>
      </c>
      <c r="AB35" s="120">
        <v>33.69</v>
      </c>
      <c r="AC35" s="2">
        <f t="shared" si="2"/>
        <v>0.54999999999999716</v>
      </c>
      <c r="AD35" s="165">
        <f t="shared" si="3"/>
        <v>-1.3469985358711578E-2</v>
      </c>
    </row>
    <row r="36" spans="2:30" x14ac:dyDescent="0.25">
      <c r="V36" s="119">
        <v>42369</v>
      </c>
      <c r="W36" s="123">
        <v>34.82</v>
      </c>
      <c r="X36" s="123">
        <v>34.96</v>
      </c>
      <c r="Y36" s="123">
        <v>34.44</v>
      </c>
      <c r="Z36" s="123">
        <v>34.450000000000003</v>
      </c>
      <c r="AA36" s="121">
        <v>14736700</v>
      </c>
      <c r="AB36" s="120">
        <v>34.15</v>
      </c>
      <c r="AC36" s="2">
        <f t="shared" si="2"/>
        <v>0.52000000000000313</v>
      </c>
      <c r="AD36" s="165">
        <f t="shared" si="3"/>
        <v>-1.5282583621683998E-2</v>
      </c>
    </row>
    <row r="37" spans="2:30" x14ac:dyDescent="0.25">
      <c r="V37" s="119">
        <v>42368</v>
      </c>
      <c r="W37" s="123">
        <v>35.380000000000003</v>
      </c>
      <c r="X37" s="123">
        <v>35.450000000000003</v>
      </c>
      <c r="Y37" s="123">
        <v>34.950000000000003</v>
      </c>
      <c r="Z37" s="123">
        <v>34.99</v>
      </c>
      <c r="AA37" s="121">
        <v>11566800</v>
      </c>
      <c r="AB37" s="120">
        <v>34.68</v>
      </c>
      <c r="AC37" s="2">
        <f t="shared" si="2"/>
        <v>0.5</v>
      </c>
      <c r="AD37" s="165">
        <f t="shared" si="3"/>
        <v>-1.2809564474807966E-2</v>
      </c>
    </row>
    <row r="38" spans="2:30" x14ac:dyDescent="0.25">
      <c r="V38" s="119">
        <v>42367</v>
      </c>
      <c r="W38" s="123">
        <v>35.01</v>
      </c>
      <c r="X38" s="123">
        <v>35.590000000000003</v>
      </c>
      <c r="Y38" s="123">
        <v>35.01</v>
      </c>
      <c r="Z38" s="123">
        <v>35.44</v>
      </c>
      <c r="AA38" s="121">
        <v>14188600</v>
      </c>
      <c r="AB38" s="120">
        <v>35.130000000000003</v>
      </c>
      <c r="AC38" s="2">
        <f t="shared" si="2"/>
        <v>0.5800000000000054</v>
      </c>
      <c r="AD38" s="165">
        <f t="shared" si="3"/>
        <v>1.4438348252959754E-2</v>
      </c>
    </row>
    <row r="39" spans="2:30" x14ac:dyDescent="0.25">
      <c r="V39" s="119">
        <v>42366</v>
      </c>
      <c r="W39" s="123">
        <v>34.950000000000003</v>
      </c>
      <c r="X39" s="123">
        <v>35</v>
      </c>
      <c r="Y39" s="123">
        <v>34.57</v>
      </c>
      <c r="Z39" s="123">
        <v>34.93</v>
      </c>
      <c r="AA39" s="121">
        <v>9449400</v>
      </c>
      <c r="AB39" s="120">
        <v>34.630000000000003</v>
      </c>
      <c r="AC39" s="2">
        <f t="shared" si="2"/>
        <v>0.42999999999999972</v>
      </c>
      <c r="AD39" s="165">
        <f t="shared" si="3"/>
        <v>-1.1537352177675153E-3</v>
      </c>
    </row>
    <row r="40" spans="2:30" ht="20.25" thickBot="1" x14ac:dyDescent="0.35">
      <c r="O40" s="389" t="s">
        <v>78</v>
      </c>
      <c r="P40" s="389"/>
      <c r="S40" s="111" t="s">
        <v>121</v>
      </c>
      <c r="V40" s="119">
        <v>42362</v>
      </c>
      <c r="W40" s="123">
        <v>35.07</v>
      </c>
      <c r="X40" s="123">
        <v>35.26</v>
      </c>
      <c r="Y40" s="123">
        <v>34.96</v>
      </c>
      <c r="Z40" s="123">
        <v>34.979999999999997</v>
      </c>
      <c r="AA40" s="121">
        <v>5893800</v>
      </c>
      <c r="AB40" s="120">
        <v>34.67</v>
      </c>
      <c r="AC40" s="2">
        <f t="shared" si="2"/>
        <v>0.29999999999999716</v>
      </c>
      <c r="AD40" s="165">
        <f t="shared" si="3"/>
        <v>-5.7653502450261129E-4</v>
      </c>
    </row>
    <row r="41" spans="2:30" ht="15.75" thickTop="1" x14ac:dyDescent="0.25">
      <c r="O41" s="103">
        <v>1.1000000000000001</v>
      </c>
      <c r="P41" s="103">
        <f>O41*$Q$4</f>
        <v>31.581000000000003</v>
      </c>
      <c r="Q41" s="2"/>
      <c r="S41" s="117" t="s">
        <v>106</v>
      </c>
      <c r="T41" s="118">
        <v>29.42</v>
      </c>
      <c r="V41" s="119">
        <v>42361</v>
      </c>
      <c r="W41" s="123">
        <v>34.950000000000003</v>
      </c>
      <c r="X41" s="123">
        <v>35.049999999999997</v>
      </c>
      <c r="Y41" s="123">
        <v>34.78</v>
      </c>
      <c r="Z41" s="123">
        <v>35</v>
      </c>
      <c r="AA41" s="121">
        <v>12526500</v>
      </c>
      <c r="AB41" s="120">
        <v>34.69</v>
      </c>
      <c r="AC41" s="2">
        <f t="shared" si="2"/>
        <v>0.26999999999999602</v>
      </c>
      <c r="AD41" s="165">
        <f t="shared" si="3"/>
        <v>7.5515538774324487E-3</v>
      </c>
    </row>
    <row r="42" spans="2:30" x14ac:dyDescent="0.25">
      <c r="O42" s="103">
        <v>1.0900000000000001</v>
      </c>
      <c r="P42" s="103">
        <f t="shared" ref="P42:P61" si="4">O42*$Q$4</f>
        <v>31.293900000000004</v>
      </c>
      <c r="Q42" s="2"/>
      <c r="S42" s="107" t="s">
        <v>107</v>
      </c>
      <c r="T42" s="108">
        <v>29.2</v>
      </c>
      <c r="V42" s="119">
        <v>42360</v>
      </c>
      <c r="W42" s="123">
        <v>34.36</v>
      </c>
      <c r="X42" s="123">
        <v>34.78</v>
      </c>
      <c r="Y42" s="123">
        <v>34.270000000000003</v>
      </c>
      <c r="Z42" s="123">
        <v>34.729999999999997</v>
      </c>
      <c r="AA42" s="121">
        <v>18422000</v>
      </c>
      <c r="AB42" s="120">
        <v>34.43</v>
      </c>
      <c r="AC42" s="2">
        <f t="shared" si="2"/>
        <v>0.50999999999999801</v>
      </c>
      <c r="AD42" s="165">
        <f t="shared" si="3"/>
        <v>1.4437242192103739E-2</v>
      </c>
    </row>
    <row r="43" spans="2:30" x14ac:dyDescent="0.25">
      <c r="O43" s="103">
        <v>1.08</v>
      </c>
      <c r="P43" s="103">
        <f t="shared" si="4"/>
        <v>31.006800000000002</v>
      </c>
      <c r="Q43" s="2"/>
      <c r="S43" s="107" t="s">
        <v>108</v>
      </c>
      <c r="T43" s="108" t="s">
        <v>347</v>
      </c>
      <c r="V43" s="119">
        <v>42359</v>
      </c>
      <c r="W43" s="123">
        <v>34.11</v>
      </c>
      <c r="X43" s="123">
        <v>34.299999999999997</v>
      </c>
      <c r="Y43" s="123">
        <v>33.82</v>
      </c>
      <c r="Z43" s="123">
        <v>34.24</v>
      </c>
      <c r="AA43" s="121">
        <v>18006800</v>
      </c>
      <c r="AB43" s="120">
        <v>33.94</v>
      </c>
      <c r="AC43" s="2">
        <f t="shared" si="2"/>
        <v>0.47999999999999687</v>
      </c>
      <c r="AD43" s="165">
        <f t="shared" si="3"/>
        <v>1.1021745606195843E-2</v>
      </c>
    </row>
    <row r="44" spans="2:30" x14ac:dyDescent="0.25">
      <c r="O44" s="103">
        <v>1.07</v>
      </c>
      <c r="P44" s="103">
        <f t="shared" si="4"/>
        <v>30.719700000000003</v>
      </c>
      <c r="Q44" s="2"/>
      <c r="S44" s="107" t="s">
        <v>109</v>
      </c>
      <c r="T44" s="108" t="s">
        <v>348</v>
      </c>
      <c r="V44" s="119">
        <v>42356</v>
      </c>
      <c r="W44" s="123">
        <v>34.729999999999997</v>
      </c>
      <c r="X44" s="123">
        <v>34.75</v>
      </c>
      <c r="Y44" s="123">
        <v>33.86</v>
      </c>
      <c r="Z44" s="123">
        <v>33.869999999999997</v>
      </c>
      <c r="AA44" s="121">
        <v>41336600</v>
      </c>
      <c r="AB44" s="120">
        <v>33.57</v>
      </c>
      <c r="AC44" s="2">
        <f t="shared" si="2"/>
        <v>0.89000000000000057</v>
      </c>
      <c r="AD44" s="165">
        <f t="shared" si="3"/>
        <v>-3.0049118751805826E-2</v>
      </c>
    </row>
    <row r="45" spans="2:30" x14ac:dyDescent="0.25">
      <c r="O45" s="103">
        <v>1.06</v>
      </c>
      <c r="P45" s="103">
        <f t="shared" si="4"/>
        <v>30.432600000000001</v>
      </c>
      <c r="Q45" s="2"/>
      <c r="S45" s="107" t="s">
        <v>110</v>
      </c>
      <c r="T45" s="108">
        <v>36.049999999999997</v>
      </c>
      <c r="V45" s="119">
        <v>42355</v>
      </c>
      <c r="W45" s="123">
        <v>35.32</v>
      </c>
      <c r="X45" s="123">
        <v>35.369999999999997</v>
      </c>
      <c r="Y45" s="123">
        <v>34.76</v>
      </c>
      <c r="Z45" s="123">
        <v>34.909999999999997</v>
      </c>
      <c r="AA45" s="121">
        <v>24963600</v>
      </c>
      <c r="AB45" s="120">
        <v>34.61</v>
      </c>
      <c r="AC45" s="2">
        <f t="shared" si="2"/>
        <v>0.60999999999999943</v>
      </c>
      <c r="AD45" s="165">
        <f t="shared" si="3"/>
        <v>-1.0860245784509948E-2</v>
      </c>
    </row>
    <row r="46" spans="2:30" x14ac:dyDescent="0.25">
      <c r="O46" s="103">
        <v>1.05</v>
      </c>
      <c r="P46" s="103">
        <f t="shared" si="4"/>
        <v>30.145500000000002</v>
      </c>
      <c r="Q46" s="2"/>
      <c r="S46" s="107" t="s">
        <v>111</v>
      </c>
      <c r="T46" s="108">
        <v>1.01572</v>
      </c>
      <c r="V46" s="119">
        <v>42354</v>
      </c>
      <c r="W46" s="123">
        <v>35.36</v>
      </c>
      <c r="X46" s="123">
        <v>35.47</v>
      </c>
      <c r="Y46" s="123">
        <v>34.770000000000003</v>
      </c>
      <c r="Z46" s="123">
        <v>35.299999999999997</v>
      </c>
      <c r="AA46" s="121">
        <v>23257900</v>
      </c>
      <c r="AB46" s="120">
        <v>34.99</v>
      </c>
      <c r="AC46" s="2">
        <f t="shared" si="2"/>
        <v>0.69999999999999574</v>
      </c>
      <c r="AD46" s="165">
        <f t="shared" si="3"/>
        <v>3.4413535990824862E-3</v>
      </c>
    </row>
    <row r="47" spans="2:30" x14ac:dyDescent="0.25">
      <c r="O47" s="103">
        <v>1.04</v>
      </c>
      <c r="P47" s="103">
        <f t="shared" si="4"/>
        <v>29.858400000000003</v>
      </c>
      <c r="Q47" s="2"/>
      <c r="S47" s="107" t="s">
        <v>112</v>
      </c>
      <c r="T47" s="109" t="s">
        <v>284</v>
      </c>
      <c r="V47" s="119">
        <v>42353</v>
      </c>
      <c r="W47" s="123">
        <v>34.65</v>
      </c>
      <c r="X47" s="123">
        <v>35.35</v>
      </c>
      <c r="Y47" s="123">
        <v>34.64</v>
      </c>
      <c r="Z47" s="123">
        <v>35.18</v>
      </c>
      <c r="AA47" s="121">
        <v>24051300</v>
      </c>
      <c r="AB47" s="120">
        <v>34.869999999999997</v>
      </c>
      <c r="AC47" s="2">
        <f t="shared" si="2"/>
        <v>0.71000000000000085</v>
      </c>
      <c r="AD47" s="165">
        <f t="shared" si="3"/>
        <v>2.0485806262803496E-2</v>
      </c>
    </row>
    <row r="48" spans="2:30" x14ac:dyDescent="0.25">
      <c r="O48" s="103">
        <v>1.03</v>
      </c>
      <c r="P48" s="103">
        <f t="shared" si="4"/>
        <v>29.571300000000001</v>
      </c>
      <c r="Q48" s="2"/>
      <c r="S48" s="107"/>
      <c r="T48" s="108"/>
      <c r="V48" s="119">
        <v>42352</v>
      </c>
      <c r="W48" s="123">
        <v>34.380000000000003</v>
      </c>
      <c r="X48" s="123">
        <v>34.479999999999997</v>
      </c>
      <c r="Y48" s="123">
        <v>33.880000000000003</v>
      </c>
      <c r="Z48" s="123">
        <v>34.47</v>
      </c>
      <c r="AA48" s="121">
        <v>19357100</v>
      </c>
      <c r="AB48" s="120">
        <v>34.17</v>
      </c>
      <c r="AC48" s="2">
        <f t="shared" si="2"/>
        <v>0.59999999999999432</v>
      </c>
      <c r="AD48" s="165">
        <f t="shared" si="3"/>
        <v>5.887547836326279E-3</v>
      </c>
    </row>
    <row r="49" spans="15:30" x14ac:dyDescent="0.25">
      <c r="O49" s="103">
        <v>1.02</v>
      </c>
      <c r="P49" s="103">
        <f t="shared" si="4"/>
        <v>29.284200000000002</v>
      </c>
      <c r="Q49" s="2"/>
      <c r="S49" s="107" t="s">
        <v>113</v>
      </c>
      <c r="T49" s="108" t="s">
        <v>349</v>
      </c>
      <c r="V49" s="119">
        <v>42349</v>
      </c>
      <c r="W49" s="123">
        <v>34.31</v>
      </c>
      <c r="X49" s="123">
        <v>34.65</v>
      </c>
      <c r="Y49" s="123">
        <v>34.200000000000003</v>
      </c>
      <c r="Z49" s="123">
        <v>34.270000000000003</v>
      </c>
      <c r="AA49" s="121">
        <v>21251400</v>
      </c>
      <c r="AB49" s="120">
        <v>33.97</v>
      </c>
      <c r="AC49" s="2">
        <f t="shared" si="2"/>
        <v>0.44999999999999574</v>
      </c>
      <c r="AD49" s="165">
        <f t="shared" si="3"/>
        <v>-1.4505366985784751E-2</v>
      </c>
    </row>
    <row r="50" spans="15:30" x14ac:dyDescent="0.25">
      <c r="O50" s="103">
        <v>1.01</v>
      </c>
      <c r="P50" s="103">
        <f t="shared" si="4"/>
        <v>28.9971</v>
      </c>
      <c r="Q50" s="2"/>
      <c r="S50" s="107" t="s">
        <v>114</v>
      </c>
      <c r="T50" s="108" t="s">
        <v>285</v>
      </c>
      <c r="V50" s="119">
        <v>42348</v>
      </c>
      <c r="W50" s="123">
        <v>34.85</v>
      </c>
      <c r="X50" s="123">
        <v>35.07</v>
      </c>
      <c r="Y50" s="123">
        <v>34.659999999999997</v>
      </c>
      <c r="Z50" s="123">
        <v>34.770000000000003</v>
      </c>
      <c r="AA50" s="121">
        <v>17400700</v>
      </c>
      <c r="AB50" s="120">
        <v>34.47</v>
      </c>
      <c r="AC50" s="2">
        <f t="shared" si="2"/>
        <v>0.41000000000000369</v>
      </c>
      <c r="AD50" s="165">
        <f t="shared" si="3"/>
        <v>-1.1590843233845183E-3</v>
      </c>
    </row>
    <row r="51" spans="15:30" x14ac:dyDescent="0.25">
      <c r="O51" s="103">
        <v>1</v>
      </c>
      <c r="P51" s="103">
        <f t="shared" si="4"/>
        <v>28.71</v>
      </c>
      <c r="Q51" s="2"/>
      <c r="S51" s="107" t="s">
        <v>115</v>
      </c>
      <c r="T51" s="110">
        <v>42056701</v>
      </c>
      <c r="V51" s="119">
        <v>42347</v>
      </c>
      <c r="W51" s="123">
        <v>34.880000000000003</v>
      </c>
      <c r="X51" s="123">
        <v>35.22</v>
      </c>
      <c r="Y51" s="123">
        <v>34.51</v>
      </c>
      <c r="Z51" s="123">
        <v>34.81</v>
      </c>
      <c r="AA51" s="121">
        <v>22548300</v>
      </c>
      <c r="AB51" s="120">
        <v>34.51</v>
      </c>
      <c r="AC51" s="2">
        <f t="shared" si="2"/>
        <v>0.71000000000000085</v>
      </c>
      <c r="AD51" s="165">
        <f t="shared" si="3"/>
        <v>1.7416545718431653E-3</v>
      </c>
    </row>
    <row r="52" spans="15:30" x14ac:dyDescent="0.25">
      <c r="O52" s="103">
        <v>0.99</v>
      </c>
      <c r="P52" s="103">
        <f t="shared" si="4"/>
        <v>28.422900000000002</v>
      </c>
      <c r="Q52" s="2"/>
      <c r="S52" s="107" t="s">
        <v>118</v>
      </c>
      <c r="T52" s="110">
        <v>25662900</v>
      </c>
      <c r="V52" s="119">
        <v>42346</v>
      </c>
      <c r="W52" s="123">
        <v>34.67</v>
      </c>
      <c r="X52" s="123">
        <v>34.950000000000003</v>
      </c>
      <c r="Y52" s="123">
        <v>34.42</v>
      </c>
      <c r="Z52" s="123">
        <v>34.75</v>
      </c>
      <c r="AA52" s="121">
        <v>13380200</v>
      </c>
      <c r="AB52" s="120">
        <v>34.450000000000003</v>
      </c>
      <c r="AC52" s="2">
        <f t="shared" si="2"/>
        <v>0.53000000000000114</v>
      </c>
      <c r="AD52" s="165">
        <f t="shared" si="3"/>
        <v>-6.6320645905419973E-3</v>
      </c>
    </row>
    <row r="53" spans="15:30" x14ac:dyDescent="0.25">
      <c r="O53" s="103">
        <v>0.98</v>
      </c>
      <c r="P53" s="103">
        <f t="shared" si="4"/>
        <v>28.1358</v>
      </c>
      <c r="Q53" s="2"/>
      <c r="S53" s="107" t="s">
        <v>116</v>
      </c>
      <c r="T53" s="108" t="s">
        <v>350</v>
      </c>
      <c r="V53" s="119">
        <v>42345</v>
      </c>
      <c r="W53" s="123">
        <v>34.79</v>
      </c>
      <c r="X53" s="123">
        <v>35.17</v>
      </c>
      <c r="Y53" s="123">
        <v>34.75</v>
      </c>
      <c r="Z53" s="123">
        <v>34.99</v>
      </c>
      <c r="AA53" s="121">
        <v>17731900</v>
      </c>
      <c r="AB53" s="120">
        <v>34.68</v>
      </c>
      <c r="AC53" s="2">
        <f t="shared" si="2"/>
        <v>0.42000000000000171</v>
      </c>
      <c r="AD53" s="165">
        <f t="shared" si="3"/>
        <v>1.1547344110853786E-3</v>
      </c>
    </row>
    <row r="54" spans="15:30" x14ac:dyDescent="0.25">
      <c r="O54" s="103">
        <v>0.97</v>
      </c>
      <c r="P54" s="103">
        <f t="shared" si="4"/>
        <v>27.848700000000001</v>
      </c>
      <c r="S54" s="107" t="s">
        <v>119</v>
      </c>
      <c r="T54" s="108">
        <v>12.32</v>
      </c>
      <c r="V54" s="119">
        <v>42342</v>
      </c>
      <c r="W54" s="123">
        <v>34.11</v>
      </c>
      <c r="X54" s="123">
        <v>35.03</v>
      </c>
      <c r="Y54" s="123">
        <v>34</v>
      </c>
      <c r="Z54" s="123">
        <v>34.94</v>
      </c>
      <c r="AA54" s="121">
        <v>24901000</v>
      </c>
      <c r="AB54" s="120">
        <v>34.64</v>
      </c>
      <c r="AC54" s="2">
        <f t="shared" si="2"/>
        <v>1.0300000000000011</v>
      </c>
      <c r="AD54" s="165">
        <f t="shared" si="3"/>
        <v>2.6674570243034879E-2</v>
      </c>
    </row>
    <row r="55" spans="15:30" x14ac:dyDescent="0.25">
      <c r="O55" s="103">
        <v>0.96</v>
      </c>
      <c r="P55" s="103">
        <f t="shared" si="4"/>
        <v>27.561599999999999</v>
      </c>
      <c r="S55" s="107" t="s">
        <v>120</v>
      </c>
      <c r="T55" s="108">
        <v>2.33</v>
      </c>
      <c r="V55" s="119">
        <v>42341</v>
      </c>
      <c r="W55" s="123">
        <v>34.97</v>
      </c>
      <c r="X55" s="123">
        <v>34.99</v>
      </c>
      <c r="Y55" s="123">
        <v>34</v>
      </c>
      <c r="Z55" s="123">
        <v>34.04</v>
      </c>
      <c r="AA55" s="121">
        <v>30131100</v>
      </c>
      <c r="AB55" s="120">
        <v>33.74</v>
      </c>
      <c r="AC55" s="2">
        <f t="shared" si="2"/>
        <v>0.99000000000000199</v>
      </c>
      <c r="AD55" s="165">
        <f t="shared" si="3"/>
        <v>-2.2878656240949868E-2</v>
      </c>
    </row>
    <row r="56" spans="15:30" x14ac:dyDescent="0.25">
      <c r="O56" s="103">
        <v>0.95</v>
      </c>
      <c r="P56" s="103">
        <f t="shared" si="4"/>
        <v>27.2745</v>
      </c>
      <c r="S56" s="107" t="s">
        <v>117</v>
      </c>
      <c r="T56" s="108" t="s">
        <v>351</v>
      </c>
      <c r="V56" s="119">
        <v>42340</v>
      </c>
      <c r="W56" s="123">
        <v>35.090000000000003</v>
      </c>
      <c r="X56" s="123">
        <v>35.409999999999997</v>
      </c>
      <c r="Y56" s="123">
        <v>34.81</v>
      </c>
      <c r="Z56" s="123">
        <v>34.83</v>
      </c>
      <c r="AA56" s="121">
        <v>18688200</v>
      </c>
      <c r="AB56" s="120">
        <v>34.53</v>
      </c>
      <c r="AC56" s="2">
        <f t="shared" si="2"/>
        <v>0.59999999999999432</v>
      </c>
      <c r="AD56" s="165">
        <f t="shared" si="3"/>
        <v>-7.1880391029327528E-3</v>
      </c>
    </row>
    <row r="57" spans="15:30" x14ac:dyDescent="0.25">
      <c r="O57" s="103">
        <v>0.94</v>
      </c>
      <c r="P57" s="103">
        <f t="shared" si="4"/>
        <v>26.987400000000001</v>
      </c>
      <c r="V57" s="119">
        <v>42339</v>
      </c>
      <c r="W57" s="123">
        <v>35</v>
      </c>
      <c r="X57" s="123">
        <v>35.200000000000003</v>
      </c>
      <c r="Y57" s="123">
        <v>34.71</v>
      </c>
      <c r="Z57" s="123">
        <v>35.090000000000003</v>
      </c>
      <c r="AA57" s="121">
        <v>23560200</v>
      </c>
      <c r="AB57" s="120">
        <v>34.78</v>
      </c>
      <c r="AC57" s="2">
        <f t="shared" si="2"/>
        <v>0.49000000000000199</v>
      </c>
      <c r="AD57" s="165">
        <f t="shared" si="3"/>
        <v>8.9933275311866456E-3</v>
      </c>
    </row>
    <row r="58" spans="15:30" x14ac:dyDescent="0.25">
      <c r="O58" s="103">
        <v>0.93</v>
      </c>
      <c r="P58" s="103">
        <f t="shared" si="4"/>
        <v>26.700300000000002</v>
      </c>
      <c r="V58" s="119">
        <v>42338</v>
      </c>
      <c r="W58" s="123">
        <v>34.549999999999997</v>
      </c>
      <c r="X58" s="123">
        <v>34.9</v>
      </c>
      <c r="Y58" s="123">
        <v>34.43</v>
      </c>
      <c r="Z58" s="123">
        <v>34.770000000000003</v>
      </c>
      <c r="AA58" s="121">
        <v>21785800</v>
      </c>
      <c r="AB58" s="120">
        <v>34.47</v>
      </c>
      <c r="AC58" s="2">
        <f t="shared" si="2"/>
        <v>0.46999999999999886</v>
      </c>
      <c r="AD58" s="165">
        <f t="shared" si="3"/>
        <v>9.0749414519906146E-3</v>
      </c>
    </row>
    <row r="59" spans="15:30" x14ac:dyDescent="0.25">
      <c r="O59" s="103">
        <v>0.92</v>
      </c>
      <c r="P59" s="103">
        <f t="shared" si="4"/>
        <v>26.413200000000003</v>
      </c>
      <c r="V59" s="119">
        <v>42335</v>
      </c>
      <c r="W59" s="123">
        <v>34.54</v>
      </c>
      <c r="X59" s="123">
        <v>34.68</v>
      </c>
      <c r="Y59" s="123">
        <v>34.4</v>
      </c>
      <c r="Z59" s="123">
        <v>34.46</v>
      </c>
      <c r="AA59" s="121">
        <v>6620900</v>
      </c>
      <c r="AB59" s="120">
        <v>34.159999999999997</v>
      </c>
      <c r="AC59" s="2">
        <f t="shared" si="2"/>
        <v>0.28000000000000114</v>
      </c>
      <c r="AD59" s="165">
        <f t="shared" si="3"/>
        <v>2.9282576866762611E-4</v>
      </c>
    </row>
    <row r="60" spans="15:30" x14ac:dyDescent="0.25">
      <c r="O60" s="103">
        <v>0.91</v>
      </c>
      <c r="P60" s="103">
        <f t="shared" si="4"/>
        <v>26.126100000000001</v>
      </c>
      <c r="V60" s="119">
        <v>42333</v>
      </c>
      <c r="W60" s="123">
        <v>34.26</v>
      </c>
      <c r="X60" s="123">
        <v>34.74</v>
      </c>
      <c r="Y60" s="123">
        <v>34.14</v>
      </c>
      <c r="Z60" s="123">
        <v>34.450000000000003</v>
      </c>
      <c r="AA60" s="121">
        <v>17939400</v>
      </c>
      <c r="AB60" s="120">
        <v>34.15</v>
      </c>
      <c r="AC60" s="2">
        <f t="shared" si="2"/>
        <v>0.60000000000000142</v>
      </c>
      <c r="AD60" s="165">
        <f t="shared" si="3"/>
        <v>2.642395772166628E-3</v>
      </c>
    </row>
    <row r="61" spans="15:30" x14ac:dyDescent="0.25">
      <c r="O61" s="103">
        <v>0.9</v>
      </c>
      <c r="P61" s="103">
        <f t="shared" si="4"/>
        <v>25.839000000000002</v>
      </c>
      <c r="V61" s="119">
        <v>42332</v>
      </c>
      <c r="W61" s="123">
        <v>34.33</v>
      </c>
      <c r="X61" s="123">
        <v>34.44</v>
      </c>
      <c r="Y61" s="123">
        <v>33.9</v>
      </c>
      <c r="Z61" s="123">
        <v>34.36</v>
      </c>
      <c r="AA61" s="121">
        <v>21413500</v>
      </c>
      <c r="AB61" s="120">
        <v>34.06</v>
      </c>
      <c r="AC61" s="2">
        <f t="shared" si="2"/>
        <v>0.53999999999999915</v>
      </c>
      <c r="AD61" s="165">
        <f t="shared" si="3"/>
        <v>-3.510825043885224E-3</v>
      </c>
    </row>
    <row r="62" spans="15:30" x14ac:dyDescent="0.25">
      <c r="V62" s="119">
        <v>42331</v>
      </c>
      <c r="W62" s="123">
        <v>34.659999999999997</v>
      </c>
      <c r="X62" s="123">
        <v>34.85</v>
      </c>
      <c r="Y62" s="123">
        <v>34.409999999999997</v>
      </c>
      <c r="Z62" s="123">
        <v>34.479999999999997</v>
      </c>
      <c r="AA62" s="121">
        <v>20152900</v>
      </c>
      <c r="AB62" s="120">
        <v>34.18</v>
      </c>
      <c r="AC62" s="2">
        <f t="shared" si="2"/>
        <v>0.44000000000000483</v>
      </c>
      <c r="AD62" s="165">
        <f t="shared" si="3"/>
        <v>-5.2386495925494936E-3</v>
      </c>
    </row>
    <row r="63" spans="15:30" x14ac:dyDescent="0.25">
      <c r="V63" s="119">
        <v>42328</v>
      </c>
      <c r="W63" s="123">
        <v>34.479999999999997</v>
      </c>
      <c r="X63" s="123">
        <v>35.29</v>
      </c>
      <c r="Y63" s="123">
        <v>34.479999999999997</v>
      </c>
      <c r="Z63" s="123">
        <v>34.659999999999997</v>
      </c>
      <c r="AA63" s="121">
        <v>41137700</v>
      </c>
      <c r="AB63" s="120">
        <v>34.36</v>
      </c>
      <c r="AC63" s="2">
        <f t="shared" si="2"/>
        <v>0.81000000000000227</v>
      </c>
      <c r="AD63" s="165">
        <f t="shared" si="3"/>
        <v>1.0588235294117565E-2</v>
      </c>
    </row>
    <row r="64" spans="15:30" x14ac:dyDescent="0.25">
      <c r="V64" s="119">
        <v>42327</v>
      </c>
      <c r="W64" s="123">
        <v>33.22</v>
      </c>
      <c r="X64" s="123">
        <v>34.729999999999997</v>
      </c>
      <c r="Y64" s="123">
        <v>33.130000000000003</v>
      </c>
      <c r="Z64" s="123">
        <v>34.299999999999997</v>
      </c>
      <c r="AA64" s="121">
        <v>45381600</v>
      </c>
      <c r="AB64" s="120">
        <v>34</v>
      </c>
      <c r="AC64" s="2">
        <f t="shared" si="2"/>
        <v>1.5999999999999943</v>
      </c>
      <c r="AD64" s="165">
        <f t="shared" si="3"/>
        <v>3.4377852144813037E-2</v>
      </c>
    </row>
    <row r="65" spans="22:30" x14ac:dyDescent="0.25">
      <c r="V65" s="119">
        <v>42326</v>
      </c>
      <c r="W65" s="123">
        <v>32.729999999999997</v>
      </c>
      <c r="X65" s="123">
        <v>33.24</v>
      </c>
      <c r="Y65" s="123">
        <v>32.619999999999997</v>
      </c>
      <c r="Z65" s="123">
        <v>33.159999999999997</v>
      </c>
      <c r="AA65" s="121">
        <v>18619800</v>
      </c>
      <c r="AB65" s="120">
        <v>32.869999999999997</v>
      </c>
      <c r="AC65" s="2">
        <f t="shared" si="2"/>
        <v>0.62000000000000455</v>
      </c>
      <c r="AD65" s="165">
        <f t="shared" si="3"/>
        <v>1.5760197775030793E-2</v>
      </c>
    </row>
    <row r="66" spans="22:30" x14ac:dyDescent="0.25">
      <c r="V66" s="119">
        <v>42325</v>
      </c>
      <c r="W66" s="123">
        <v>32.15</v>
      </c>
      <c r="X66" s="123">
        <v>32.880000000000003</v>
      </c>
      <c r="Y66" s="123">
        <v>32.01</v>
      </c>
      <c r="Z66" s="123">
        <v>32.64</v>
      </c>
      <c r="AA66" s="121">
        <v>22636400</v>
      </c>
      <c r="AB66" s="120">
        <v>32.36</v>
      </c>
      <c r="AC66" s="2">
        <f t="shared" si="2"/>
        <v>0.87000000000000455</v>
      </c>
      <c r="AD66" s="165">
        <f t="shared" si="3"/>
        <v>1.6970458830923851E-2</v>
      </c>
    </row>
    <row r="67" spans="22:30" x14ac:dyDescent="0.25">
      <c r="V67" s="119">
        <v>42324</v>
      </c>
      <c r="W67" s="123">
        <v>32.090000000000003</v>
      </c>
      <c r="X67" s="123">
        <v>32.26</v>
      </c>
      <c r="Y67" s="123">
        <v>31.93</v>
      </c>
      <c r="Z67" s="123">
        <v>32.1</v>
      </c>
      <c r="AA67" s="121">
        <v>29899700</v>
      </c>
      <c r="AB67" s="120">
        <v>31.82</v>
      </c>
      <c r="AC67" s="2">
        <f>X67-Y67</f>
        <v>0.32999999999999829</v>
      </c>
      <c r="AD67" s="165">
        <f>AB67/AB68-1</f>
        <v>-3.1416902293424087E-4</v>
      </c>
    </row>
    <row r="68" spans="22:30" x14ac:dyDescent="0.25">
      <c r="V68" s="119">
        <v>42321</v>
      </c>
      <c r="W68" s="123">
        <v>32.270000000000003</v>
      </c>
      <c r="X68" s="123">
        <v>32.380000000000003</v>
      </c>
      <c r="Y68" s="123">
        <v>31.96</v>
      </c>
      <c r="Z68" s="123">
        <v>32.11</v>
      </c>
      <c r="AA68" s="121">
        <v>23673200</v>
      </c>
      <c r="AB68" s="120">
        <v>31.83</v>
      </c>
      <c r="AC68" s="2">
        <f>X68-Y68</f>
        <v>0.42000000000000171</v>
      </c>
      <c r="AD68" s="165" t="e">
        <f>AB68/AB69-1</f>
        <v>#DIV/0!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53" priority="12">
      <formula>Q7&gt;0</formula>
    </cfRule>
    <cfRule type="expression" dxfId="3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51" priority="3">
      <formula>F26&gt;0</formula>
    </cfRule>
    <cfRule type="expression" dxfId="350" priority="4">
      <formula>F26&lt;0</formula>
    </cfRule>
  </conditionalFormatting>
  <conditionalFormatting sqref="F27">
    <cfRule type="expression" dxfId="349" priority="1">
      <formula>F27&gt;0</formula>
    </cfRule>
    <cfRule type="expression" dxfId="3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7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122</v>
      </c>
      <c r="X1" s="153" t="s">
        <v>123</v>
      </c>
      <c r="Y1" s="153" t="s">
        <v>124</v>
      </c>
      <c r="Z1" s="153" t="s">
        <v>125</v>
      </c>
      <c r="AA1" s="153" t="s">
        <v>126</v>
      </c>
      <c r="AB1" s="152" t="s">
        <v>127</v>
      </c>
      <c r="AC1" s="153" t="s">
        <v>128</v>
      </c>
      <c r="AD1" s="61" t="s">
        <v>142</v>
      </c>
      <c r="AE1" s="61" t="s">
        <v>143</v>
      </c>
      <c r="AH1" s="61" t="s">
        <v>204</v>
      </c>
      <c r="AI1" s="61" t="s">
        <v>205</v>
      </c>
      <c r="AJ1" s="61" t="s">
        <v>206</v>
      </c>
      <c r="AK1" s="61" t="s">
        <v>207</v>
      </c>
      <c r="AN1" s="61" t="s">
        <v>208</v>
      </c>
      <c r="AO1" s="61" t="s">
        <v>59</v>
      </c>
      <c r="AP1" s="61" t="s">
        <v>210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42419</v>
      </c>
      <c r="X2" s="54">
        <v>41.54</v>
      </c>
      <c r="Y2" s="54">
        <v>42.34</v>
      </c>
      <c r="Z2" s="54">
        <v>40.25</v>
      </c>
      <c r="AA2" s="54">
        <v>42.31</v>
      </c>
      <c r="AB2" s="124">
        <v>6154400</v>
      </c>
      <c r="AC2" s="54">
        <v>42.31</v>
      </c>
      <c r="AD2" s="2">
        <f>Y2-Z2</f>
        <v>2.0900000000000034</v>
      </c>
      <c r="AE2" s="165">
        <f>AC2/AC3-1</f>
        <v>5.7047777513667963E-3</v>
      </c>
      <c r="AO2" t="s">
        <v>209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42418</v>
      </c>
      <c r="X3" s="54">
        <v>44</v>
      </c>
      <c r="Y3" s="54">
        <v>44.2</v>
      </c>
      <c r="Z3" s="54">
        <v>41.49</v>
      </c>
      <c r="AA3" s="54">
        <v>42.07</v>
      </c>
      <c r="AB3" s="124">
        <v>7995500</v>
      </c>
      <c r="AC3" s="54">
        <v>42.07</v>
      </c>
      <c r="AD3" s="2">
        <f t="shared" ref="AD3:AD66" si="2">Y3-Z3</f>
        <v>2.7100000000000009</v>
      </c>
      <c r="AE3" s="165">
        <f t="shared" ref="AE3:AE66" si="3">AC3/AC4-1</f>
        <v>-3.2206119162640823E-2</v>
      </c>
      <c r="AH3" t="s">
        <v>222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42.31</v>
      </c>
      <c r="T4" s="151"/>
      <c r="U4" s="43"/>
      <c r="V4" s="48"/>
      <c r="W4" s="130">
        <v>42417</v>
      </c>
      <c r="X4" s="54">
        <v>41.57</v>
      </c>
      <c r="Y4" s="54">
        <v>44.14</v>
      </c>
      <c r="Z4" s="54">
        <v>41.43</v>
      </c>
      <c r="AA4" s="54">
        <v>43.47</v>
      </c>
      <c r="AB4" s="124">
        <v>7789100</v>
      </c>
      <c r="AC4" s="54">
        <v>43.47</v>
      </c>
      <c r="AD4" s="2">
        <f t="shared" si="2"/>
        <v>2.7100000000000009</v>
      </c>
      <c r="AE4" s="165">
        <f t="shared" si="3"/>
        <v>6.4397649363369114E-2</v>
      </c>
      <c r="AH4" t="s">
        <v>250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31732.5</v>
      </c>
      <c r="U5" t="s">
        <v>140</v>
      </c>
      <c r="W5" s="130">
        <v>42416</v>
      </c>
      <c r="X5" s="54">
        <v>41</v>
      </c>
      <c r="Y5" s="54">
        <v>41.25</v>
      </c>
      <c r="Z5" s="54">
        <v>39.96</v>
      </c>
      <c r="AA5" s="54">
        <v>40.840000000000003</v>
      </c>
      <c r="AB5" s="124">
        <v>6573700</v>
      </c>
      <c r="AC5" s="54">
        <v>40.840000000000003</v>
      </c>
      <c r="AD5" s="2">
        <f t="shared" si="2"/>
        <v>1.2899999999999991</v>
      </c>
      <c r="AE5" s="165">
        <f t="shared" si="3"/>
        <v>1.8199950137123055E-2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42412</v>
      </c>
      <c r="X6" s="54">
        <v>39.28</v>
      </c>
      <c r="Y6" s="54">
        <v>40.15</v>
      </c>
      <c r="Z6" s="54">
        <v>38.5</v>
      </c>
      <c r="AA6" s="54">
        <v>40.11</v>
      </c>
      <c r="AB6" s="124">
        <v>12385800</v>
      </c>
      <c r="AC6" s="54">
        <v>40.11</v>
      </c>
      <c r="AD6" s="2">
        <f t="shared" si="2"/>
        <v>1.6499999999999986</v>
      </c>
      <c r="AE6" s="165">
        <f t="shared" si="3"/>
        <v>3.031081428204474E-2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-3036.1200000000099</v>
      </c>
      <c r="R7" s="244"/>
      <c r="W7" s="130">
        <v>42411</v>
      </c>
      <c r="X7" s="54">
        <v>38.44</v>
      </c>
      <c r="Y7" s="54">
        <v>39.409999999999997</v>
      </c>
      <c r="Z7" s="54">
        <v>36.950000000000003</v>
      </c>
      <c r="AA7" s="54">
        <v>38.93</v>
      </c>
      <c r="AB7" s="124">
        <v>9688400</v>
      </c>
      <c r="AC7" s="54">
        <v>38.93</v>
      </c>
      <c r="AD7" s="2">
        <f t="shared" si="2"/>
        <v>2.4599999999999937</v>
      </c>
      <c r="AE7" s="165">
        <f t="shared" si="3"/>
        <v>-9.1626368032577954E-3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-8.7323569356506148E-2</v>
      </c>
      <c r="W8" s="130">
        <v>42410</v>
      </c>
      <c r="X8" s="54">
        <v>39.22</v>
      </c>
      <c r="Y8" s="54">
        <v>40.15</v>
      </c>
      <c r="Z8" s="54">
        <v>38.75</v>
      </c>
      <c r="AA8" s="54">
        <v>39.29</v>
      </c>
      <c r="AB8" s="124">
        <v>9976200</v>
      </c>
      <c r="AC8" s="54">
        <v>39.29</v>
      </c>
      <c r="AD8" s="2">
        <f t="shared" si="2"/>
        <v>1.3999999999999986</v>
      </c>
      <c r="AE8" s="165">
        <f t="shared" si="3"/>
        <v>1.5245478036175708E-2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42409</v>
      </c>
      <c r="X9" s="54">
        <v>38.28</v>
      </c>
      <c r="Y9" s="54">
        <v>39.369999999999997</v>
      </c>
      <c r="Z9" s="54">
        <v>37.35</v>
      </c>
      <c r="AA9" s="54">
        <v>38.700000000000003</v>
      </c>
      <c r="AB9" s="124">
        <v>8797100</v>
      </c>
      <c r="AC9" s="54">
        <v>38.700000000000003</v>
      </c>
      <c r="AD9" s="2">
        <f t="shared" si="2"/>
        <v>2.019999999999996</v>
      </c>
      <c r="AE9" s="165">
        <f t="shared" si="3"/>
        <v>-7.4378045652730984E-3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42408</v>
      </c>
      <c r="X10" s="54">
        <v>37.229999999999997</v>
      </c>
      <c r="Y10" s="54">
        <v>39.119999999999997</v>
      </c>
      <c r="Z10" s="54">
        <v>37</v>
      </c>
      <c r="AA10" s="54">
        <v>38.99</v>
      </c>
      <c r="AB10" s="124">
        <v>14392700</v>
      </c>
      <c r="AC10" s="54">
        <v>38.99</v>
      </c>
      <c r="AD10" s="2">
        <f t="shared" si="2"/>
        <v>2.1199999999999974</v>
      </c>
      <c r="AE10" s="165">
        <f t="shared" si="3"/>
        <v>2.5512887953708541E-2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178</v>
      </c>
      <c r="W11" s="130">
        <v>42405</v>
      </c>
      <c r="X11" s="54">
        <v>38.700000000000003</v>
      </c>
      <c r="Y11" s="54">
        <v>39.299999999999997</v>
      </c>
      <c r="Z11" s="54">
        <v>38</v>
      </c>
      <c r="AA11" s="54">
        <v>38.020000000000003</v>
      </c>
      <c r="AB11" s="124">
        <v>40159300</v>
      </c>
      <c r="AC11" s="54">
        <v>38.020000000000003</v>
      </c>
      <c r="AD11" s="2">
        <f t="shared" si="2"/>
        <v>1.2999999999999972</v>
      </c>
      <c r="AE11" s="165">
        <f t="shared" si="3"/>
        <v>-0.12537382102599481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269</v>
      </c>
      <c r="W12" s="130">
        <v>42404</v>
      </c>
      <c r="X12" s="54">
        <v>43.38</v>
      </c>
      <c r="Y12" s="54">
        <v>45.16</v>
      </c>
      <c r="Z12" s="54">
        <v>42.53</v>
      </c>
      <c r="AA12" s="54">
        <v>43.47</v>
      </c>
      <c r="AB12" s="124">
        <v>9968900</v>
      </c>
      <c r="AC12" s="54">
        <v>43.47</v>
      </c>
      <c r="AD12" s="2">
        <f t="shared" si="2"/>
        <v>2.6299999999999955</v>
      </c>
      <c r="AE12" s="165">
        <f t="shared" si="3"/>
        <v>1.1165387299371776E-2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42403</v>
      </c>
      <c r="X13" s="54">
        <v>40.270000000000003</v>
      </c>
      <c r="Y13" s="54">
        <v>43.02</v>
      </c>
      <c r="Z13" s="54">
        <v>38.97</v>
      </c>
      <c r="AA13" s="54">
        <v>42.99</v>
      </c>
      <c r="AB13" s="124">
        <v>10059700</v>
      </c>
      <c r="AC13" s="54">
        <v>42.99</v>
      </c>
      <c r="AD13" s="2">
        <f t="shared" si="2"/>
        <v>4.0500000000000043</v>
      </c>
      <c r="AE13" s="165">
        <f t="shared" si="3"/>
        <v>9.2225609756097615E-2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42402</v>
      </c>
      <c r="X14" s="54">
        <v>40.57</v>
      </c>
      <c r="Y14" s="54">
        <v>40.57</v>
      </c>
      <c r="Z14" s="54">
        <v>38.770000000000003</v>
      </c>
      <c r="AA14" s="54">
        <v>39.36</v>
      </c>
      <c r="AB14" s="124">
        <v>7280400</v>
      </c>
      <c r="AC14" s="54">
        <v>39.36</v>
      </c>
      <c r="AD14" s="2">
        <f t="shared" si="2"/>
        <v>1.7999999999999972</v>
      </c>
      <c r="AE14" s="165">
        <f t="shared" si="3"/>
        <v>-5.7471264367816022E-2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42401</v>
      </c>
      <c r="X15" s="54">
        <v>41.38</v>
      </c>
      <c r="Y15" s="54">
        <v>42.26</v>
      </c>
      <c r="Z15" s="54">
        <v>40.799999999999997</v>
      </c>
      <c r="AA15" s="54">
        <v>41.76</v>
      </c>
      <c r="AB15" s="124">
        <v>6180900</v>
      </c>
      <c r="AC15" s="54">
        <v>41.76</v>
      </c>
      <c r="AD15" s="2">
        <f t="shared" si="2"/>
        <v>1.4600000000000009</v>
      </c>
      <c r="AE15" s="165">
        <f t="shared" si="3"/>
        <v>-1.7411764705882349E-2</v>
      </c>
    </row>
    <row r="16" spans="1:42" x14ac:dyDescent="0.25">
      <c r="B16" s="396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42398</v>
      </c>
      <c r="X16" s="54">
        <v>40.83</v>
      </c>
      <c r="Y16" s="54">
        <v>42.66</v>
      </c>
      <c r="Z16" s="54">
        <v>40.520000000000003</v>
      </c>
      <c r="AA16" s="54">
        <v>42.5</v>
      </c>
      <c r="AB16" s="124">
        <v>8134500</v>
      </c>
      <c r="AC16" s="54">
        <v>42.5</v>
      </c>
      <c r="AD16" s="2">
        <f t="shared" si="2"/>
        <v>2.1399999999999935</v>
      </c>
      <c r="AE16" s="165">
        <f t="shared" si="3"/>
        <v>5.3544868616757446E-2</v>
      </c>
    </row>
    <row r="17" spans="2:31" x14ac:dyDescent="0.25">
      <c r="B17" s="396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42397</v>
      </c>
      <c r="X17" s="54">
        <v>40.590000000000003</v>
      </c>
      <c r="Y17" s="54">
        <v>41.99</v>
      </c>
      <c r="Z17" s="54">
        <v>39.049999999999997</v>
      </c>
      <c r="AA17" s="54">
        <v>40.340000000000003</v>
      </c>
      <c r="AB17" s="124">
        <v>9889000</v>
      </c>
      <c r="AC17" s="54">
        <v>40.340000000000003</v>
      </c>
      <c r="AD17" s="2">
        <f t="shared" si="2"/>
        <v>2.9400000000000048</v>
      </c>
      <c r="AE17" s="165">
        <f t="shared" si="3"/>
        <v>9.4708276797829116E-2</v>
      </c>
    </row>
    <row r="18" spans="2:31" x14ac:dyDescent="0.25">
      <c r="B18" s="390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42396</v>
      </c>
      <c r="X18" s="54">
        <v>34.97</v>
      </c>
      <c r="Y18" s="54">
        <v>39.659999999999997</v>
      </c>
      <c r="Z18" s="54">
        <v>34.020000000000003</v>
      </c>
      <c r="AA18" s="54">
        <v>36.85</v>
      </c>
      <c r="AB18" s="124">
        <v>11428700</v>
      </c>
      <c r="AC18" s="54">
        <v>36.85</v>
      </c>
      <c r="AD18" s="2">
        <f t="shared" si="2"/>
        <v>5.6399999999999935</v>
      </c>
      <c r="AE18" s="165">
        <f t="shared" si="3"/>
        <v>5.8603849468543467E-2</v>
      </c>
    </row>
    <row r="19" spans="2:31" x14ac:dyDescent="0.25">
      <c r="B19" s="390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42395</v>
      </c>
      <c r="X19" s="54">
        <v>35.119999999999997</v>
      </c>
      <c r="Y19" s="54">
        <v>35.979999999999997</v>
      </c>
      <c r="Z19" s="54">
        <v>34.549999999999997</v>
      </c>
      <c r="AA19" s="54">
        <v>34.81</v>
      </c>
      <c r="AB19" s="124">
        <v>8791100</v>
      </c>
      <c r="AC19" s="54">
        <v>34.81</v>
      </c>
      <c r="AD19" s="2">
        <f t="shared" si="2"/>
        <v>1.4299999999999997</v>
      </c>
      <c r="AE19" s="165">
        <f t="shared" si="3"/>
        <v>1.2507271669575326E-2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42394</v>
      </c>
      <c r="X20" s="54">
        <v>37.159999999999997</v>
      </c>
      <c r="Y20" s="54">
        <v>37.840000000000003</v>
      </c>
      <c r="Z20" s="54">
        <v>34.28</v>
      </c>
      <c r="AA20" s="54">
        <v>34.380000000000003</v>
      </c>
      <c r="AB20" s="124">
        <v>10090500</v>
      </c>
      <c r="AC20" s="54">
        <v>34.380000000000003</v>
      </c>
      <c r="AD20" s="2">
        <f t="shared" si="2"/>
        <v>3.5600000000000023</v>
      </c>
      <c r="AE20" s="165">
        <f t="shared" si="3"/>
        <v>-0.10305243934255137</v>
      </c>
    </row>
    <row r="21" spans="2:31" x14ac:dyDescent="0.25">
      <c r="B21" s="390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42391</v>
      </c>
      <c r="X21" s="54">
        <v>39.409999999999997</v>
      </c>
      <c r="Y21" s="54">
        <v>39.950000000000003</v>
      </c>
      <c r="Z21" s="54">
        <v>36.799999999999997</v>
      </c>
      <c r="AA21" s="54">
        <v>38.33</v>
      </c>
      <c r="AB21" s="124">
        <v>7601000</v>
      </c>
      <c r="AC21" s="54">
        <v>38.33</v>
      </c>
      <c r="AD21" s="2">
        <f t="shared" si="2"/>
        <v>3.1500000000000057</v>
      </c>
      <c r="AE21" s="165">
        <f t="shared" si="3"/>
        <v>1.8872939925571597E-2</v>
      </c>
    </row>
    <row r="22" spans="2:31" x14ac:dyDescent="0.25">
      <c r="B22" s="390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42390</v>
      </c>
      <c r="X22" s="54">
        <v>35.07</v>
      </c>
      <c r="Y22" s="54">
        <v>37.950000000000003</v>
      </c>
      <c r="Z22" s="54">
        <v>35</v>
      </c>
      <c r="AA22" s="54">
        <v>37.619999999999997</v>
      </c>
      <c r="AB22" s="124">
        <v>7468600</v>
      </c>
      <c r="AC22" s="54">
        <v>37.619999999999997</v>
      </c>
      <c r="AD22" s="2">
        <f t="shared" si="2"/>
        <v>2.9500000000000028</v>
      </c>
      <c r="AE22" s="165">
        <f t="shared" si="3"/>
        <v>6.8446464072706492E-2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42389</v>
      </c>
      <c r="X23" s="54">
        <v>35.770000000000003</v>
      </c>
      <c r="Y23" s="54">
        <v>35.770000000000003</v>
      </c>
      <c r="Z23" s="54">
        <v>32.409999999999997</v>
      </c>
      <c r="AA23" s="54">
        <v>35.21</v>
      </c>
      <c r="AB23" s="124">
        <v>10518900</v>
      </c>
      <c r="AC23" s="54">
        <v>35.21</v>
      </c>
      <c r="AD23" s="2">
        <f t="shared" si="2"/>
        <v>3.3600000000000065</v>
      </c>
      <c r="AE23" s="165">
        <f t="shared" si="3"/>
        <v>-3.6134683821516522E-2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42388</v>
      </c>
      <c r="X24" s="54">
        <v>38.97</v>
      </c>
      <c r="Y24" s="54">
        <v>39.26</v>
      </c>
      <c r="Z24" s="54">
        <v>35.72</v>
      </c>
      <c r="AA24" s="54">
        <v>36.53</v>
      </c>
      <c r="AB24" s="124">
        <v>6149500</v>
      </c>
      <c r="AC24" s="54">
        <v>36.53</v>
      </c>
      <c r="AD24" s="2">
        <f t="shared" si="2"/>
        <v>3.5399999999999991</v>
      </c>
      <c r="AE24" s="165">
        <f t="shared" si="3"/>
        <v>-5.6559917355371803E-2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42384</v>
      </c>
      <c r="X25" s="54">
        <v>38</v>
      </c>
      <c r="Y25" s="54">
        <v>39.21</v>
      </c>
      <c r="Z25" s="54">
        <v>37.71</v>
      </c>
      <c r="AA25" s="54">
        <v>38.72</v>
      </c>
      <c r="AB25" s="124">
        <v>6923600</v>
      </c>
      <c r="AC25" s="54">
        <v>38.72</v>
      </c>
      <c r="AD25" s="2">
        <f t="shared" si="2"/>
        <v>1.5</v>
      </c>
      <c r="AE25" s="165">
        <f t="shared" si="3"/>
        <v>-3.1031031031031109E-2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42383</v>
      </c>
      <c r="X26" s="54">
        <v>38.880000000000003</v>
      </c>
      <c r="Y26" s="54">
        <v>40.54</v>
      </c>
      <c r="Z26" s="54">
        <v>38.47</v>
      </c>
      <c r="AA26" s="54">
        <v>39.96</v>
      </c>
      <c r="AB26" s="124">
        <v>7968400</v>
      </c>
      <c r="AC26" s="54">
        <v>39.96</v>
      </c>
      <c r="AD26" s="2">
        <f t="shared" si="2"/>
        <v>2.0700000000000003</v>
      </c>
      <c r="AE26" s="165">
        <f t="shared" si="3"/>
        <v>3.5501425239699236E-2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42382</v>
      </c>
      <c r="X27" s="54">
        <v>40.19</v>
      </c>
      <c r="Y27" s="54">
        <v>41.05</v>
      </c>
      <c r="Z27" s="54">
        <v>38.22</v>
      </c>
      <c r="AA27" s="54">
        <v>38.590000000000003</v>
      </c>
      <c r="AB27" s="124">
        <v>7043000</v>
      </c>
      <c r="AC27" s="54">
        <v>38.590000000000003</v>
      </c>
      <c r="AD27" s="2">
        <f t="shared" si="2"/>
        <v>2.8299999999999983</v>
      </c>
      <c r="AE27" s="165">
        <f t="shared" si="3"/>
        <v>-2.5505050505050475E-2</v>
      </c>
    </row>
    <row r="28" spans="2:31" x14ac:dyDescent="0.25">
      <c r="B28" s="395" t="s">
        <v>270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42381</v>
      </c>
      <c r="X28" s="54">
        <v>42.49</v>
      </c>
      <c r="Y28" s="54">
        <v>42.82</v>
      </c>
      <c r="Z28" s="54">
        <v>38.799999999999997</v>
      </c>
      <c r="AA28" s="54">
        <v>39.6</v>
      </c>
      <c r="AB28" s="124">
        <v>6291100</v>
      </c>
      <c r="AC28" s="54">
        <v>39.6</v>
      </c>
      <c r="AD28" s="2">
        <f t="shared" si="2"/>
        <v>4.0200000000000031</v>
      </c>
      <c r="AE28" s="165">
        <f t="shared" si="3"/>
        <v>-5.0131926121371961E-2</v>
      </c>
    </row>
    <row r="29" spans="2:31" x14ac:dyDescent="0.25">
      <c r="B29" s="395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42380</v>
      </c>
      <c r="X29" s="54">
        <v>43.55</v>
      </c>
      <c r="Y29" s="54">
        <v>43.77</v>
      </c>
      <c r="Z29" s="54">
        <v>41.3</v>
      </c>
      <c r="AA29" s="54">
        <v>41.69</v>
      </c>
      <c r="AB29" s="124">
        <v>6021500</v>
      </c>
      <c r="AC29" s="54">
        <v>41.69</v>
      </c>
      <c r="AD29" s="2">
        <f t="shared" si="2"/>
        <v>2.470000000000006</v>
      </c>
      <c r="AE29" s="165">
        <f t="shared" si="3"/>
        <v>-4.3368517668655349E-2</v>
      </c>
    </row>
    <row r="30" spans="2:31" x14ac:dyDescent="0.25">
      <c r="B30" s="395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42377</v>
      </c>
      <c r="X30" s="54">
        <v>43.93</v>
      </c>
      <c r="Y30" s="54">
        <v>44.42</v>
      </c>
      <c r="Z30" s="54">
        <v>42.86</v>
      </c>
      <c r="AA30" s="54">
        <v>43.58</v>
      </c>
      <c r="AB30" s="124">
        <v>3851900</v>
      </c>
      <c r="AC30" s="54">
        <v>43.58</v>
      </c>
      <c r="AD30" s="2">
        <f t="shared" si="2"/>
        <v>1.5600000000000023</v>
      </c>
      <c r="AE30" s="165">
        <f t="shared" si="3"/>
        <v>-9.1701054562121076E-4</v>
      </c>
    </row>
    <row r="31" spans="2:31" x14ac:dyDescent="0.25">
      <c r="B31" s="395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42376</v>
      </c>
      <c r="X31" s="254">
        <v>44</v>
      </c>
      <c r="Y31" s="54">
        <v>45.51</v>
      </c>
      <c r="Z31" s="54">
        <v>43.49</v>
      </c>
      <c r="AA31" s="54">
        <v>43.62</v>
      </c>
      <c r="AB31" s="124">
        <v>4562900</v>
      </c>
      <c r="AC31" s="54">
        <v>43.62</v>
      </c>
      <c r="AD31" s="2">
        <f t="shared" si="2"/>
        <v>2.019999999999996</v>
      </c>
      <c r="AE31" s="165">
        <f t="shared" si="3"/>
        <v>-3.2172176614155834E-2</v>
      </c>
    </row>
    <row r="32" spans="2:31" x14ac:dyDescent="0.25">
      <c r="B32" s="395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42375</v>
      </c>
      <c r="X32" s="54">
        <v>46.68</v>
      </c>
      <c r="Y32" s="54">
        <v>46.77</v>
      </c>
      <c r="Z32" s="54">
        <v>44.86</v>
      </c>
      <c r="AA32" s="54">
        <v>45.07</v>
      </c>
      <c r="AB32" s="124">
        <v>7968400</v>
      </c>
      <c r="AC32" s="54">
        <v>45.07</v>
      </c>
      <c r="AD32" s="2">
        <f t="shared" si="2"/>
        <v>1.9100000000000037</v>
      </c>
      <c r="AE32" s="165">
        <f t="shared" si="3"/>
        <v>-6.2408986894112783E-2</v>
      </c>
    </row>
    <row r="33" spans="1:31" x14ac:dyDescent="0.25">
      <c r="B33" s="395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42374</v>
      </c>
      <c r="X33" s="54">
        <v>47.68</v>
      </c>
      <c r="Y33" s="54">
        <v>48.12</v>
      </c>
      <c r="Z33" s="54">
        <v>46.63</v>
      </c>
      <c r="AA33" s="54">
        <v>48.07</v>
      </c>
      <c r="AB33" s="124">
        <v>3143500</v>
      </c>
      <c r="AC33" s="54">
        <v>48.07</v>
      </c>
      <c r="AD33" s="2">
        <f t="shared" si="2"/>
        <v>1.4899999999999949</v>
      </c>
      <c r="AE33" s="165">
        <f t="shared" si="3"/>
        <v>-2.2831050228310223E-3</v>
      </c>
    </row>
    <row r="34" spans="1:31" x14ac:dyDescent="0.25">
      <c r="B34" s="395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42373</v>
      </c>
      <c r="X34" s="54">
        <v>48.4</v>
      </c>
      <c r="Y34" s="54">
        <v>49.85</v>
      </c>
      <c r="Z34" s="54">
        <v>47.57</v>
      </c>
      <c r="AA34" s="54">
        <v>48.18</v>
      </c>
      <c r="AB34" s="124">
        <v>3273600</v>
      </c>
      <c r="AC34" s="54">
        <v>48.18</v>
      </c>
      <c r="AD34" s="2">
        <f t="shared" si="2"/>
        <v>2.2800000000000011</v>
      </c>
      <c r="AE34" s="165">
        <f t="shared" si="3"/>
        <v>-6.1881188118810826E-3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42369</v>
      </c>
      <c r="X35" s="54">
        <v>47.74</v>
      </c>
      <c r="Y35" s="54">
        <v>48.9</v>
      </c>
      <c r="Z35" s="54">
        <v>47.71</v>
      </c>
      <c r="AA35" s="54">
        <v>48.48</v>
      </c>
      <c r="AB35" s="124">
        <v>2394700</v>
      </c>
      <c r="AC35" s="54">
        <v>48.48</v>
      </c>
      <c r="AD35" s="2">
        <f t="shared" si="2"/>
        <v>1.1899999999999977</v>
      </c>
      <c r="AE35" s="165">
        <f t="shared" si="3"/>
        <v>6.4355407930245523E-3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42368</v>
      </c>
      <c r="X36" s="54">
        <v>48.49</v>
      </c>
      <c r="Y36" s="54">
        <v>49.61</v>
      </c>
      <c r="Z36" s="54">
        <v>48.1</v>
      </c>
      <c r="AA36" s="54">
        <v>48.17</v>
      </c>
      <c r="AB36" s="124">
        <v>1932300</v>
      </c>
      <c r="AC36" s="54">
        <v>48.17</v>
      </c>
      <c r="AD36" s="2">
        <f t="shared" si="2"/>
        <v>1.509999999999998</v>
      </c>
      <c r="AE36" s="165">
        <f t="shared" si="3"/>
        <v>-2.4108589951377546E-2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42367</v>
      </c>
      <c r="X37" s="54">
        <v>49.8</v>
      </c>
      <c r="Y37" s="54">
        <v>49.99</v>
      </c>
      <c r="Z37" s="54">
        <v>48.79</v>
      </c>
      <c r="AA37" s="54">
        <v>49.36</v>
      </c>
      <c r="AB37" s="124">
        <v>1893500</v>
      </c>
      <c r="AC37" s="54">
        <v>49.36</v>
      </c>
      <c r="AD37" s="2">
        <f t="shared" si="2"/>
        <v>1.2000000000000028</v>
      </c>
      <c r="AE37" s="165">
        <f t="shared" si="3"/>
        <v>7.5525617472953499E-3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42366</v>
      </c>
      <c r="X38" s="54">
        <v>49.43</v>
      </c>
      <c r="Y38" s="54">
        <v>49.9</v>
      </c>
      <c r="Z38" s="54">
        <v>48.74</v>
      </c>
      <c r="AA38" s="54">
        <v>48.99</v>
      </c>
      <c r="AB38" s="124">
        <v>2298600</v>
      </c>
      <c r="AC38" s="54">
        <v>48.99</v>
      </c>
      <c r="AD38" s="2">
        <f t="shared" si="2"/>
        <v>1.1599999999999966</v>
      </c>
      <c r="AE38" s="165">
        <f t="shared" si="3"/>
        <v>-3.1243820446905213E-2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42362</v>
      </c>
      <c r="X39" s="54">
        <v>51.11</v>
      </c>
      <c r="Y39" s="54">
        <v>51.26</v>
      </c>
      <c r="Z39" s="54">
        <v>49.83</v>
      </c>
      <c r="AA39" s="54">
        <v>50.57</v>
      </c>
      <c r="AB39" s="124">
        <v>1147100</v>
      </c>
      <c r="AC39" s="54">
        <v>50.57</v>
      </c>
      <c r="AD39" s="2">
        <f t="shared" si="2"/>
        <v>1.4299999999999997</v>
      </c>
      <c r="AE39" s="165">
        <f t="shared" si="3"/>
        <v>-1.3653208503998537E-2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42361</v>
      </c>
      <c r="X40" s="54">
        <v>49.77</v>
      </c>
      <c r="Y40" s="54">
        <v>51.32</v>
      </c>
      <c r="Z40" s="54">
        <v>49.55</v>
      </c>
      <c r="AA40" s="54">
        <v>51.27</v>
      </c>
      <c r="AB40" s="124">
        <v>3910500</v>
      </c>
      <c r="AC40" s="54">
        <v>51.27</v>
      </c>
      <c r="AD40" s="2">
        <f t="shared" si="2"/>
        <v>1.7700000000000031</v>
      </c>
      <c r="AE40" s="165">
        <f t="shared" si="3"/>
        <v>5.7549504950495267E-2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42360</v>
      </c>
      <c r="X41" s="54">
        <v>47.72</v>
      </c>
      <c r="Y41" s="54">
        <v>48.76</v>
      </c>
      <c r="Z41" s="54">
        <v>47.37</v>
      </c>
      <c r="AA41" s="54">
        <v>48.48</v>
      </c>
      <c r="AB41" s="124">
        <v>3320200</v>
      </c>
      <c r="AC41" s="54">
        <v>48.48</v>
      </c>
      <c r="AD41" s="2">
        <f t="shared" si="2"/>
        <v>1.3900000000000006</v>
      </c>
      <c r="AE41" s="165">
        <f t="shared" si="3"/>
        <v>2.1922428330522825E-2</v>
      </c>
    </row>
    <row r="42" spans="1:31" x14ac:dyDescent="0.25">
      <c r="W42" s="130">
        <v>42359</v>
      </c>
      <c r="X42" s="54">
        <v>48.87</v>
      </c>
      <c r="Y42" s="54">
        <v>49.24</v>
      </c>
      <c r="Z42" s="54">
        <v>47.04</v>
      </c>
      <c r="AA42" s="54">
        <v>47.44</v>
      </c>
      <c r="AB42" s="124">
        <v>5436300</v>
      </c>
      <c r="AC42" s="54">
        <v>47.44</v>
      </c>
      <c r="AD42" s="2">
        <f t="shared" si="2"/>
        <v>2.2000000000000028</v>
      </c>
      <c r="AE42" s="165">
        <f t="shared" si="3"/>
        <v>-2.1855670103092861E-2</v>
      </c>
    </row>
    <row r="43" spans="1:31" x14ac:dyDescent="0.25">
      <c r="W43" s="130">
        <v>42356</v>
      </c>
      <c r="X43" s="54">
        <v>49.2</v>
      </c>
      <c r="Y43" s="54">
        <v>50.84</v>
      </c>
      <c r="Z43" s="54">
        <v>48.47</v>
      </c>
      <c r="AA43" s="54">
        <v>48.5</v>
      </c>
      <c r="AB43" s="124">
        <v>5523600</v>
      </c>
      <c r="AC43" s="54">
        <v>48.5</v>
      </c>
      <c r="AD43" s="2">
        <f t="shared" si="2"/>
        <v>2.3700000000000045</v>
      </c>
      <c r="AE43" s="165">
        <f t="shared" si="3"/>
        <v>-1.4227642276422814E-2</v>
      </c>
    </row>
    <row r="44" spans="1:31" ht="20.25" thickBot="1" x14ac:dyDescent="0.35">
      <c r="O44" s="389" t="s">
        <v>78</v>
      </c>
      <c r="P44" s="389"/>
      <c r="T44" s="125" t="s">
        <v>96</v>
      </c>
      <c r="U44" s="47"/>
      <c r="W44" s="130">
        <v>42355</v>
      </c>
      <c r="X44" s="54">
        <v>51.04</v>
      </c>
      <c r="Y44" s="54">
        <v>51.18</v>
      </c>
      <c r="Z44" s="54">
        <v>48.47</v>
      </c>
      <c r="AA44" s="54">
        <v>49.2</v>
      </c>
      <c r="AB44" s="124">
        <v>4490000</v>
      </c>
      <c r="AC44" s="54">
        <v>49.2</v>
      </c>
      <c r="AD44" s="2">
        <f t="shared" si="2"/>
        <v>2.7100000000000009</v>
      </c>
      <c r="AE44" s="165">
        <f t="shared" si="3"/>
        <v>-3.3778476040848382E-2</v>
      </c>
    </row>
    <row r="45" spans="1:31" ht="15.75" thickTop="1" x14ac:dyDescent="0.25">
      <c r="O45" s="103">
        <v>1.1000000000000001</v>
      </c>
      <c r="P45" s="103">
        <f>O45*$Q$4</f>
        <v>46.541000000000004</v>
      </c>
      <c r="R45" s="47"/>
      <c r="T45" s="128" t="s">
        <v>106</v>
      </c>
      <c r="U45" s="126">
        <v>42.07</v>
      </c>
      <c r="W45" s="130">
        <v>42354</v>
      </c>
      <c r="X45" s="54">
        <v>51.37</v>
      </c>
      <c r="Y45" s="54">
        <v>52.52</v>
      </c>
      <c r="Z45" s="54">
        <v>50.4</v>
      </c>
      <c r="AA45" s="54">
        <v>50.92</v>
      </c>
      <c r="AB45" s="124">
        <v>4409000</v>
      </c>
      <c r="AC45" s="54">
        <v>50.92</v>
      </c>
      <c r="AD45" s="2">
        <f t="shared" si="2"/>
        <v>2.1200000000000045</v>
      </c>
      <c r="AE45" s="165">
        <f t="shared" si="3"/>
        <v>-1.5658225401121162E-2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46.117900000000006</v>
      </c>
      <c r="Q46" s="2"/>
      <c r="R46" s="47"/>
      <c r="T46" s="128" t="s">
        <v>107</v>
      </c>
      <c r="U46" s="126">
        <v>41.54</v>
      </c>
      <c r="W46" s="130">
        <v>42353</v>
      </c>
      <c r="X46" s="54">
        <v>51.12</v>
      </c>
      <c r="Y46" s="54">
        <v>51.94</v>
      </c>
      <c r="Z46" s="54">
        <v>50.79</v>
      </c>
      <c r="AA46" s="54">
        <v>51.73</v>
      </c>
      <c r="AB46" s="124">
        <v>4095000</v>
      </c>
      <c r="AC46" s="54">
        <v>51.73</v>
      </c>
      <c r="AD46" s="2">
        <f t="shared" si="2"/>
        <v>1.1499999999999986</v>
      </c>
      <c r="AE46" s="165" t="e">
        <f t="shared" si="3"/>
        <v>#DIV/0!</v>
      </c>
    </row>
    <row r="47" spans="1:31" x14ac:dyDescent="0.25">
      <c r="O47" s="103">
        <v>1.08</v>
      </c>
      <c r="P47" s="103">
        <f t="shared" si="5"/>
        <v>45.694800000000008</v>
      </c>
      <c r="Q47" s="2"/>
      <c r="R47" s="47"/>
      <c r="T47" s="128" t="s">
        <v>108</v>
      </c>
      <c r="U47" s="126" t="s">
        <v>352</v>
      </c>
      <c r="W47" s="130">
        <v>42353</v>
      </c>
      <c r="X47" s="54" t="s">
        <v>141</v>
      </c>
      <c r="Y47" s="54"/>
      <c r="Z47" s="54"/>
      <c r="AA47" s="54"/>
      <c r="AB47" s="124"/>
      <c r="AC47" s="54"/>
      <c r="AD47" s="2">
        <f t="shared" si="2"/>
        <v>0</v>
      </c>
      <c r="AE47" s="165">
        <f t="shared" si="3"/>
        <v>-1</v>
      </c>
    </row>
    <row r="48" spans="1:31" x14ac:dyDescent="0.25">
      <c r="B48" s="246" t="s">
        <v>122</v>
      </c>
      <c r="C48" s="246" t="s">
        <v>189</v>
      </c>
      <c r="D48" s="256" t="s">
        <v>188</v>
      </c>
      <c r="E48" s="249" t="s">
        <v>190</v>
      </c>
      <c r="F48" s="250" t="s">
        <v>65</v>
      </c>
      <c r="G48" s="294" t="s">
        <v>195</v>
      </c>
      <c r="H48" s="250" t="s">
        <v>92</v>
      </c>
      <c r="I48" s="250" t="s">
        <v>203</v>
      </c>
      <c r="J48" s="2" t="s">
        <v>136</v>
      </c>
      <c r="O48" s="103">
        <v>1.07</v>
      </c>
      <c r="P48" s="103">
        <f t="shared" si="5"/>
        <v>45.271700000000003</v>
      </c>
      <c r="Q48" s="2"/>
      <c r="R48" s="47"/>
      <c r="T48" s="128" t="s">
        <v>109</v>
      </c>
      <c r="U48" s="126" t="s">
        <v>353</v>
      </c>
      <c r="W48" s="130">
        <v>42352</v>
      </c>
      <c r="X48" s="54">
        <v>49.85</v>
      </c>
      <c r="Y48" s="54">
        <v>50.72</v>
      </c>
      <c r="Z48" s="54">
        <v>48.89</v>
      </c>
      <c r="AA48" s="54">
        <v>50.12</v>
      </c>
      <c r="AB48" s="124">
        <v>4079200</v>
      </c>
      <c r="AC48" s="54">
        <v>49.87</v>
      </c>
      <c r="AD48" s="2">
        <f t="shared" si="2"/>
        <v>1.8299999999999983</v>
      </c>
      <c r="AE48" s="165">
        <f t="shared" si="3"/>
        <v>-6.1777600637704655E-3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44.848600000000005</v>
      </c>
      <c r="Q49" s="2"/>
      <c r="R49" s="47"/>
      <c r="T49" s="128" t="s">
        <v>110</v>
      </c>
      <c r="U49" s="126">
        <v>55.26</v>
      </c>
      <c r="W49" s="130">
        <v>42349</v>
      </c>
      <c r="X49" s="54">
        <v>51.73</v>
      </c>
      <c r="Y49" s="54">
        <v>51.75</v>
      </c>
      <c r="Z49" s="54">
        <v>49.5</v>
      </c>
      <c r="AA49" s="54">
        <v>50.43</v>
      </c>
      <c r="AB49" s="124">
        <v>4142200</v>
      </c>
      <c r="AC49" s="54">
        <v>50.18</v>
      </c>
      <c r="AD49" s="2">
        <f t="shared" si="2"/>
        <v>2.25</v>
      </c>
      <c r="AE49" s="165">
        <f t="shared" si="3"/>
        <v>-3.9065492148601999E-2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44.425500000000007</v>
      </c>
      <c r="Q50" s="2"/>
      <c r="R50" s="47"/>
      <c r="T50" s="128" t="s">
        <v>111</v>
      </c>
      <c r="U50" s="126">
        <v>1.42635</v>
      </c>
      <c r="W50" s="130">
        <v>42348</v>
      </c>
      <c r="X50" s="54">
        <v>51.62</v>
      </c>
      <c r="Y50" s="54">
        <v>53.11</v>
      </c>
      <c r="Z50" s="54">
        <v>51.1</v>
      </c>
      <c r="AA50" s="54">
        <v>52.48</v>
      </c>
      <c r="AB50" s="124">
        <v>3718700</v>
      </c>
      <c r="AC50" s="54">
        <v>52.22</v>
      </c>
      <c r="AD50" s="2">
        <f t="shared" si="2"/>
        <v>2.009999999999998</v>
      </c>
      <c r="AE50" s="165">
        <f t="shared" si="3"/>
        <v>9.8626958035195056E-3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44.002400000000002</v>
      </c>
      <c r="Q51" s="2"/>
      <c r="R51" s="47"/>
      <c r="T51" s="128" t="s">
        <v>131</v>
      </c>
      <c r="U51" s="126" t="s">
        <v>291</v>
      </c>
      <c r="W51" s="130">
        <v>42347</v>
      </c>
      <c r="X51" s="54">
        <v>52.4</v>
      </c>
      <c r="Y51" s="54">
        <v>54.12</v>
      </c>
      <c r="Z51" s="54">
        <v>51.43</v>
      </c>
      <c r="AA51" s="54">
        <v>51.97</v>
      </c>
      <c r="AB51" s="124">
        <v>3336000</v>
      </c>
      <c r="AC51" s="54">
        <v>51.71</v>
      </c>
      <c r="AD51" s="2">
        <f t="shared" si="2"/>
        <v>2.6899999999999977</v>
      </c>
      <c r="AE51" s="165">
        <f t="shared" si="3"/>
        <v>3.8692203520995783E-4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43.579300000000003</v>
      </c>
      <c r="Q52" s="2"/>
      <c r="R52" s="47"/>
      <c r="T52" s="128"/>
      <c r="U52" s="126"/>
      <c r="W52" s="130">
        <v>42346</v>
      </c>
      <c r="X52" s="54">
        <v>51.43</v>
      </c>
      <c r="Y52" s="54">
        <v>53.08</v>
      </c>
      <c r="Z52" s="54">
        <v>50.62</v>
      </c>
      <c r="AA52" s="54">
        <v>51.95</v>
      </c>
      <c r="AB52" s="124">
        <v>3666000</v>
      </c>
      <c r="AC52" s="54">
        <v>51.69</v>
      </c>
      <c r="AD52" s="2">
        <f t="shared" si="2"/>
        <v>2.4600000000000009</v>
      </c>
      <c r="AE52" s="165">
        <f t="shared" si="3"/>
        <v>-1.9908987485779406E-2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43.156200000000005</v>
      </c>
      <c r="Q53" s="2"/>
      <c r="R53" s="47"/>
      <c r="T53" s="128" t="s">
        <v>113</v>
      </c>
      <c r="U53" s="126" t="s">
        <v>354</v>
      </c>
      <c r="W53" s="130">
        <v>42345</v>
      </c>
      <c r="X53" s="54">
        <v>53.01</v>
      </c>
      <c r="Y53" s="54">
        <v>53.47</v>
      </c>
      <c r="Z53" s="54">
        <v>51.83</v>
      </c>
      <c r="AA53" s="54">
        <v>53</v>
      </c>
      <c r="AB53" s="124">
        <v>4956800</v>
      </c>
      <c r="AC53" s="54">
        <v>52.74</v>
      </c>
      <c r="AD53" s="2">
        <f t="shared" si="2"/>
        <v>1.6400000000000006</v>
      </c>
      <c r="AE53" s="165">
        <f t="shared" si="3"/>
        <v>-3.4596375617792385E-2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69" si="9">C54*(E54-D54)</f>
        <v>943.60000000000014</v>
      </c>
      <c r="G54" s="53">
        <f t="shared" ref="G54:G69" si="10">D54*C54</f>
        <v>3448.3999999999996</v>
      </c>
      <c r="H54" s="304">
        <f t="shared" ref="H54:H69" si="11">(E54-D54)/D54</f>
        <v>0.27363414917062989</v>
      </c>
      <c r="I54" s="250"/>
      <c r="O54" s="103">
        <v>1.01</v>
      </c>
      <c r="P54" s="103">
        <f t="shared" si="5"/>
        <v>42.7331</v>
      </c>
      <c r="Q54" s="2"/>
      <c r="R54" s="47"/>
      <c r="T54" s="128" t="s">
        <v>114</v>
      </c>
      <c r="U54" s="126" t="s">
        <v>286</v>
      </c>
      <c r="W54" s="130">
        <v>42342</v>
      </c>
      <c r="X54" s="54">
        <v>54.36</v>
      </c>
      <c r="Y54" s="54">
        <v>55.23</v>
      </c>
      <c r="Z54" s="54">
        <v>53.15</v>
      </c>
      <c r="AA54" s="54">
        <v>54.9</v>
      </c>
      <c r="AB54" s="124">
        <v>4964600</v>
      </c>
      <c r="AC54" s="54">
        <v>54.63</v>
      </c>
      <c r="AD54" s="2">
        <f t="shared" si="2"/>
        <v>2.0799999999999983</v>
      </c>
      <c r="AE54" s="165">
        <f t="shared" si="3"/>
        <v>-1.1758321273516614E-2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42.31</v>
      </c>
      <c r="Q55" s="2"/>
      <c r="R55" s="47"/>
      <c r="T55" s="128" t="s">
        <v>115</v>
      </c>
      <c r="U55" s="127">
        <v>6160308</v>
      </c>
      <c r="W55" s="130">
        <v>42341</v>
      </c>
      <c r="X55" s="54">
        <v>57.15</v>
      </c>
      <c r="Y55" s="54">
        <v>57.99</v>
      </c>
      <c r="Z55" s="54">
        <v>55.36</v>
      </c>
      <c r="AA55" s="54">
        <v>55.56</v>
      </c>
      <c r="AB55" s="124">
        <v>5252200</v>
      </c>
      <c r="AC55" s="54">
        <v>55.28</v>
      </c>
      <c r="AD55" s="2">
        <f t="shared" si="2"/>
        <v>2.6300000000000026</v>
      </c>
      <c r="AE55" s="165">
        <f t="shared" si="3"/>
        <v>-2.0899752036840247E-2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41.886900000000004</v>
      </c>
      <c r="Q56" s="2"/>
      <c r="R56" s="47"/>
      <c r="T56" s="128" t="s">
        <v>118</v>
      </c>
      <c r="U56" s="127">
        <v>6378360</v>
      </c>
      <c r="W56" s="130">
        <v>42340</v>
      </c>
      <c r="X56" s="54">
        <v>58.89</v>
      </c>
      <c r="Y56" s="54">
        <v>59.06</v>
      </c>
      <c r="Z56" s="54">
        <v>56.29</v>
      </c>
      <c r="AA56" s="54">
        <v>56.74</v>
      </c>
      <c r="AB56" s="124">
        <v>3292700</v>
      </c>
      <c r="AC56" s="54">
        <v>56.46</v>
      </c>
      <c r="AD56" s="2">
        <f t="shared" si="2"/>
        <v>2.7700000000000031</v>
      </c>
      <c r="AE56" s="165">
        <f t="shared" si="3"/>
        <v>-4.7088607594936716E-2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41.463799999999999</v>
      </c>
      <c r="Q57" s="2"/>
      <c r="R57" s="47"/>
      <c r="T57" s="128" t="s">
        <v>116</v>
      </c>
      <c r="U57" s="126" t="s">
        <v>355</v>
      </c>
      <c r="W57" s="130">
        <v>42339</v>
      </c>
      <c r="X57" s="54">
        <v>59.32</v>
      </c>
      <c r="Y57" s="54">
        <v>59.64</v>
      </c>
      <c r="Z57" s="54">
        <v>58.44</v>
      </c>
      <c r="AA57" s="54">
        <v>59.55</v>
      </c>
      <c r="AB57" s="124">
        <v>2215700</v>
      </c>
      <c r="AC57" s="54">
        <v>59.25</v>
      </c>
      <c r="AD57" s="2">
        <f t="shared" si="2"/>
        <v>1.2000000000000028</v>
      </c>
      <c r="AE57" s="165">
        <f t="shared" si="3"/>
        <v>9.1977516607051335E-3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41.040700000000001</v>
      </c>
      <c r="Q58" s="2"/>
      <c r="R58" s="47"/>
      <c r="T58" s="128" t="s">
        <v>119</v>
      </c>
      <c r="U58" s="126" t="s">
        <v>145</v>
      </c>
      <c r="W58" s="130">
        <v>42338</v>
      </c>
      <c r="X58" s="54">
        <v>59.32</v>
      </c>
      <c r="Y58" s="54">
        <v>59.95</v>
      </c>
      <c r="Z58" s="54">
        <v>58.65</v>
      </c>
      <c r="AA58" s="54">
        <v>59</v>
      </c>
      <c r="AB58" s="124">
        <v>2273300</v>
      </c>
      <c r="AC58" s="54">
        <v>58.71</v>
      </c>
      <c r="AD58" s="2">
        <f t="shared" si="2"/>
        <v>1.3000000000000043</v>
      </c>
      <c r="AE58" s="165">
        <f t="shared" si="3"/>
        <v>-1.530612244897922E-3</v>
      </c>
    </row>
    <row r="59" spans="2:31" x14ac:dyDescent="0.25">
      <c r="B59" s="248">
        <v>42349</v>
      </c>
      <c r="C59" s="12">
        <v>400</v>
      </c>
      <c r="D59" s="257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/>
      <c r="O59" s="103">
        <v>0.96</v>
      </c>
      <c r="P59" s="103">
        <f t="shared" si="5"/>
        <v>40.617600000000003</v>
      </c>
      <c r="T59" s="128" t="s">
        <v>120</v>
      </c>
      <c r="U59" s="126">
        <v>-10.78</v>
      </c>
      <c r="W59" s="130">
        <v>42335</v>
      </c>
      <c r="X59" s="54">
        <v>60.14</v>
      </c>
      <c r="Y59" s="54">
        <v>60.51</v>
      </c>
      <c r="Z59" s="54">
        <v>58.47</v>
      </c>
      <c r="AA59" s="54">
        <v>59.09</v>
      </c>
      <c r="AB59" s="124">
        <v>995600</v>
      </c>
      <c r="AC59" s="54">
        <v>58.8</v>
      </c>
      <c r="AD59" s="2">
        <f t="shared" si="2"/>
        <v>2.0399999999999991</v>
      </c>
      <c r="AE59" s="165">
        <f t="shared" si="3"/>
        <v>-2.9382634532849172E-2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40.194499999999998</v>
      </c>
      <c r="T60" s="128" t="s">
        <v>117</v>
      </c>
      <c r="U60" s="126" t="s">
        <v>356</v>
      </c>
      <c r="W60" s="130">
        <v>42333</v>
      </c>
      <c r="X60" s="54">
        <v>60.67</v>
      </c>
      <c r="Y60" s="54">
        <v>61.53</v>
      </c>
      <c r="Z60" s="54">
        <v>59.94</v>
      </c>
      <c r="AA60" s="54">
        <v>60.88</v>
      </c>
      <c r="AB60" s="124">
        <v>2001500</v>
      </c>
      <c r="AC60" s="54">
        <v>60.58</v>
      </c>
      <c r="AD60" s="2">
        <f t="shared" si="2"/>
        <v>1.5900000000000034</v>
      </c>
      <c r="AE60" s="165">
        <f t="shared" si="3"/>
        <v>-7.6986076986076402E-3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39.7714</v>
      </c>
      <c r="W61" s="130">
        <v>42332</v>
      </c>
      <c r="X61" s="54">
        <v>59.23</v>
      </c>
      <c r="Y61" s="54">
        <v>61.68</v>
      </c>
      <c r="Z61" s="54">
        <v>59.15</v>
      </c>
      <c r="AA61" s="54">
        <v>61.36</v>
      </c>
      <c r="AB61" s="124">
        <v>2771500</v>
      </c>
      <c r="AC61" s="54">
        <v>61.05</v>
      </c>
      <c r="AD61" s="2">
        <f t="shared" si="2"/>
        <v>2.5300000000000011</v>
      </c>
      <c r="AE61" s="165">
        <f t="shared" si="3"/>
        <v>4.4303797468354444E-2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39.348300000000002</v>
      </c>
      <c r="W62" s="130">
        <v>42331</v>
      </c>
      <c r="X62" s="54">
        <v>58.94</v>
      </c>
      <c r="Y62" s="54">
        <v>59.55</v>
      </c>
      <c r="Z62" s="54">
        <v>58.35</v>
      </c>
      <c r="AA62" s="54">
        <v>58.75</v>
      </c>
      <c r="AB62" s="124">
        <v>2097100</v>
      </c>
      <c r="AC62" s="54">
        <v>58.46</v>
      </c>
      <c r="AD62" s="2">
        <f t="shared" si="2"/>
        <v>1.1999999999999957</v>
      </c>
      <c r="AE62" s="165">
        <f t="shared" si="3"/>
        <v>-3.2395566922420738E-3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38.925200000000004</v>
      </c>
      <c r="W63" s="130">
        <v>42328</v>
      </c>
      <c r="X63" s="54">
        <v>60.04</v>
      </c>
      <c r="Y63" s="54">
        <v>60.69</v>
      </c>
      <c r="Z63" s="54">
        <v>58.74</v>
      </c>
      <c r="AA63" s="54">
        <v>58.94</v>
      </c>
      <c r="AB63" s="124">
        <v>3401500</v>
      </c>
      <c r="AC63" s="54">
        <v>58.65</v>
      </c>
      <c r="AD63" s="2">
        <f t="shared" si="2"/>
        <v>1.9499999999999957</v>
      </c>
      <c r="AE63" s="165">
        <f t="shared" si="3"/>
        <v>-1.9230769230769162E-2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38.502100000000006</v>
      </c>
      <c r="W64" s="130">
        <v>42327</v>
      </c>
      <c r="X64" s="54">
        <v>60.78</v>
      </c>
      <c r="Y64" s="54">
        <v>61.17</v>
      </c>
      <c r="Z64" s="54">
        <v>59.32</v>
      </c>
      <c r="AA64" s="54">
        <v>60.1</v>
      </c>
      <c r="AB64" s="124">
        <v>2059200</v>
      </c>
      <c r="AC64" s="54">
        <v>59.8</v>
      </c>
      <c r="AD64" s="2">
        <f t="shared" si="2"/>
        <v>1.8500000000000014</v>
      </c>
      <c r="AE64" s="165">
        <f t="shared" si="3"/>
        <v>-1.7417022674991789E-2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38.079000000000001</v>
      </c>
      <c r="W65" s="130">
        <v>42326</v>
      </c>
      <c r="X65" s="54">
        <v>60.52</v>
      </c>
      <c r="Y65" s="54">
        <v>61.71</v>
      </c>
      <c r="Z65" s="54">
        <v>59.57</v>
      </c>
      <c r="AA65" s="54">
        <v>61.17</v>
      </c>
      <c r="AB65" s="124">
        <v>2329100</v>
      </c>
      <c r="AC65" s="54">
        <v>60.86</v>
      </c>
      <c r="AD65" s="2">
        <f t="shared" si="2"/>
        <v>2.1400000000000006</v>
      </c>
      <c r="AE65" s="165">
        <f t="shared" si="3"/>
        <v>1.7895969225623087E-2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42325</v>
      </c>
      <c r="X66" s="54">
        <v>60.76</v>
      </c>
      <c r="Y66" s="54">
        <v>61.13</v>
      </c>
      <c r="Z66" s="54">
        <v>59.21</v>
      </c>
      <c r="AA66" s="54">
        <v>60.09</v>
      </c>
      <c r="AB66" s="124">
        <v>2501100</v>
      </c>
      <c r="AC66" s="54">
        <v>59.79</v>
      </c>
      <c r="AD66" s="2">
        <f t="shared" si="2"/>
        <v>1.9200000000000017</v>
      </c>
      <c r="AE66" s="165">
        <f t="shared" si="3"/>
        <v>-2.8278888347147757E-2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42324</v>
      </c>
      <c r="X67" s="54">
        <v>60</v>
      </c>
      <c r="Y67" s="54">
        <v>61.85</v>
      </c>
      <c r="Z67" s="54">
        <v>59.47</v>
      </c>
      <c r="AA67" s="54">
        <v>61.84</v>
      </c>
      <c r="AB67" s="124">
        <v>2414600</v>
      </c>
      <c r="AC67" s="54">
        <v>61.53</v>
      </c>
      <c r="AD67" s="2">
        <f>Y67-Z67</f>
        <v>2.3800000000000026</v>
      </c>
      <c r="AE67" s="165">
        <f>AC67/AC68-1</f>
        <v>3.4813319878910232E-2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42321</v>
      </c>
      <c r="X68" s="54">
        <v>59.44</v>
      </c>
      <c r="Y68" s="54">
        <v>60.56</v>
      </c>
      <c r="Z68" s="54">
        <v>58.53</v>
      </c>
      <c r="AA68" s="54">
        <v>59.76</v>
      </c>
      <c r="AB68" s="124">
        <v>2179400</v>
      </c>
      <c r="AC68" s="54">
        <v>59.46</v>
      </c>
      <c r="AD68" s="2">
        <f>Y68-Z68</f>
        <v>2.0300000000000011</v>
      </c>
      <c r="AE68" s="165" t="e">
        <f>AC68/AC69-1</f>
        <v>#DIV/0!</v>
      </c>
    </row>
    <row r="69" spans="2:31" x14ac:dyDescent="0.25">
      <c r="B69" s="248">
        <v>42421</v>
      </c>
      <c r="C69" s="12">
        <v>750</v>
      </c>
      <c r="D69" s="257">
        <v>46.357999999999997</v>
      </c>
      <c r="E69" s="53">
        <v>42.31</v>
      </c>
      <c r="F69" s="53">
        <f t="shared" si="9"/>
        <v>-3035.9999999999959</v>
      </c>
      <c r="G69" s="53">
        <f t="shared" si="10"/>
        <v>34768.5</v>
      </c>
      <c r="H69" s="305">
        <f t="shared" si="11"/>
        <v>-8.7320419345096753E-2</v>
      </c>
      <c r="I69" s="250"/>
      <c r="W69" s="130" t="s">
        <v>130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/>
      <c r="C70" s="12"/>
      <c r="D70" s="257"/>
      <c r="E70" s="53"/>
      <c r="F70" s="53"/>
      <c r="G70" s="53"/>
      <c r="H70" s="305"/>
      <c r="I70" s="250"/>
    </row>
    <row r="71" spans="2:31" x14ac:dyDescent="0.25">
      <c r="B71" s="248"/>
      <c r="C71" s="12"/>
      <c r="D71" s="257"/>
      <c r="E71" s="53"/>
      <c r="F71" s="53"/>
      <c r="G71" s="53"/>
      <c r="H71" s="305"/>
      <c r="I71" s="250"/>
    </row>
    <row r="72" spans="2:31" x14ac:dyDescent="0.25">
      <c r="B72" s="248"/>
      <c r="C72" s="12"/>
      <c r="D72" s="257"/>
      <c r="E72" s="53"/>
      <c r="F72" s="53"/>
      <c r="G72" s="53"/>
      <c r="H72" s="305"/>
      <c r="I72" s="250"/>
    </row>
    <row r="73" spans="2:31" x14ac:dyDescent="0.25">
      <c r="B73" s="248"/>
      <c r="C73" s="12"/>
      <c r="D73" s="257"/>
      <c r="E73" s="53"/>
      <c r="F73" s="53"/>
      <c r="G73" s="53"/>
      <c r="H73" s="305"/>
      <c r="I73" s="250"/>
    </row>
    <row r="74" spans="2:31" x14ac:dyDescent="0.25">
      <c r="B74" s="248"/>
      <c r="C74" s="12"/>
      <c r="D74" s="257"/>
      <c r="E74" s="53"/>
      <c r="F74" s="53"/>
      <c r="G74" s="53"/>
      <c r="H74" s="305"/>
      <c r="I74" s="250"/>
    </row>
    <row r="75" spans="2:31" x14ac:dyDescent="0.25">
      <c r="B75" s="248"/>
      <c r="C75" s="12"/>
      <c r="D75" s="257"/>
      <c r="E75" s="53"/>
      <c r="F75" s="53"/>
      <c r="G75" s="53"/>
      <c r="H75" s="305"/>
      <c r="I75" s="250"/>
    </row>
    <row r="76" spans="2:31" x14ac:dyDescent="0.25">
      <c r="B76" s="248"/>
      <c r="C76" s="12"/>
      <c r="D76" s="257"/>
      <c r="E76" s="53"/>
      <c r="F76" s="53"/>
      <c r="G76" s="53"/>
      <c r="H76" s="305"/>
      <c r="I76" s="250"/>
    </row>
    <row r="77" spans="2:31" x14ac:dyDescent="0.25">
      <c r="B77" s="248"/>
      <c r="C77" s="12"/>
      <c r="D77" s="257"/>
      <c r="E77" s="53"/>
      <c r="F77" s="53"/>
      <c r="G77" s="53"/>
      <c r="H77" s="305"/>
      <c r="I77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47" priority="20">
      <formula>Q7&gt;0</formula>
    </cfRule>
    <cfRule type="expression" dxfId="34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45" priority="13">
      <formula>F49&gt;0</formula>
    </cfRule>
    <cfRule type="expression" dxfId="344" priority="14">
      <formula>F49&lt;0</formula>
    </cfRule>
  </conditionalFormatting>
  <conditionalFormatting sqref="H49">
    <cfRule type="expression" dxfId="343" priority="11">
      <formula>H49&gt;0</formula>
    </cfRule>
    <cfRule type="expression" dxfId="342" priority="12">
      <formula>H49&lt;0</formula>
    </cfRule>
  </conditionalFormatting>
  <conditionalFormatting sqref="H66:H77">
    <cfRule type="expression" dxfId="341" priority="5">
      <formula>H66&gt;0</formula>
    </cfRule>
    <cfRule type="expression" dxfId="340" priority="6">
      <formula>H66&lt;0</formula>
    </cfRule>
  </conditionalFormatting>
  <conditionalFormatting sqref="F50:F65">
    <cfRule type="expression" dxfId="339" priority="3">
      <formula>F50&gt;0</formula>
    </cfRule>
    <cfRule type="expression" dxfId="338" priority="4">
      <formula>F50&lt;0</formula>
    </cfRule>
  </conditionalFormatting>
  <conditionalFormatting sqref="H50:H65">
    <cfRule type="expression" dxfId="337" priority="1">
      <formula>H50&gt;0</formula>
    </cfRule>
    <cfRule type="expression" dxfId="33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42419</v>
      </c>
      <c r="X2" s="12">
        <v>78.52</v>
      </c>
      <c r="Y2" s="12">
        <v>80</v>
      </c>
      <c r="Z2" s="12">
        <v>78</v>
      </c>
      <c r="AA2" s="12">
        <v>79.900000000000006</v>
      </c>
      <c r="AB2" s="115">
        <v>4786700</v>
      </c>
      <c r="AC2" s="12">
        <v>79.900000000000006</v>
      </c>
      <c r="AD2" s="2">
        <f>Y2-Z2</f>
        <v>2</v>
      </c>
      <c r="AE2" s="165">
        <f>AC2/AC3-1</f>
        <v>1.5764047800661096E-2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79.900000000000006</v>
      </c>
      <c r="W3" s="160">
        <v>42418</v>
      </c>
      <c r="X3" s="12">
        <v>79.760000000000005</v>
      </c>
      <c r="Y3" s="12">
        <v>80.13</v>
      </c>
      <c r="Z3" s="12">
        <v>78.180000000000007</v>
      </c>
      <c r="AA3" s="12">
        <v>78.66</v>
      </c>
      <c r="AB3" s="115">
        <v>5550200</v>
      </c>
      <c r="AC3" s="12">
        <v>78.66</v>
      </c>
      <c r="AD3" s="2">
        <f t="shared" ref="AD3:AD66" si="1">Y3-Z3</f>
        <v>1.9499999999999886</v>
      </c>
      <c r="AE3" s="165">
        <f t="shared" ref="AE3:AE66" si="2">AC3/AC4-1</f>
        <v>-1.6258129064532278E-2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79.900000000000006</v>
      </c>
      <c r="W4" s="160">
        <v>42417</v>
      </c>
      <c r="X4" s="12">
        <v>78.72</v>
      </c>
      <c r="Y4" s="12">
        <v>80.5</v>
      </c>
      <c r="Z4" s="12">
        <v>78.47</v>
      </c>
      <c r="AA4" s="12">
        <v>79.959999999999994</v>
      </c>
      <c r="AB4" s="115">
        <v>6299900</v>
      </c>
      <c r="AC4" s="12">
        <v>79.959999999999994</v>
      </c>
      <c r="AD4" s="2">
        <f t="shared" si="1"/>
        <v>2.0300000000000011</v>
      </c>
      <c r="AE4" s="165">
        <f t="shared" si="2"/>
        <v>7.4335391205744283E-3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42416</v>
      </c>
      <c r="X5" s="12">
        <v>78</v>
      </c>
      <c r="Y5" s="12">
        <v>80.27</v>
      </c>
      <c r="Z5" s="12">
        <v>76.900000000000006</v>
      </c>
      <c r="AA5" s="12">
        <v>79.37</v>
      </c>
      <c r="AB5" s="115">
        <v>6172800</v>
      </c>
      <c r="AC5" s="12">
        <v>79.37</v>
      </c>
      <c r="AD5" s="2">
        <f t="shared" si="1"/>
        <v>3.3699999999999903</v>
      </c>
      <c r="AE5" s="165">
        <f t="shared" si="2"/>
        <v>2.8108808290155496E-2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42412</v>
      </c>
      <c r="X6" s="12">
        <v>77.33</v>
      </c>
      <c r="Y6" s="12">
        <v>78.34</v>
      </c>
      <c r="Z6" s="12">
        <v>76.25</v>
      </c>
      <c r="AA6" s="12">
        <v>77.2</v>
      </c>
      <c r="AB6" s="115">
        <v>5708300</v>
      </c>
      <c r="AC6" s="12">
        <v>77.2</v>
      </c>
      <c r="AD6" s="2">
        <f t="shared" si="1"/>
        <v>2.0900000000000034</v>
      </c>
      <c r="AE6" s="165">
        <f t="shared" si="2"/>
        <v>2.1975112523166418E-2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42411</v>
      </c>
      <c r="X7" s="12">
        <v>75.73</v>
      </c>
      <c r="Y7" s="12">
        <v>76.31</v>
      </c>
      <c r="Z7" s="12">
        <v>73.59</v>
      </c>
      <c r="AA7" s="12">
        <v>75.540000000000006</v>
      </c>
      <c r="AB7" s="115">
        <v>6682300</v>
      </c>
      <c r="AC7" s="12">
        <v>75.540000000000006</v>
      </c>
      <c r="AD7" s="2">
        <f t="shared" si="1"/>
        <v>2.7199999999999989</v>
      </c>
      <c r="AE7" s="165">
        <f t="shared" si="2"/>
        <v>-1.8195996880686183E-2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42410</v>
      </c>
      <c r="X8" s="12">
        <v>78.02</v>
      </c>
      <c r="Y8" s="12">
        <v>78.62</v>
      </c>
      <c r="Z8" s="12">
        <v>76.34</v>
      </c>
      <c r="AA8" s="12">
        <v>76.94</v>
      </c>
      <c r="AB8" s="115">
        <v>6259900</v>
      </c>
      <c r="AC8" s="12">
        <v>76.94</v>
      </c>
      <c r="AD8" s="2">
        <f t="shared" si="1"/>
        <v>2.2800000000000011</v>
      </c>
      <c r="AE8" s="165">
        <f t="shared" si="2"/>
        <v>-2.3340248962656629E-3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42409</v>
      </c>
      <c r="X9" s="12">
        <v>75.099999999999994</v>
      </c>
      <c r="Y9" s="12">
        <v>77.849999999999994</v>
      </c>
      <c r="Z9" s="12">
        <v>75</v>
      </c>
      <c r="AA9" s="12">
        <v>77.12</v>
      </c>
      <c r="AB9" s="115">
        <v>7216800</v>
      </c>
      <c r="AC9" s="12">
        <v>77.12</v>
      </c>
      <c r="AD9" s="2">
        <f t="shared" si="1"/>
        <v>2.8499999999999943</v>
      </c>
      <c r="AE9" s="165">
        <f t="shared" si="2"/>
        <v>1.4336446139681769E-2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42408</v>
      </c>
      <c r="X10" s="12">
        <v>74.48</v>
      </c>
      <c r="Y10" s="12">
        <v>76.56</v>
      </c>
      <c r="Z10" s="12">
        <v>73.459999999999994</v>
      </c>
      <c r="AA10" s="12">
        <v>76.03</v>
      </c>
      <c r="AB10" s="115">
        <v>7595000</v>
      </c>
      <c r="AC10" s="12">
        <v>76.03</v>
      </c>
      <c r="AD10" s="2">
        <f t="shared" si="1"/>
        <v>3.1000000000000085</v>
      </c>
      <c r="AE10" s="165">
        <f t="shared" si="2"/>
        <v>1.3328002132480421E-2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42405</v>
      </c>
      <c r="X11" s="12">
        <v>75.209999999999994</v>
      </c>
      <c r="Y11" s="12">
        <v>76.010000000000005</v>
      </c>
      <c r="Z11" s="12">
        <v>74.2</v>
      </c>
      <c r="AA11" s="12">
        <v>75.03</v>
      </c>
      <c r="AB11" s="115">
        <v>5749200</v>
      </c>
      <c r="AC11" s="12">
        <v>75.03</v>
      </c>
      <c r="AD11" s="2">
        <f t="shared" si="1"/>
        <v>1.8100000000000023</v>
      </c>
      <c r="AE11" s="165">
        <f t="shared" si="2"/>
        <v>-6.4883474576270528E-3</v>
      </c>
    </row>
    <row r="12" spans="1:31" x14ac:dyDescent="0.25">
      <c r="U12" s="164"/>
      <c r="W12" s="160">
        <v>42404</v>
      </c>
      <c r="X12" s="12">
        <v>72.02</v>
      </c>
      <c r="Y12" s="12">
        <v>76.42</v>
      </c>
      <c r="Z12" s="12">
        <v>72.02</v>
      </c>
      <c r="AA12" s="12">
        <v>75.52</v>
      </c>
      <c r="AB12" s="115">
        <v>7239100</v>
      </c>
      <c r="AC12" s="12">
        <v>75.52</v>
      </c>
      <c r="AD12" s="2">
        <f t="shared" si="1"/>
        <v>4.4000000000000057</v>
      </c>
      <c r="AE12" s="165">
        <f t="shared" si="2"/>
        <v>4.5114862994741101E-2</v>
      </c>
    </row>
    <row r="13" spans="1:31" x14ac:dyDescent="0.25">
      <c r="T13" s="85"/>
      <c r="W13" s="160">
        <v>42403</v>
      </c>
      <c r="X13" s="12">
        <v>71.989999999999995</v>
      </c>
      <c r="Y13" s="12">
        <v>72.39</v>
      </c>
      <c r="Z13" s="12">
        <v>70.540000000000006</v>
      </c>
      <c r="AA13" s="12">
        <v>72.260000000000005</v>
      </c>
      <c r="AB13" s="115">
        <v>6500200</v>
      </c>
      <c r="AC13" s="12">
        <v>72.260000000000005</v>
      </c>
      <c r="AD13" s="2">
        <f t="shared" si="1"/>
        <v>1.8499999999999943</v>
      </c>
      <c r="AE13" s="165">
        <f t="shared" si="2"/>
        <v>7.6697810626134011E-3</v>
      </c>
    </row>
    <row r="14" spans="1:31" x14ac:dyDescent="0.25">
      <c r="W14" s="160">
        <v>42402</v>
      </c>
      <c r="X14" s="12">
        <v>73.260000000000005</v>
      </c>
      <c r="Y14" s="12">
        <v>73.36</v>
      </c>
      <c r="Z14" s="12">
        <v>71.17</v>
      </c>
      <c r="AA14" s="12">
        <v>71.709999999999994</v>
      </c>
      <c r="AB14" s="115">
        <v>8580200</v>
      </c>
      <c r="AC14" s="12">
        <v>71.709999999999994</v>
      </c>
      <c r="AD14" s="2">
        <f t="shared" si="1"/>
        <v>2.1899999999999977</v>
      </c>
      <c r="AE14" s="165">
        <f t="shared" si="2"/>
        <v>-1.8880831851142532E-2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42401</v>
      </c>
      <c r="X15" s="12">
        <v>70.900000000000006</v>
      </c>
      <c r="Y15" s="12">
        <v>73.56</v>
      </c>
      <c r="Z15" s="12">
        <v>70.349999999999994</v>
      </c>
      <c r="AA15" s="12">
        <v>73.09</v>
      </c>
      <c r="AB15" s="115">
        <v>8394700</v>
      </c>
      <c r="AC15" s="12">
        <v>73.09</v>
      </c>
      <c r="AD15" s="2">
        <f t="shared" si="1"/>
        <v>3.210000000000008</v>
      </c>
      <c r="AE15" s="165">
        <f t="shared" si="2"/>
        <v>1.5138888888889035E-2</v>
      </c>
    </row>
    <row r="16" spans="1:31" x14ac:dyDescent="0.25">
      <c r="W16" s="160">
        <v>42398</v>
      </c>
      <c r="X16" s="12">
        <v>70.5</v>
      </c>
      <c r="Y16" s="12">
        <v>72.03</v>
      </c>
      <c r="Z16" s="12">
        <v>70.17</v>
      </c>
      <c r="AA16" s="12">
        <v>72</v>
      </c>
      <c r="AB16" s="115">
        <v>6852400</v>
      </c>
      <c r="AC16" s="12">
        <v>72</v>
      </c>
      <c r="AD16" s="2">
        <f t="shared" si="1"/>
        <v>1.8599999999999994</v>
      </c>
      <c r="AE16" s="165">
        <f t="shared" si="2"/>
        <v>2.6225769669327326E-2</v>
      </c>
    </row>
    <row r="17" spans="2:31" x14ac:dyDescent="0.25">
      <c r="W17" s="160">
        <v>42397</v>
      </c>
      <c r="X17" s="12">
        <v>69.849999999999994</v>
      </c>
      <c r="Y17" s="12">
        <v>70.31</v>
      </c>
      <c r="Z17" s="12">
        <v>68.72</v>
      </c>
      <c r="AA17" s="12">
        <v>70.16</v>
      </c>
      <c r="AB17" s="115">
        <v>6735100</v>
      </c>
      <c r="AC17" s="12">
        <v>70.16</v>
      </c>
      <c r="AD17" s="2">
        <f t="shared" si="1"/>
        <v>1.5900000000000034</v>
      </c>
      <c r="AE17" s="165">
        <f t="shared" si="2"/>
        <v>1.5928178395598014E-2</v>
      </c>
    </row>
    <row r="18" spans="2:31" x14ac:dyDescent="0.25">
      <c r="W18" s="160">
        <v>42396</v>
      </c>
      <c r="X18" s="12">
        <v>70</v>
      </c>
      <c r="Y18" s="12">
        <v>70.97</v>
      </c>
      <c r="Z18" s="12">
        <v>68.72</v>
      </c>
      <c r="AA18" s="12">
        <v>69.06</v>
      </c>
      <c r="AB18" s="115">
        <v>6126800</v>
      </c>
      <c r="AC18" s="12">
        <v>69.06</v>
      </c>
      <c r="AD18" s="2">
        <f t="shared" si="1"/>
        <v>2.25</v>
      </c>
      <c r="AE18" s="165">
        <f t="shared" si="2"/>
        <v>-1.3992004568817884E-2</v>
      </c>
    </row>
    <row r="19" spans="2:31" x14ac:dyDescent="0.25">
      <c r="W19" s="160">
        <v>42395</v>
      </c>
      <c r="X19" s="12">
        <v>69.34</v>
      </c>
      <c r="Y19" s="12">
        <v>70.47</v>
      </c>
      <c r="Z19" s="12">
        <v>69.11</v>
      </c>
      <c r="AA19" s="12">
        <v>70.040000000000006</v>
      </c>
      <c r="AB19" s="115">
        <v>6707200</v>
      </c>
      <c r="AC19" s="12">
        <v>70.040000000000006</v>
      </c>
      <c r="AD19" s="2">
        <f t="shared" si="1"/>
        <v>1.3599999999999994</v>
      </c>
      <c r="AE19" s="165">
        <f t="shared" si="2"/>
        <v>1.8171245820613358E-2</v>
      </c>
    </row>
    <row r="20" spans="2:31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49" t="s">
        <v>65</v>
      </c>
      <c r="G20" s="294" t="s">
        <v>195</v>
      </c>
      <c r="H20" s="294" t="s">
        <v>92</v>
      </c>
      <c r="I20" s="294" t="s">
        <v>203</v>
      </c>
      <c r="W20" s="160">
        <v>42394</v>
      </c>
      <c r="X20" s="12">
        <v>69.66</v>
      </c>
      <c r="Y20" s="12">
        <v>69.77</v>
      </c>
      <c r="Z20" s="12">
        <v>68.66</v>
      </c>
      <c r="AA20" s="12">
        <v>68.790000000000006</v>
      </c>
      <c r="AB20" s="115">
        <v>7075700</v>
      </c>
      <c r="AC20" s="12">
        <v>68.790000000000006</v>
      </c>
      <c r="AD20" s="2">
        <f t="shared" si="1"/>
        <v>1.1099999999999994</v>
      </c>
      <c r="AE20" s="165">
        <f t="shared" si="2"/>
        <v>-1.7145306472353017E-2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42391</v>
      </c>
      <c r="X21" s="12">
        <v>71.34</v>
      </c>
      <c r="Y21" s="12">
        <v>72.349999999999994</v>
      </c>
      <c r="Z21" s="12">
        <v>68.430000000000007</v>
      </c>
      <c r="AA21" s="12">
        <v>69.989999999999995</v>
      </c>
      <c r="AB21" s="115">
        <v>15341600</v>
      </c>
      <c r="AC21" s="12">
        <v>69.989999999999995</v>
      </c>
      <c r="AD21" s="2">
        <f t="shared" si="1"/>
        <v>3.9199999999999875</v>
      </c>
      <c r="AE21" s="165">
        <f t="shared" si="2"/>
        <v>-1.4225352112676171E-2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42390</v>
      </c>
      <c r="X22" s="12">
        <v>69.5</v>
      </c>
      <c r="Y22" s="12">
        <v>71.73</v>
      </c>
      <c r="Z22" s="12">
        <v>67.06</v>
      </c>
      <c r="AA22" s="12">
        <v>71</v>
      </c>
      <c r="AB22" s="115">
        <v>19529500</v>
      </c>
      <c r="AC22" s="12">
        <v>71</v>
      </c>
      <c r="AD22" s="2">
        <f t="shared" si="1"/>
        <v>4.6700000000000017</v>
      </c>
      <c r="AE22" s="165">
        <f t="shared" si="2"/>
        <v>-3.5457138975682589E-2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42389</v>
      </c>
      <c r="X23" s="12">
        <v>74.099999999999994</v>
      </c>
      <c r="Y23" s="12">
        <v>74.150000000000006</v>
      </c>
      <c r="Z23" s="12">
        <v>71.569999999999993</v>
      </c>
      <c r="AA23" s="12">
        <v>73.61</v>
      </c>
      <c r="AB23" s="115">
        <v>10483000</v>
      </c>
      <c r="AC23" s="12">
        <v>73.61</v>
      </c>
      <c r="AD23" s="2">
        <f t="shared" si="1"/>
        <v>2.5800000000000125</v>
      </c>
      <c r="AE23" s="165">
        <f t="shared" si="2"/>
        <v>-6.6126855600538992E-3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42388</v>
      </c>
      <c r="X24" s="12">
        <v>74.989999999999995</v>
      </c>
      <c r="Y24" s="12">
        <v>75.16</v>
      </c>
      <c r="Z24" s="12">
        <v>73.27</v>
      </c>
      <c r="AA24" s="12">
        <v>74.099999999999994</v>
      </c>
      <c r="AB24" s="115">
        <v>7021900</v>
      </c>
      <c r="AC24" s="12">
        <v>74.099999999999994</v>
      </c>
      <c r="AD24" s="2">
        <f t="shared" si="1"/>
        <v>1.8900000000000006</v>
      </c>
      <c r="AE24" s="165">
        <f t="shared" si="2"/>
        <v>-1.3493455674007393E-4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42384</v>
      </c>
      <c r="X25" s="12">
        <v>72.84</v>
      </c>
      <c r="Y25" s="12">
        <v>74.27</v>
      </c>
      <c r="Z25" s="12">
        <v>72.63</v>
      </c>
      <c r="AA25" s="12">
        <v>74.11</v>
      </c>
      <c r="AB25" s="115">
        <v>7412100</v>
      </c>
      <c r="AC25" s="12">
        <v>74.11</v>
      </c>
      <c r="AD25" s="2">
        <f t="shared" si="1"/>
        <v>1.6400000000000006</v>
      </c>
      <c r="AE25" s="165">
        <f t="shared" si="2"/>
        <v>-1.7369398037655803E-2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42383</v>
      </c>
      <c r="X26" s="12">
        <v>73.86</v>
      </c>
      <c r="Y26" s="12">
        <v>76.599999999999994</v>
      </c>
      <c r="Z26" s="12">
        <v>73.7</v>
      </c>
      <c r="AA26" s="12">
        <v>75.42</v>
      </c>
      <c r="AB26" s="115">
        <v>7429000</v>
      </c>
      <c r="AC26" s="12">
        <v>75.42</v>
      </c>
      <c r="AD26" s="2">
        <f t="shared" si="1"/>
        <v>2.8999999999999915</v>
      </c>
      <c r="AE26" s="165">
        <f t="shared" si="2"/>
        <v>2.1259309410968319E-2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42382</v>
      </c>
      <c r="X27" s="12">
        <v>76.2</v>
      </c>
      <c r="Y27" s="12">
        <v>76.84</v>
      </c>
      <c r="Z27" s="12">
        <v>73.209999999999994</v>
      </c>
      <c r="AA27" s="12">
        <v>73.849999999999994</v>
      </c>
      <c r="AB27" s="115">
        <v>8595900</v>
      </c>
      <c r="AC27" s="12">
        <v>73.849999999999994</v>
      </c>
      <c r="AD27" s="2">
        <f t="shared" si="1"/>
        <v>3.6300000000000097</v>
      </c>
      <c r="AE27" s="165">
        <f t="shared" si="2"/>
        <v>-3.1729382457060473E-2</v>
      </c>
    </row>
    <row r="28" spans="2:31" x14ac:dyDescent="0.25">
      <c r="W28" s="160">
        <v>42381</v>
      </c>
      <c r="X28" s="12">
        <v>75.510000000000005</v>
      </c>
      <c r="Y28" s="12">
        <v>76.459999999999994</v>
      </c>
      <c r="Z28" s="12">
        <v>74.38</v>
      </c>
      <c r="AA28" s="12">
        <v>76.27</v>
      </c>
      <c r="AB28" s="115">
        <v>6985600</v>
      </c>
      <c r="AC28" s="12">
        <v>76.27</v>
      </c>
      <c r="AD28" s="2">
        <f t="shared" si="1"/>
        <v>2.0799999999999983</v>
      </c>
      <c r="AE28" s="165">
        <f t="shared" si="2"/>
        <v>1.9516107472262956E-2</v>
      </c>
    </row>
    <row r="29" spans="2:31" x14ac:dyDescent="0.25">
      <c r="W29" s="160">
        <v>42380</v>
      </c>
      <c r="X29" s="12">
        <v>74.36</v>
      </c>
      <c r="Y29" s="12">
        <v>75.05</v>
      </c>
      <c r="Z29" s="12">
        <v>73.63</v>
      </c>
      <c r="AA29" s="12">
        <v>74.81</v>
      </c>
      <c r="AB29" s="115">
        <v>7759500</v>
      </c>
      <c r="AC29" s="12">
        <v>74.81</v>
      </c>
      <c r="AD29" s="2">
        <f t="shared" si="1"/>
        <v>1.4200000000000017</v>
      </c>
      <c r="AE29" s="165">
        <f t="shared" si="2"/>
        <v>1.2862171676144118E-2</v>
      </c>
    </row>
    <row r="30" spans="2:31" x14ac:dyDescent="0.25">
      <c r="W30" s="160">
        <v>42377</v>
      </c>
      <c r="X30" s="12">
        <v>73.56</v>
      </c>
      <c r="Y30" s="12">
        <v>74.38</v>
      </c>
      <c r="Z30" s="12">
        <v>73.2</v>
      </c>
      <c r="AA30" s="12">
        <v>73.86</v>
      </c>
      <c r="AB30" s="115">
        <v>7505200</v>
      </c>
      <c r="AC30" s="12">
        <v>73.86</v>
      </c>
      <c r="AD30" s="2">
        <f t="shared" si="1"/>
        <v>1.1799999999999926</v>
      </c>
      <c r="AE30" s="165">
        <f t="shared" si="2"/>
        <v>1.0673234811165777E-2</v>
      </c>
    </row>
    <row r="31" spans="2:31" x14ac:dyDescent="0.25">
      <c r="W31" s="160">
        <v>42376</v>
      </c>
      <c r="X31" s="12">
        <v>73.39</v>
      </c>
      <c r="Y31" s="12">
        <v>74.19</v>
      </c>
      <c r="Z31" s="12">
        <v>72.42</v>
      </c>
      <c r="AA31" s="12">
        <v>73.08</v>
      </c>
      <c r="AB31" s="115">
        <v>8966400</v>
      </c>
      <c r="AC31" s="12">
        <v>73.08</v>
      </c>
      <c r="AD31" s="2">
        <f t="shared" si="1"/>
        <v>1.769999999999996</v>
      </c>
      <c r="AE31" s="165">
        <f t="shared" si="2"/>
        <v>-2.3386342376052416E-2</v>
      </c>
    </row>
    <row r="32" spans="2:31" x14ac:dyDescent="0.25">
      <c r="W32" s="160">
        <v>42375</v>
      </c>
      <c r="X32" s="12">
        <v>76.75</v>
      </c>
      <c r="Y32" s="12">
        <v>77.19</v>
      </c>
      <c r="Z32" s="12">
        <v>74.239999999999995</v>
      </c>
      <c r="AA32" s="12">
        <v>74.83</v>
      </c>
      <c r="AB32" s="115">
        <v>8114600</v>
      </c>
      <c r="AC32" s="12">
        <v>74.83</v>
      </c>
      <c r="AD32" s="2">
        <f t="shared" si="1"/>
        <v>2.9500000000000028</v>
      </c>
      <c r="AE32" s="165">
        <f t="shared" si="2"/>
        <v>-4.3216979925840615E-2</v>
      </c>
    </row>
    <row r="33" spans="4:31" x14ac:dyDescent="0.25">
      <c r="W33" s="160">
        <v>42374</v>
      </c>
      <c r="X33" s="12">
        <v>79.010000000000005</v>
      </c>
      <c r="Y33" s="12">
        <v>79.34</v>
      </c>
      <c r="Z33" s="12">
        <v>77.3</v>
      </c>
      <c r="AA33" s="12">
        <v>78.209999999999994</v>
      </c>
      <c r="AB33" s="115">
        <v>6117300</v>
      </c>
      <c r="AC33" s="12">
        <v>78.209999999999994</v>
      </c>
      <c r="AD33" s="2">
        <f t="shared" si="1"/>
        <v>2.0400000000000063</v>
      </c>
      <c r="AE33" s="165">
        <f t="shared" si="2"/>
        <v>-9.6239078130936351E-3</v>
      </c>
    </row>
    <row r="34" spans="4:31" x14ac:dyDescent="0.25">
      <c r="W34" s="160">
        <v>42373</v>
      </c>
      <c r="X34" s="12">
        <v>76.87</v>
      </c>
      <c r="Y34" s="12">
        <v>79.040000000000006</v>
      </c>
      <c r="Z34" s="12">
        <v>76.13</v>
      </c>
      <c r="AA34" s="12">
        <v>78.97</v>
      </c>
      <c r="AB34" s="115">
        <v>6890200</v>
      </c>
      <c r="AC34" s="12">
        <v>78.97</v>
      </c>
      <c r="AD34" s="2">
        <f t="shared" si="1"/>
        <v>2.9100000000000108</v>
      </c>
      <c r="AE34" s="165">
        <f t="shared" si="2"/>
        <v>9.8465473145779026E-3</v>
      </c>
    </row>
    <row r="35" spans="4:31" x14ac:dyDescent="0.25">
      <c r="W35" s="160">
        <v>42369</v>
      </c>
      <c r="X35" s="12">
        <v>77.73</v>
      </c>
      <c r="Y35" s="12">
        <v>79.150000000000006</v>
      </c>
      <c r="Z35" s="12">
        <v>77.569999999999993</v>
      </c>
      <c r="AA35" s="12">
        <v>78.2</v>
      </c>
      <c r="AB35" s="115">
        <v>3685000</v>
      </c>
      <c r="AC35" s="12">
        <v>78.2</v>
      </c>
      <c r="AD35" s="2">
        <f t="shared" si="1"/>
        <v>1.5800000000000125</v>
      </c>
      <c r="AE35" s="165">
        <f t="shared" si="2"/>
        <v>-3.9485415870590401E-3</v>
      </c>
    </row>
    <row r="36" spans="4:31" x14ac:dyDescent="0.25">
      <c r="W36" s="160">
        <v>42368</v>
      </c>
      <c r="X36" s="12">
        <v>78.66</v>
      </c>
      <c r="Y36" s="12">
        <v>78.78</v>
      </c>
      <c r="Z36" s="12">
        <v>78.16</v>
      </c>
      <c r="AA36" s="12">
        <v>78.510000000000005</v>
      </c>
      <c r="AB36" s="115">
        <v>3685500</v>
      </c>
      <c r="AC36" s="12">
        <v>78.510000000000005</v>
      </c>
      <c r="AD36" s="2">
        <f t="shared" si="1"/>
        <v>0.62000000000000455</v>
      </c>
      <c r="AE36" s="165">
        <f t="shared" si="2"/>
        <v>-5.8249968342407588E-3</v>
      </c>
    </row>
    <row r="37" spans="4:31" x14ac:dyDescent="0.25">
      <c r="W37" s="160">
        <v>42367</v>
      </c>
      <c r="X37" s="12">
        <v>78.599999999999994</v>
      </c>
      <c r="Y37" s="12">
        <v>79.05</v>
      </c>
      <c r="Z37" s="12">
        <v>78.11</v>
      </c>
      <c r="AA37" s="12">
        <v>78.97</v>
      </c>
      <c r="AB37" s="115">
        <v>3503600</v>
      </c>
      <c r="AC37" s="12">
        <v>78.97</v>
      </c>
      <c r="AD37" s="2">
        <f t="shared" si="1"/>
        <v>0.93999999999999773</v>
      </c>
      <c r="AE37" s="165">
        <f t="shared" si="2"/>
        <v>8.0418687771253161E-3</v>
      </c>
    </row>
    <row r="38" spans="4:31" x14ac:dyDescent="0.25">
      <c r="D38" s="86"/>
      <c r="W38" s="160">
        <v>42366</v>
      </c>
      <c r="X38" s="12">
        <v>78.489999999999995</v>
      </c>
      <c r="Y38" s="12">
        <v>78.73</v>
      </c>
      <c r="Z38" s="12">
        <v>77.94</v>
      </c>
      <c r="AA38" s="12">
        <v>78.34</v>
      </c>
      <c r="AB38" s="115">
        <v>3958400</v>
      </c>
      <c r="AC38" s="12">
        <v>78.34</v>
      </c>
      <c r="AD38" s="2">
        <f t="shared" si="1"/>
        <v>0.79000000000000625</v>
      </c>
      <c r="AE38" s="165">
        <f t="shared" si="2"/>
        <v>-5.8375634517765507E-3</v>
      </c>
    </row>
    <row r="39" spans="4:31" x14ac:dyDescent="0.25">
      <c r="W39" s="160">
        <v>42362</v>
      </c>
      <c r="X39" s="12">
        <v>78.790000000000006</v>
      </c>
      <c r="Y39" s="12">
        <v>79.099999999999994</v>
      </c>
      <c r="Z39" s="12">
        <v>78.5</v>
      </c>
      <c r="AA39" s="12">
        <v>78.8</v>
      </c>
      <c r="AB39" s="115">
        <v>2327500</v>
      </c>
      <c r="AC39" s="12">
        <v>78.8</v>
      </c>
      <c r="AD39" s="2">
        <f t="shared" si="1"/>
        <v>0.59999999999999432</v>
      </c>
      <c r="AE39" s="165">
        <f t="shared" si="2"/>
        <v>3.8085565570655788E-4</v>
      </c>
    </row>
    <row r="40" spans="4:31" x14ac:dyDescent="0.25">
      <c r="W40" s="160">
        <v>42361</v>
      </c>
      <c r="X40" s="12">
        <v>77.84</v>
      </c>
      <c r="Y40" s="12">
        <v>79.13</v>
      </c>
      <c r="Z40" s="12">
        <v>77.569999999999993</v>
      </c>
      <c r="AA40" s="12">
        <v>78.77</v>
      </c>
      <c r="AB40" s="115">
        <v>5821900</v>
      </c>
      <c r="AC40" s="12">
        <v>78.77</v>
      </c>
      <c r="AD40" s="2">
        <f t="shared" si="1"/>
        <v>1.5600000000000023</v>
      </c>
      <c r="AE40" s="165">
        <f t="shared" si="2"/>
        <v>2.2190500908382926E-2</v>
      </c>
    </row>
    <row r="41" spans="4:31" x14ac:dyDescent="0.25">
      <c r="W41" s="160">
        <v>42360</v>
      </c>
      <c r="X41" s="12">
        <v>76.06</v>
      </c>
      <c r="Y41" s="12">
        <v>77.59</v>
      </c>
      <c r="Z41" s="12">
        <v>75.87</v>
      </c>
      <c r="AA41" s="12">
        <v>77.06</v>
      </c>
      <c r="AB41" s="115">
        <v>5702600</v>
      </c>
      <c r="AC41" s="12">
        <v>77.06</v>
      </c>
      <c r="AD41" s="2">
        <f t="shared" si="1"/>
        <v>1.7199999999999989</v>
      </c>
      <c r="AE41" s="165">
        <f t="shared" si="2"/>
        <v>2.0797456616770571E-2</v>
      </c>
    </row>
    <row r="42" spans="4:31" x14ac:dyDescent="0.25">
      <c r="W42" s="160">
        <v>42359</v>
      </c>
      <c r="X42" s="12">
        <v>75.989999999999995</v>
      </c>
      <c r="Y42" s="12">
        <v>76.430000000000007</v>
      </c>
      <c r="Z42" s="12">
        <v>75.02</v>
      </c>
      <c r="AA42" s="12">
        <v>75.489999999999995</v>
      </c>
      <c r="AB42" s="115">
        <v>5246100</v>
      </c>
      <c r="AC42" s="12">
        <v>75.489999999999995</v>
      </c>
      <c r="AD42" s="2">
        <f t="shared" si="1"/>
        <v>1.4100000000000108</v>
      </c>
      <c r="AE42" s="165">
        <f t="shared" si="2"/>
        <v>7.9543948031268741E-4</v>
      </c>
    </row>
    <row r="43" spans="4:31" x14ac:dyDescent="0.25">
      <c r="W43" s="160">
        <v>42356</v>
      </c>
      <c r="X43" s="12">
        <v>76.819999999999993</v>
      </c>
      <c r="Y43" s="12">
        <v>76.83</v>
      </c>
      <c r="Z43" s="12">
        <v>75.28</v>
      </c>
      <c r="AA43" s="12">
        <v>75.430000000000007</v>
      </c>
      <c r="AB43" s="115">
        <v>9024900</v>
      </c>
      <c r="AC43" s="12">
        <v>75.430000000000007</v>
      </c>
      <c r="AD43" s="2">
        <f t="shared" si="1"/>
        <v>1.5499999999999972</v>
      </c>
      <c r="AE43" s="165">
        <f t="shared" si="2"/>
        <v>-2.457002457002444E-2</v>
      </c>
    </row>
    <row r="44" spans="4:31" x14ac:dyDescent="0.25">
      <c r="W44" s="160">
        <v>42355</v>
      </c>
      <c r="X44" s="12">
        <v>78.72</v>
      </c>
      <c r="Y44" s="12">
        <v>79.489999999999995</v>
      </c>
      <c r="Z44" s="12">
        <v>77.3</v>
      </c>
      <c r="AA44" s="12">
        <v>77.33</v>
      </c>
      <c r="AB44" s="115">
        <v>5890900</v>
      </c>
      <c r="AC44" s="12">
        <v>77.33</v>
      </c>
      <c r="AD44" s="2">
        <f t="shared" si="1"/>
        <v>2.1899999999999977</v>
      </c>
      <c r="AE44" s="165">
        <f t="shared" si="2"/>
        <v>-2.0022810797110657E-2</v>
      </c>
    </row>
    <row r="45" spans="4:31" x14ac:dyDescent="0.25">
      <c r="W45" s="160">
        <v>42354</v>
      </c>
      <c r="X45" s="12">
        <v>77.099999999999994</v>
      </c>
      <c r="Y45" s="12">
        <v>79.02</v>
      </c>
      <c r="Z45" s="12">
        <v>76.84</v>
      </c>
      <c r="AA45" s="12">
        <v>78.91</v>
      </c>
      <c r="AB45" s="115">
        <v>5746400</v>
      </c>
      <c r="AC45" s="12">
        <v>78.91</v>
      </c>
      <c r="AD45" s="2">
        <f t="shared" si="1"/>
        <v>2.1799999999999926</v>
      </c>
      <c r="AE45" s="165">
        <f t="shared" si="2"/>
        <v>3.2718230598089315E-2</v>
      </c>
    </row>
    <row r="46" spans="4:31" ht="20.25" thickBot="1" x14ac:dyDescent="0.35">
      <c r="O46" s="389" t="s">
        <v>78</v>
      </c>
      <c r="P46" s="389"/>
      <c r="Q46" s="47"/>
      <c r="R46"/>
      <c r="T46" s="111" t="s">
        <v>121</v>
      </c>
      <c r="W46" s="160">
        <v>42353</v>
      </c>
      <c r="X46" s="12">
        <v>77.569999999999993</v>
      </c>
      <c r="Y46" s="12">
        <v>77.739999999999995</v>
      </c>
      <c r="Z46" s="12">
        <v>76.12</v>
      </c>
      <c r="AA46" s="12">
        <v>76.41</v>
      </c>
      <c r="AB46" s="115">
        <v>7786800</v>
      </c>
      <c r="AC46" s="12">
        <v>76.41</v>
      </c>
      <c r="AD46" s="2">
        <f t="shared" si="1"/>
        <v>1.6199999999999903</v>
      </c>
      <c r="AE46" s="165">
        <f t="shared" si="2"/>
        <v>-6.1134235171695916E-3</v>
      </c>
    </row>
    <row r="47" spans="4:31" ht="15.75" thickTop="1" x14ac:dyDescent="0.25">
      <c r="O47" s="103">
        <v>1.1000000000000001</v>
      </c>
      <c r="P47" s="103">
        <f>O47*$Q$4</f>
        <v>87.890000000000015</v>
      </c>
      <c r="Q47" s="47"/>
      <c r="R47"/>
      <c r="T47" s="117" t="s">
        <v>106</v>
      </c>
      <c r="U47" s="156">
        <v>74.83</v>
      </c>
      <c r="W47" s="160">
        <v>42352</v>
      </c>
      <c r="X47" s="12">
        <v>77.5</v>
      </c>
      <c r="Y47" s="12">
        <v>77.97</v>
      </c>
      <c r="Z47" s="12">
        <v>76.42</v>
      </c>
      <c r="AA47" s="12">
        <v>76.88</v>
      </c>
      <c r="AB47" s="115">
        <v>7477500</v>
      </c>
      <c r="AC47" s="12">
        <v>76.88</v>
      </c>
      <c r="AD47" s="2">
        <f t="shared" si="1"/>
        <v>1.5499999999999972</v>
      </c>
      <c r="AE47" s="165">
        <f t="shared" si="2"/>
        <v>-5.1759834368531044E-3</v>
      </c>
    </row>
    <row r="48" spans="4:31" x14ac:dyDescent="0.25">
      <c r="O48" s="103">
        <v>1.0900000000000001</v>
      </c>
      <c r="P48" s="103">
        <f t="shared" ref="P48:P67" si="8">O48*$Q$4</f>
        <v>87.091000000000008</v>
      </c>
      <c r="Q48" s="47"/>
      <c r="R48"/>
      <c r="T48" s="107" t="s">
        <v>107</v>
      </c>
      <c r="U48" s="157">
        <v>74.5</v>
      </c>
      <c r="W48" s="160">
        <v>42349</v>
      </c>
      <c r="X48" s="12">
        <v>77.45</v>
      </c>
      <c r="Y48" s="12">
        <v>77.95</v>
      </c>
      <c r="Z48" s="12">
        <v>76.38</v>
      </c>
      <c r="AA48" s="12">
        <v>77.28</v>
      </c>
      <c r="AB48" s="115">
        <v>6072900</v>
      </c>
      <c r="AC48" s="12">
        <v>77.28</v>
      </c>
      <c r="AD48" s="2">
        <f t="shared" si="1"/>
        <v>1.5700000000000074</v>
      </c>
      <c r="AE48" s="165">
        <f t="shared" si="2"/>
        <v>-2.1949644932214296E-3</v>
      </c>
    </row>
    <row r="49" spans="15:31" x14ac:dyDescent="0.25">
      <c r="O49" s="103">
        <v>1.08</v>
      </c>
      <c r="P49" s="103">
        <f t="shared" si="8"/>
        <v>86.292000000000016</v>
      </c>
      <c r="Q49" s="47"/>
      <c r="R49"/>
      <c r="T49" s="107" t="s">
        <v>108</v>
      </c>
      <c r="U49" s="157" t="s">
        <v>357</v>
      </c>
      <c r="W49" s="160">
        <v>42348</v>
      </c>
      <c r="X49" s="12">
        <v>77.540000000000006</v>
      </c>
      <c r="Y49" s="12">
        <v>78.62</v>
      </c>
      <c r="Z49" s="12">
        <v>77.31</v>
      </c>
      <c r="AA49" s="12">
        <v>77.45</v>
      </c>
      <c r="AB49" s="115">
        <v>6323300</v>
      </c>
      <c r="AC49" s="12">
        <v>77.45</v>
      </c>
      <c r="AD49" s="2">
        <f t="shared" si="1"/>
        <v>1.3100000000000023</v>
      </c>
      <c r="AE49" s="165">
        <f t="shared" si="2"/>
        <v>-1.1606912561259453E-3</v>
      </c>
    </row>
    <row r="50" spans="15:31" x14ac:dyDescent="0.25">
      <c r="O50" s="103">
        <v>1.07</v>
      </c>
      <c r="P50" s="103">
        <f t="shared" si="8"/>
        <v>85.493000000000009</v>
      </c>
      <c r="Q50" s="103"/>
      <c r="R50"/>
      <c r="T50" s="107" t="s">
        <v>109</v>
      </c>
      <c r="U50" s="157" t="s">
        <v>326</v>
      </c>
      <c r="W50" s="160">
        <v>42347</v>
      </c>
      <c r="X50" s="12">
        <v>75.03</v>
      </c>
      <c r="Y50" s="12">
        <v>77.8</v>
      </c>
      <c r="Z50" s="12">
        <v>74.94</v>
      </c>
      <c r="AA50" s="12">
        <v>77.540000000000006</v>
      </c>
      <c r="AB50" s="115">
        <v>9972300</v>
      </c>
      <c r="AC50" s="12">
        <v>77.540000000000006</v>
      </c>
      <c r="AD50" s="2">
        <f t="shared" si="1"/>
        <v>2.8599999999999994</v>
      </c>
      <c r="AE50" s="165">
        <f t="shared" si="2"/>
        <v>2.5661375661375718E-2</v>
      </c>
    </row>
    <row r="51" spans="15:31" x14ac:dyDescent="0.25">
      <c r="O51" s="103">
        <v>1.06</v>
      </c>
      <c r="P51" s="103">
        <f t="shared" si="8"/>
        <v>84.694000000000017</v>
      </c>
      <c r="Q51" s="103"/>
      <c r="R51"/>
      <c r="T51" s="107" t="s">
        <v>110</v>
      </c>
      <c r="U51" s="157">
        <v>82.16</v>
      </c>
      <c r="W51" s="160">
        <v>42346</v>
      </c>
      <c r="X51" s="12">
        <v>76.34</v>
      </c>
      <c r="Y51" s="12">
        <v>76.69</v>
      </c>
      <c r="Z51" s="12">
        <v>74.78</v>
      </c>
      <c r="AA51" s="12">
        <v>75.599999999999994</v>
      </c>
      <c r="AB51" s="115">
        <v>8115300</v>
      </c>
      <c r="AC51" s="12">
        <v>75.599999999999994</v>
      </c>
      <c r="AD51" s="2">
        <f t="shared" si="1"/>
        <v>1.9099999999999966</v>
      </c>
      <c r="AE51" s="165">
        <f t="shared" si="2"/>
        <v>-2.1865700608099559E-2</v>
      </c>
    </row>
    <row r="52" spans="15:31" x14ac:dyDescent="0.25">
      <c r="O52" s="103">
        <v>1.05</v>
      </c>
      <c r="P52" s="103">
        <f t="shared" si="8"/>
        <v>83.89500000000001</v>
      </c>
      <c r="Q52" s="103"/>
      <c r="R52"/>
      <c r="T52" s="107" t="s">
        <v>111</v>
      </c>
      <c r="U52" s="157">
        <v>1.22142</v>
      </c>
      <c r="W52" s="160">
        <v>42345</v>
      </c>
      <c r="X52" s="12">
        <v>78.150000000000006</v>
      </c>
      <c r="Y52" s="12">
        <v>78.62</v>
      </c>
      <c r="Z52" s="12">
        <v>76.7</v>
      </c>
      <c r="AA52" s="12">
        <v>77.290000000000006</v>
      </c>
      <c r="AB52" s="115">
        <v>9414300</v>
      </c>
      <c r="AC52" s="12">
        <v>77.290000000000006</v>
      </c>
      <c r="AD52" s="2">
        <f t="shared" si="1"/>
        <v>1.9200000000000017</v>
      </c>
      <c r="AE52" s="165">
        <f t="shared" si="2"/>
        <v>-1.3025156429574691E-2</v>
      </c>
    </row>
    <row r="53" spans="15:31" x14ac:dyDescent="0.25">
      <c r="O53" s="103">
        <v>1.04</v>
      </c>
      <c r="P53" s="103">
        <f t="shared" si="8"/>
        <v>83.096000000000004</v>
      </c>
      <c r="Q53" s="103"/>
      <c r="R53"/>
      <c r="T53" s="107" t="s">
        <v>131</v>
      </c>
      <c r="U53" s="114" t="s">
        <v>291</v>
      </c>
      <c r="W53" s="160">
        <v>42342</v>
      </c>
      <c r="X53" s="12">
        <v>77.37</v>
      </c>
      <c r="Y53" s="12">
        <v>78.63</v>
      </c>
      <c r="Z53" s="12">
        <v>77.03</v>
      </c>
      <c r="AA53" s="12">
        <v>78.31</v>
      </c>
      <c r="AB53" s="115">
        <v>11007100</v>
      </c>
      <c r="AC53" s="12">
        <v>78.31</v>
      </c>
      <c r="AD53" s="2">
        <f t="shared" si="1"/>
        <v>1.5999999999999943</v>
      </c>
      <c r="AE53" s="165">
        <f t="shared" si="2"/>
        <v>-1.1237373737373768E-2</v>
      </c>
    </row>
    <row r="54" spans="15:31" x14ac:dyDescent="0.25">
      <c r="O54" s="103">
        <v>1.03</v>
      </c>
      <c r="P54" s="103">
        <f t="shared" si="8"/>
        <v>82.297000000000011</v>
      </c>
      <c r="Q54" s="103"/>
      <c r="R54"/>
      <c r="T54" s="107"/>
      <c r="U54" s="157"/>
      <c r="W54" s="160">
        <v>42341</v>
      </c>
      <c r="X54" s="12">
        <v>82.14</v>
      </c>
      <c r="Y54" s="12">
        <v>82.3</v>
      </c>
      <c r="Z54" s="12">
        <v>78.760000000000005</v>
      </c>
      <c r="AA54" s="12">
        <v>79.2</v>
      </c>
      <c r="AB54" s="115">
        <v>11254200</v>
      </c>
      <c r="AC54" s="12">
        <v>79.2</v>
      </c>
      <c r="AD54" s="2">
        <f t="shared" si="1"/>
        <v>3.539999999999992</v>
      </c>
      <c r="AE54" s="165">
        <f t="shared" si="2"/>
        <v>-3.5087719298245612E-2</v>
      </c>
    </row>
    <row r="55" spans="15:31" x14ac:dyDescent="0.25">
      <c r="O55" s="103">
        <v>1.02</v>
      </c>
      <c r="P55" s="103">
        <f t="shared" si="8"/>
        <v>81.498000000000005</v>
      </c>
      <c r="Q55" s="103"/>
      <c r="R55"/>
      <c r="T55" s="107" t="s">
        <v>113</v>
      </c>
      <c r="U55" s="157" t="s">
        <v>358</v>
      </c>
      <c r="W55" s="160">
        <v>42340</v>
      </c>
      <c r="X55" s="12">
        <v>84.19</v>
      </c>
      <c r="Y55" s="12">
        <v>84.37</v>
      </c>
      <c r="Z55" s="12">
        <v>81.680000000000007</v>
      </c>
      <c r="AA55" s="12">
        <v>82.08</v>
      </c>
      <c r="AB55" s="115">
        <v>7544400</v>
      </c>
      <c r="AC55" s="12">
        <v>82.08</v>
      </c>
      <c r="AD55" s="2">
        <f t="shared" si="1"/>
        <v>2.6899999999999977</v>
      </c>
      <c r="AE55" s="165">
        <f t="shared" si="2"/>
        <v>-2.7488151658767834E-2</v>
      </c>
    </row>
    <row r="56" spans="15:31" x14ac:dyDescent="0.25">
      <c r="O56" s="103">
        <v>1.01</v>
      </c>
      <c r="P56" s="103">
        <f t="shared" si="8"/>
        <v>80.699000000000012</v>
      </c>
      <c r="Q56" s="103"/>
      <c r="R56"/>
      <c r="T56" s="107" t="s">
        <v>114</v>
      </c>
      <c r="U56" s="157" t="s">
        <v>359</v>
      </c>
      <c r="W56" s="160">
        <v>42339</v>
      </c>
      <c r="X56" s="12">
        <v>83.95</v>
      </c>
      <c r="Y56" s="12">
        <v>85</v>
      </c>
      <c r="Z56" s="12">
        <v>83.12</v>
      </c>
      <c r="AA56" s="12">
        <v>84.4</v>
      </c>
      <c r="AB56" s="115">
        <v>5399500</v>
      </c>
      <c r="AC56" s="12">
        <v>84.4</v>
      </c>
      <c r="AD56" s="2">
        <f t="shared" si="1"/>
        <v>1.8799999999999955</v>
      </c>
      <c r="AE56" s="165">
        <f t="shared" si="2"/>
        <v>5.3603335318641587E-3</v>
      </c>
    </row>
    <row r="57" spans="15:31" x14ac:dyDescent="0.25">
      <c r="O57" s="103">
        <v>1</v>
      </c>
      <c r="P57" s="103">
        <f t="shared" si="8"/>
        <v>79.900000000000006</v>
      </c>
      <c r="Q57" s="103"/>
      <c r="R57"/>
      <c r="T57" s="107" t="s">
        <v>115</v>
      </c>
      <c r="U57" s="158">
        <v>1437196</v>
      </c>
      <c r="W57" s="160">
        <v>42338</v>
      </c>
      <c r="X57" s="12">
        <v>84.84</v>
      </c>
      <c r="Y57" s="12">
        <v>84.95</v>
      </c>
      <c r="Z57" s="12">
        <v>83.94</v>
      </c>
      <c r="AA57" s="12">
        <v>83.95</v>
      </c>
      <c r="AB57" s="115">
        <v>6441200</v>
      </c>
      <c r="AC57" s="12">
        <v>83.95</v>
      </c>
      <c r="AD57" s="2">
        <f t="shared" si="1"/>
        <v>1.0100000000000051</v>
      </c>
      <c r="AE57" s="165">
        <f t="shared" si="2"/>
        <v>-6.5088757396449815E-3</v>
      </c>
    </row>
    <row r="58" spans="15:31" x14ac:dyDescent="0.25">
      <c r="O58" s="103">
        <v>0.99</v>
      </c>
      <c r="P58" s="103">
        <f t="shared" si="8"/>
        <v>79.100999999999999</v>
      </c>
      <c r="Q58" s="103"/>
      <c r="R58"/>
      <c r="T58" s="107" t="s">
        <v>118</v>
      </c>
      <c r="U58" s="158">
        <v>2030680</v>
      </c>
      <c r="W58" s="160">
        <v>42335</v>
      </c>
      <c r="X58" s="12">
        <v>84.65</v>
      </c>
      <c r="Y58" s="12">
        <v>84.96</v>
      </c>
      <c r="Z58" s="12">
        <v>84.46</v>
      </c>
      <c r="AA58" s="12">
        <v>84.5</v>
      </c>
      <c r="AB58" s="115">
        <v>2120100</v>
      </c>
      <c r="AC58" s="12">
        <v>84.5</v>
      </c>
      <c r="AD58" s="2">
        <f t="shared" si="1"/>
        <v>0.5</v>
      </c>
      <c r="AE58" s="165">
        <f t="shared" si="2"/>
        <v>-1.536098310291778E-3</v>
      </c>
    </row>
    <row r="59" spans="15:31" x14ac:dyDescent="0.25">
      <c r="O59" s="103">
        <v>0.98</v>
      </c>
      <c r="P59" s="103">
        <f t="shared" si="8"/>
        <v>78.302000000000007</v>
      </c>
      <c r="Q59" s="103"/>
      <c r="R59"/>
      <c r="T59" s="107" t="s">
        <v>116</v>
      </c>
      <c r="U59" s="157" t="s">
        <v>360</v>
      </c>
      <c r="W59" s="160">
        <v>42333</v>
      </c>
      <c r="X59" s="12">
        <v>84.43</v>
      </c>
      <c r="Y59" s="12">
        <v>84.95</v>
      </c>
      <c r="Z59" s="12">
        <v>84.27</v>
      </c>
      <c r="AA59" s="12">
        <v>84.63</v>
      </c>
      <c r="AB59" s="115">
        <v>3518000</v>
      </c>
      <c r="AC59" s="12">
        <v>84.63</v>
      </c>
      <c r="AD59" s="2">
        <f t="shared" si="1"/>
        <v>0.68000000000000682</v>
      </c>
      <c r="AE59" s="165" t="e">
        <f t="shared" si="2"/>
        <v>#DIV/0!</v>
      </c>
    </row>
    <row r="60" spans="15:31" x14ac:dyDescent="0.25">
      <c r="O60" s="103">
        <v>0.97</v>
      </c>
      <c r="P60" s="103">
        <f t="shared" si="8"/>
        <v>77.503</v>
      </c>
      <c r="Q60" s="103"/>
      <c r="R60"/>
      <c r="T60" s="107" t="s">
        <v>119</v>
      </c>
      <c r="U60" s="157">
        <v>14.72</v>
      </c>
      <c r="W60" s="160">
        <v>42333</v>
      </c>
      <c r="X60" s="12" t="s">
        <v>146</v>
      </c>
      <c r="Y60" s="12"/>
      <c r="Z60" s="12"/>
      <c r="AA60" s="12"/>
      <c r="AB60" s="115"/>
      <c r="AC60" s="12"/>
      <c r="AD60" s="2">
        <f t="shared" si="1"/>
        <v>0</v>
      </c>
      <c r="AE60" s="165">
        <f t="shared" si="2"/>
        <v>-1</v>
      </c>
    </row>
    <row r="61" spans="15:31" x14ac:dyDescent="0.25">
      <c r="O61" s="103">
        <v>0.96</v>
      </c>
      <c r="P61" s="103">
        <f t="shared" si="8"/>
        <v>76.704000000000008</v>
      </c>
      <c r="Q61" s="103"/>
      <c r="R61"/>
      <c r="T61" s="107" t="s">
        <v>120</v>
      </c>
      <c r="U61" s="157">
        <v>5.0999999999999996</v>
      </c>
      <c r="W61" s="160">
        <v>42332</v>
      </c>
      <c r="X61" s="12">
        <v>84.93</v>
      </c>
      <c r="Y61" s="12">
        <v>85.29</v>
      </c>
      <c r="Z61" s="12">
        <v>84.63</v>
      </c>
      <c r="AA61" s="12">
        <v>84.8</v>
      </c>
      <c r="AB61" s="115">
        <v>5125400</v>
      </c>
      <c r="AC61" s="12">
        <v>84.25</v>
      </c>
      <c r="AD61" s="2">
        <f t="shared" si="1"/>
        <v>0.6600000000000108</v>
      </c>
      <c r="AE61" s="165">
        <f t="shared" si="2"/>
        <v>-3.6660359508041696E-3</v>
      </c>
    </row>
    <row r="62" spans="15:31" x14ac:dyDescent="0.25">
      <c r="O62" s="103">
        <v>0.95</v>
      </c>
      <c r="P62" s="103">
        <f t="shared" si="8"/>
        <v>75.905000000000001</v>
      </c>
      <c r="Q62" s="103"/>
      <c r="R62"/>
      <c r="T62" s="107" t="s">
        <v>117</v>
      </c>
      <c r="U62" s="157" t="s">
        <v>361</v>
      </c>
      <c r="W62" s="160">
        <v>42331</v>
      </c>
      <c r="X62" s="12">
        <v>86.86</v>
      </c>
      <c r="Y62" s="12">
        <v>87.48</v>
      </c>
      <c r="Z62" s="12">
        <v>84.91</v>
      </c>
      <c r="AA62" s="12">
        <v>85.11</v>
      </c>
      <c r="AB62" s="115">
        <v>4723200</v>
      </c>
      <c r="AC62" s="12">
        <v>84.56</v>
      </c>
      <c r="AD62" s="2">
        <f t="shared" si="1"/>
        <v>2.5700000000000074</v>
      </c>
      <c r="AE62" s="165">
        <f t="shared" si="2"/>
        <v>-1.8797864933859376E-2</v>
      </c>
    </row>
    <row r="63" spans="15:31" x14ac:dyDescent="0.25">
      <c r="O63" s="103">
        <v>0.94</v>
      </c>
      <c r="P63" s="103">
        <f t="shared" si="8"/>
        <v>75.105999999999995</v>
      </c>
      <c r="Q63" s="103"/>
      <c r="R63"/>
      <c r="T63" s="106"/>
      <c r="W63" s="160">
        <v>42328</v>
      </c>
      <c r="X63" s="12">
        <v>87.52</v>
      </c>
      <c r="Y63" s="12">
        <v>88.05</v>
      </c>
      <c r="Z63" s="12">
        <v>86.5</v>
      </c>
      <c r="AA63" s="12">
        <v>86.74</v>
      </c>
      <c r="AB63" s="115">
        <v>4401100</v>
      </c>
      <c r="AC63" s="12">
        <v>86.18</v>
      </c>
      <c r="AD63" s="2">
        <f t="shared" si="1"/>
        <v>1.5499999999999972</v>
      </c>
      <c r="AE63" s="165">
        <f t="shared" si="2"/>
        <v>-3.4690101757631764E-3</v>
      </c>
    </row>
    <row r="64" spans="15:31" x14ac:dyDescent="0.25">
      <c r="O64" s="103">
        <v>0.93</v>
      </c>
      <c r="P64" s="103">
        <f t="shared" si="8"/>
        <v>74.307000000000002</v>
      </c>
      <c r="Q64" s="103"/>
      <c r="R64"/>
      <c r="S64" s="106"/>
      <c r="T64"/>
      <c r="W64" s="160">
        <v>42327</v>
      </c>
      <c r="X64" s="12">
        <v>87.08</v>
      </c>
      <c r="Y64" s="12">
        <v>87.23</v>
      </c>
      <c r="Z64" s="12">
        <v>85.95</v>
      </c>
      <c r="AA64" s="12">
        <v>87.04</v>
      </c>
      <c r="AB64" s="115">
        <v>6145500</v>
      </c>
      <c r="AC64" s="12">
        <v>86.48</v>
      </c>
      <c r="AD64" s="2">
        <f t="shared" si="1"/>
        <v>1.2800000000000011</v>
      </c>
      <c r="AE64" s="165">
        <f t="shared" si="2"/>
        <v>-8.0878105141524159E-4</v>
      </c>
    </row>
    <row r="65" spans="15:31" x14ac:dyDescent="0.25">
      <c r="O65" s="103">
        <v>0.92</v>
      </c>
      <c r="P65" s="103">
        <f t="shared" si="8"/>
        <v>73.50800000000001</v>
      </c>
      <c r="Q65" s="103"/>
      <c r="R65"/>
      <c r="S65" s="106"/>
      <c r="T65"/>
      <c r="W65" s="160">
        <v>42326</v>
      </c>
      <c r="X65" s="12">
        <v>85.74</v>
      </c>
      <c r="Y65" s="12">
        <v>87.75</v>
      </c>
      <c r="Z65" s="12">
        <v>85.62</v>
      </c>
      <c r="AA65" s="12">
        <v>87.11</v>
      </c>
      <c r="AB65" s="115">
        <v>5386900</v>
      </c>
      <c r="AC65" s="12">
        <v>86.55</v>
      </c>
      <c r="AD65" s="2">
        <f t="shared" si="1"/>
        <v>2.1299999999999955</v>
      </c>
      <c r="AE65" s="165">
        <f t="shared" si="2"/>
        <v>2.3654642223536415E-2</v>
      </c>
    </row>
    <row r="66" spans="15:31" x14ac:dyDescent="0.25">
      <c r="O66" s="103">
        <v>0.91</v>
      </c>
      <c r="P66" s="103">
        <f t="shared" si="8"/>
        <v>72.709000000000003</v>
      </c>
      <c r="Q66" s="103"/>
      <c r="R66"/>
      <c r="S66" s="106"/>
      <c r="T66"/>
      <c r="W66" s="160">
        <v>42325</v>
      </c>
      <c r="X66" s="12">
        <v>84.37</v>
      </c>
      <c r="Y66" s="12">
        <v>85.95</v>
      </c>
      <c r="Z66" s="12">
        <v>83.12</v>
      </c>
      <c r="AA66" s="12">
        <v>85.1</v>
      </c>
      <c r="AB66" s="115">
        <v>5275300</v>
      </c>
      <c r="AC66" s="12">
        <v>84.55</v>
      </c>
      <c r="AD66" s="2">
        <f t="shared" si="1"/>
        <v>2.8299999999999983</v>
      </c>
      <c r="AE66" s="165">
        <f t="shared" si="2"/>
        <v>8.9498806682577481E-3</v>
      </c>
    </row>
    <row r="67" spans="15:31" x14ac:dyDescent="0.25">
      <c r="O67" s="103">
        <v>0.9</v>
      </c>
      <c r="P67" s="103">
        <f t="shared" si="8"/>
        <v>71.910000000000011</v>
      </c>
      <c r="Q67" s="103"/>
      <c r="R67"/>
      <c r="S67" s="106"/>
      <c r="T67"/>
      <c r="W67" s="160">
        <v>42324</v>
      </c>
      <c r="X67" s="12">
        <v>83.59</v>
      </c>
      <c r="Y67" s="12">
        <v>84.57</v>
      </c>
      <c r="Z67" s="12">
        <v>83.1</v>
      </c>
      <c r="AA67" s="12">
        <v>84.35</v>
      </c>
      <c r="AB67" s="115">
        <v>3601900</v>
      </c>
      <c r="AC67" s="12">
        <v>83.8</v>
      </c>
      <c r="AD67" s="2">
        <f>Y67-Z67</f>
        <v>1.4699999999999989</v>
      </c>
      <c r="AE67" s="165">
        <f>AC67/AC68-1</f>
        <v>6.7275348390196665E-3</v>
      </c>
    </row>
    <row r="68" spans="15:31" x14ac:dyDescent="0.25">
      <c r="W68" s="160">
        <v>42321</v>
      </c>
      <c r="X68" s="12">
        <v>83.55</v>
      </c>
      <c r="Y68" s="12">
        <v>85.09</v>
      </c>
      <c r="Z68" s="12">
        <v>83.52</v>
      </c>
      <c r="AA68" s="12">
        <v>83.78</v>
      </c>
      <c r="AB68" s="115">
        <v>4648100</v>
      </c>
      <c r="AC68" s="12">
        <v>83.24</v>
      </c>
      <c r="AD68" s="2">
        <f>Y68-Z68</f>
        <v>1.5700000000000074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35" priority="15">
      <formula>Q7&gt;0</formula>
    </cfRule>
    <cfRule type="expression" dxfId="33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33" priority="7">
      <formula>F21&gt;0</formula>
    </cfRule>
    <cfRule type="expression" dxfId="332" priority="8">
      <formula>F21&lt;0</formula>
    </cfRule>
  </conditionalFormatting>
  <conditionalFormatting sqref="H24:H27">
    <cfRule type="expression" dxfId="331" priority="5">
      <formula>H24&gt;0</formula>
    </cfRule>
    <cfRule type="expression" dxfId="330" priority="6">
      <formula>H24&lt;0</formula>
    </cfRule>
  </conditionalFormatting>
  <conditionalFormatting sqref="F22">
    <cfRule type="expression" dxfId="329" priority="3">
      <formula>F22&gt;0</formula>
    </cfRule>
    <cfRule type="expression" dxfId="328" priority="4">
      <formula>F22&lt;0</formula>
    </cfRule>
  </conditionalFormatting>
  <conditionalFormatting sqref="H21:H23">
    <cfRule type="expression" dxfId="327" priority="1">
      <formula>H21&gt;0</formula>
    </cfRule>
    <cfRule type="expression" dxfId="32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5"/>
      <c r="AD1" s="13" t="s">
        <v>142</v>
      </c>
      <c r="AE1" s="13" t="s">
        <v>144</v>
      </c>
    </row>
    <row r="2" spans="1:40" ht="14.25" customHeight="1" x14ac:dyDescent="0.25">
      <c r="A2" s="6" t="s">
        <v>279</v>
      </c>
      <c r="B2" s="1">
        <v>42377</v>
      </c>
      <c r="C2" s="7">
        <v>20</v>
      </c>
      <c r="D2" s="57">
        <v>192.9</v>
      </c>
      <c r="E2" s="57">
        <v>0</v>
      </c>
      <c r="F2" s="57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15</v>
      </c>
      <c r="T2" s="105"/>
      <c r="W2" s="114"/>
      <c r="X2" s="12"/>
      <c r="Y2" s="53"/>
      <c r="Z2" s="53"/>
      <c r="AA2" s="12"/>
      <c r="AB2" s="115"/>
      <c r="AC2" s="324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G3" s="1">
        <v>42416</v>
      </c>
      <c r="H3" s="102">
        <v>10</v>
      </c>
      <c r="I3" s="57">
        <v>189.25</v>
      </c>
      <c r="J3" s="57">
        <v>0.04</v>
      </c>
      <c r="K3" s="57">
        <f>H3*I3-J3</f>
        <v>1892.46</v>
      </c>
      <c r="O3" s="13" t="s">
        <v>58</v>
      </c>
      <c r="Q3" s="100">
        <f>IF(Q2=0, Q4, (F7-K7-M7)/Q2)</f>
        <v>185.99400000000006</v>
      </c>
      <c r="T3" s="148"/>
      <c r="W3" s="114"/>
      <c r="X3" s="12"/>
      <c r="Y3" s="53"/>
      <c r="Z3" s="53"/>
      <c r="AA3" s="12"/>
      <c r="AB3" s="115"/>
      <c r="AC3" s="324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4">
        <v>15</v>
      </c>
      <c r="D4" s="3">
        <v>187.8</v>
      </c>
      <c r="E4" s="3">
        <v>0</v>
      </c>
      <c r="F4" s="3">
        <f>C4*D4+E4</f>
        <v>2817</v>
      </c>
      <c r="H4" s="91"/>
      <c r="O4" s="13" t="s">
        <v>66</v>
      </c>
      <c r="Q4" s="69">
        <v>192</v>
      </c>
      <c r="T4" s="148">
        <v>42293</v>
      </c>
      <c r="U4" t="s">
        <v>182</v>
      </c>
      <c r="W4" s="114"/>
      <c r="X4" s="12"/>
      <c r="Y4" s="53"/>
      <c r="Z4" s="53"/>
      <c r="AA4" s="12"/>
      <c r="AB4" s="115"/>
      <c r="AC4" s="324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 s="7">
        <v>5</v>
      </c>
      <c r="D5" s="57">
        <v>183.55</v>
      </c>
      <c r="E5" s="57">
        <v>0</v>
      </c>
      <c r="F5" s="57">
        <f>C5*D5+E5</f>
        <v>917.75</v>
      </c>
      <c r="H5" s="91"/>
      <c r="O5" s="13" t="s">
        <v>67</v>
      </c>
      <c r="Q5" s="3">
        <f>Q4*Q2</f>
        <v>2880</v>
      </c>
      <c r="W5" s="114"/>
      <c r="X5" s="12"/>
      <c r="Y5" s="53"/>
      <c r="Z5" s="53"/>
      <c r="AA5" s="12"/>
      <c r="AB5" s="115"/>
      <c r="AC5" s="324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H6" s="91"/>
      <c r="O6" s="13" t="s">
        <v>64</v>
      </c>
      <c r="Q6" s="2">
        <f>Q3*Q2</f>
        <v>2789.9100000000008</v>
      </c>
      <c r="W6" s="114"/>
      <c r="X6" s="12"/>
      <c r="Y6" s="53"/>
      <c r="Z6" s="53"/>
      <c r="AA6" s="12"/>
      <c r="AB6" s="115"/>
      <c r="AC6" s="324"/>
      <c r="AD6" s="2">
        <f t="shared" si="0"/>
        <v>0</v>
      </c>
      <c r="AE6" s="165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45</v>
      </c>
      <c r="D7" s="16"/>
      <c r="E7" s="16"/>
      <c r="F7" s="21">
        <f>SUM(F2:F6)</f>
        <v>8526.7000000000007</v>
      </c>
      <c r="G7" s="21"/>
      <c r="H7" s="92">
        <f t="shared" ref="H7:M7" si="2">SUM(H2:H6)</f>
        <v>30</v>
      </c>
      <c r="I7" s="21"/>
      <c r="J7" s="21"/>
      <c r="K7" s="21">
        <f t="shared" si="2"/>
        <v>5736.79</v>
      </c>
      <c r="L7" s="21"/>
      <c r="M7" s="21">
        <f t="shared" si="2"/>
        <v>0</v>
      </c>
      <c r="O7" s="13" t="s">
        <v>65</v>
      </c>
      <c r="Q7" s="2">
        <f>IF(Q2=0, K43+M43-F29,Q5-Q6)</f>
        <v>90.089999999999236</v>
      </c>
      <c r="R7" s="244"/>
      <c r="T7" s="105">
        <v>42015</v>
      </c>
      <c r="U7" t="s">
        <v>176</v>
      </c>
      <c r="W7" s="114"/>
      <c r="X7" s="12"/>
      <c r="Y7" s="53"/>
      <c r="Z7" s="53"/>
      <c r="AA7" s="12"/>
      <c r="AB7" s="115"/>
      <c r="AC7" s="324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3.2291364237555735E-2</v>
      </c>
      <c r="W8" s="114"/>
      <c r="X8" s="12"/>
      <c r="Y8" s="53"/>
      <c r="Z8" s="53"/>
      <c r="AA8" s="12"/>
      <c r="AB8" s="115"/>
      <c r="AC8" s="324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4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4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122</v>
      </c>
      <c r="C11" s="246" t="s">
        <v>189</v>
      </c>
      <c r="D11" s="247" t="s">
        <v>188</v>
      </c>
      <c r="E11" s="249" t="s">
        <v>190</v>
      </c>
      <c r="F11" s="249" t="s">
        <v>65</v>
      </c>
      <c r="G11" s="294" t="s">
        <v>195</v>
      </c>
      <c r="H11" s="294" t="s">
        <v>92</v>
      </c>
      <c r="I11" s="294" t="s">
        <v>203</v>
      </c>
      <c r="W11" s="114"/>
      <c r="X11" s="12"/>
      <c r="Y11" s="53"/>
      <c r="Z11" s="53"/>
      <c r="AA11" s="12"/>
      <c r="AB11" s="115"/>
      <c r="AC11" s="324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4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7" si="3">C13*(E13-D13)</f>
        <v>-96.699999999999875</v>
      </c>
      <c r="G13" s="53">
        <f t="shared" ref="G13:G17" si="4">D13*C13</f>
        <v>4791.95</v>
      </c>
      <c r="H13" s="304">
        <f t="shared" ref="H13:H17" si="5">(E13-D13)/D13</f>
        <v>-2.0179676332182071E-2</v>
      </c>
      <c r="I13" s="53"/>
      <c r="W13" s="114"/>
      <c r="X13" s="12"/>
      <c r="Y13" s="53"/>
      <c r="Z13" s="53"/>
      <c r="AA13" s="12"/>
      <c r="AB13" s="115"/>
      <c r="AC13" s="324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4">
        <f t="shared" si="5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4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4">
        <f t="shared" si="5"/>
        <v>-2.2897397346876083E-3</v>
      </c>
      <c r="I15" s="53"/>
      <c r="W15" s="114"/>
      <c r="X15" s="12"/>
      <c r="Y15" s="53"/>
      <c r="Z15" s="53"/>
      <c r="AA15" s="12"/>
      <c r="AB15" s="115"/>
      <c r="AC15" s="324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3"/>
        <v>-46.870000000000545</v>
      </c>
      <c r="G16" s="53">
        <f t="shared" si="4"/>
        <v>4682.37</v>
      </c>
      <c r="H16" s="304">
        <f t="shared" si="5"/>
        <v>-1.0009888154930204E-2</v>
      </c>
      <c r="I16" s="53"/>
      <c r="W16" s="114"/>
      <c r="X16" s="12"/>
      <c r="Y16" s="53"/>
      <c r="Z16" s="53"/>
      <c r="AA16" s="12"/>
      <c r="AB16" s="115"/>
      <c r="AC16" s="324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42416</v>
      </c>
      <c r="C17" s="12">
        <v>15</v>
      </c>
      <c r="D17" s="53">
        <v>185.994</v>
      </c>
      <c r="E17" s="53">
        <v>189.78</v>
      </c>
      <c r="F17" s="53">
        <f t="shared" si="3"/>
        <v>56.79000000000002</v>
      </c>
      <c r="G17" s="53">
        <f t="shared" si="4"/>
        <v>2789.91</v>
      </c>
      <c r="H17" s="304">
        <f t="shared" si="5"/>
        <v>2.0355495338559317E-2</v>
      </c>
      <c r="I17" s="53"/>
      <c r="W17" s="114"/>
      <c r="X17" s="12"/>
      <c r="Y17" s="53"/>
      <c r="Z17" s="53"/>
      <c r="AA17" s="12"/>
      <c r="AB17" s="115"/>
      <c r="AC17" s="324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4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4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4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4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4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4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4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4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4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4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4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4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4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4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4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4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4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4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4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4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4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89" t="s">
        <v>78</v>
      </c>
      <c r="Q39" s="389"/>
      <c r="R39" s="47"/>
      <c r="T39" s="111" t="s">
        <v>121</v>
      </c>
      <c r="W39" s="114"/>
      <c r="X39" s="12"/>
      <c r="Y39" s="53"/>
      <c r="Z39" s="53"/>
      <c r="AA39" s="12"/>
      <c r="AB39" s="115"/>
      <c r="AC39" s="324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211.20000000000002</v>
      </c>
      <c r="R40" s="47"/>
      <c r="T40" s="117"/>
      <c r="U40" s="156"/>
      <c r="W40" s="114"/>
      <c r="X40" s="12"/>
      <c r="Y40" s="53"/>
      <c r="Z40" s="53"/>
      <c r="AA40" s="12"/>
      <c r="AB40" s="115"/>
      <c r="AC40" s="324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6">P41*$Q$4</f>
        <v>209.28000000000003</v>
      </c>
      <c r="R41" s="47"/>
      <c r="T41" s="107"/>
      <c r="U41" s="157"/>
      <c r="W41" s="114"/>
      <c r="X41" s="12"/>
      <c r="Y41" s="53"/>
      <c r="Z41" s="53"/>
      <c r="AA41" s="12"/>
      <c r="AB41" s="115"/>
      <c r="AC41" s="324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6"/>
        <v>207.36</v>
      </c>
      <c r="R42" s="47"/>
      <c r="T42" s="107"/>
      <c r="U42" s="157"/>
      <c r="W42" s="114"/>
      <c r="X42" s="12"/>
      <c r="Y42" s="53"/>
      <c r="Z42" s="53"/>
      <c r="AA42" s="12"/>
      <c r="AB42" s="115"/>
      <c r="AC42" s="324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6"/>
        <v>205.44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4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6"/>
        <v>203.52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4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6"/>
        <v>201.60000000000002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4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6"/>
        <v>199.68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4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6"/>
        <v>197.76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4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6"/>
        <v>195.84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4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6"/>
        <v>193.92000000000002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4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6"/>
        <v>192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4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6"/>
        <v>190.07999999999998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4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6"/>
        <v>188.16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4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6"/>
        <v>186.24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4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6"/>
        <v>184.32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4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6"/>
        <v>182.39999999999998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4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6"/>
        <v>180.48</v>
      </c>
      <c r="R56" s="103"/>
      <c r="W56" s="114"/>
      <c r="X56" s="12"/>
      <c r="Y56" s="53"/>
      <c r="Z56" s="53"/>
      <c r="AA56" s="12"/>
      <c r="AB56" s="115"/>
      <c r="AC56" s="324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6"/>
        <v>178.56</v>
      </c>
      <c r="R57" s="103"/>
      <c r="W57" s="114"/>
      <c r="X57" s="12"/>
      <c r="Y57" s="53"/>
      <c r="Z57" s="53"/>
      <c r="AA57" s="12"/>
      <c r="AB57" s="115"/>
      <c r="AC57" s="324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6"/>
        <v>176.64000000000001</v>
      </c>
      <c r="R58" s="103"/>
      <c r="W58" s="114"/>
      <c r="X58" s="12"/>
      <c r="Y58" s="53"/>
      <c r="Z58" s="53"/>
      <c r="AA58" s="12"/>
      <c r="AB58" s="115"/>
      <c r="AC58" s="324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6"/>
        <v>174.72</v>
      </c>
      <c r="R59" s="103"/>
      <c r="W59" s="114"/>
      <c r="X59" s="12"/>
      <c r="Y59" s="53"/>
      <c r="Z59" s="53"/>
      <c r="AA59" s="12"/>
      <c r="AB59" s="115"/>
      <c r="AC59" s="324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6"/>
        <v>172.8</v>
      </c>
      <c r="R60" s="103"/>
      <c r="W60" s="114"/>
      <c r="X60" s="12"/>
      <c r="Y60" s="53"/>
      <c r="Z60" s="53"/>
      <c r="AA60" s="12"/>
      <c r="AB60" s="115"/>
      <c r="AC60" s="324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4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4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4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4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4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4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4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4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325" priority="15">
      <formula>F7&gt;0</formula>
    </cfRule>
    <cfRule type="expression" dxfId="32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323" priority="7">
      <formula>F19&gt;0</formula>
    </cfRule>
    <cfRule type="expression" dxfId="322" priority="8">
      <formula>F19&lt;0</formula>
    </cfRule>
  </conditionalFormatting>
  <conditionalFormatting sqref="F19">
    <cfRule type="expression" dxfId="321" priority="9">
      <formula>F19&gt;0</formula>
    </cfRule>
    <cfRule type="expression" dxfId="320" priority="10">
      <formula>F19&lt;0</formula>
    </cfRule>
  </conditionalFormatting>
  <conditionalFormatting sqref="H16:H19">
    <cfRule type="expression" dxfId="319" priority="5">
      <formula>H16&gt;0</formula>
    </cfRule>
    <cfRule type="expression" dxfId="318" priority="6">
      <formula>H16&lt;0</formula>
    </cfRule>
  </conditionalFormatting>
  <conditionalFormatting sqref="F12:F15">
    <cfRule type="expression" dxfId="317" priority="3">
      <formula>F12&gt;0</formula>
    </cfRule>
    <cfRule type="expression" dxfId="316" priority="4">
      <formula>F12&lt;0</formula>
    </cfRule>
  </conditionalFormatting>
  <conditionalFormatting sqref="H12:H15">
    <cfRule type="expression" dxfId="315" priority="1">
      <formula>H12&gt;0</formula>
    </cfRule>
    <cfRule type="expression" dxfId="31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8.5703125" customWidth="1"/>
    <col min="23" max="23" width="16" style="4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22" t="s">
        <v>124</v>
      </c>
      <c r="Z1" s="122" t="s">
        <v>125</v>
      </c>
      <c r="AA1" s="113" t="s">
        <v>126</v>
      </c>
      <c r="AB1" s="113" t="s">
        <v>127</v>
      </c>
      <c r="AC1" s="325" t="s">
        <v>128</v>
      </c>
      <c r="AD1" s="13" t="s">
        <v>142</v>
      </c>
      <c r="AE1" s="13" t="s">
        <v>144</v>
      </c>
    </row>
    <row r="2" spans="1:40" x14ac:dyDescent="0.25">
      <c r="A2" s="6" t="s">
        <v>273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C11-H11</f>
        <v>90</v>
      </c>
      <c r="T2" s="105"/>
      <c r="W2" s="114">
        <v>42419</v>
      </c>
      <c r="X2" s="12">
        <v>61.51</v>
      </c>
      <c r="Y2" s="53">
        <v>63.5</v>
      </c>
      <c r="Z2" s="53">
        <v>61.29</v>
      </c>
      <c r="AA2" s="12">
        <v>63.03</v>
      </c>
      <c r="AB2" s="115">
        <v>3371800</v>
      </c>
      <c r="AC2" s="324">
        <v>63.03</v>
      </c>
      <c r="AD2" s="2">
        <f>Y2-Z2</f>
        <v>2.2100000000000009</v>
      </c>
      <c r="AE2" s="165">
        <f>AC2/AC3-1</f>
        <v>1.5466408893185069E-2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96">
        <f>IF(Q2=0, Q4, (F11-K11-M11)/Q2)</f>
        <v>69.450888888888883</v>
      </c>
      <c r="T3" s="148"/>
      <c r="W3" s="114">
        <v>42418</v>
      </c>
      <c r="X3" s="12">
        <v>64.430000000000007</v>
      </c>
      <c r="Y3" s="53">
        <v>64.489999999999995</v>
      </c>
      <c r="Z3" s="53">
        <v>61.1</v>
      </c>
      <c r="AA3" s="12">
        <v>62.07</v>
      </c>
      <c r="AB3" s="115">
        <v>2984000</v>
      </c>
      <c r="AC3" s="324">
        <v>62.07</v>
      </c>
      <c r="AD3" s="2">
        <f>Y3-Z3</f>
        <v>3.3899999999999935</v>
      </c>
      <c r="AE3" s="165">
        <f>AC3/AC4-1</f>
        <v>-2.5741641814471805E-2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O4" s="13" t="s">
        <v>66</v>
      </c>
      <c r="Q4" s="69">
        <v>63.03</v>
      </c>
      <c r="T4" s="148"/>
      <c r="W4" s="114">
        <v>42417</v>
      </c>
      <c r="X4" s="12">
        <v>61.82</v>
      </c>
      <c r="Y4" s="53">
        <v>64.88</v>
      </c>
      <c r="Z4" s="53">
        <v>61.57</v>
      </c>
      <c r="AA4" s="12">
        <v>63.71</v>
      </c>
      <c r="AB4" s="115">
        <v>4488700</v>
      </c>
      <c r="AC4" s="324">
        <v>63.71</v>
      </c>
      <c r="AD4" s="2">
        <f t="shared" ref="AD4:AD67" si="0">Y4-Z4</f>
        <v>3.3099999999999952</v>
      </c>
      <c r="AE4" s="165">
        <f t="shared" ref="AE4:AE67" si="1">AC4/AC5-1</f>
        <v>3.6946614583333481E-2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5672.7</v>
      </c>
      <c r="W5" s="114">
        <v>42416</v>
      </c>
      <c r="X5" s="12">
        <v>59.27</v>
      </c>
      <c r="Y5" s="53">
        <v>62.44</v>
      </c>
      <c r="Z5" s="53">
        <v>59.14</v>
      </c>
      <c r="AA5" s="12">
        <v>61.44</v>
      </c>
      <c r="AB5" s="115">
        <v>4831800</v>
      </c>
      <c r="AC5" s="324">
        <v>61.44</v>
      </c>
      <c r="AD5" s="2">
        <f t="shared" si="0"/>
        <v>3.2999999999999972</v>
      </c>
      <c r="AE5" s="165">
        <f t="shared" si="1"/>
        <v>6.611140031233731E-2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6250.58</v>
      </c>
      <c r="W6" s="114">
        <v>42412</v>
      </c>
      <c r="X6" s="12">
        <v>57.06</v>
      </c>
      <c r="Y6" s="53">
        <v>57.96</v>
      </c>
      <c r="Z6" s="53">
        <v>56.01</v>
      </c>
      <c r="AA6" s="12">
        <v>57.63</v>
      </c>
      <c r="AB6" s="115">
        <v>3885100</v>
      </c>
      <c r="AC6" s="324">
        <v>57.63</v>
      </c>
      <c r="AD6" s="2">
        <f t="shared" si="0"/>
        <v>1.9500000000000028</v>
      </c>
      <c r="AE6" s="165">
        <f t="shared" si="1"/>
        <v>3.1871083258728783E-2</v>
      </c>
    </row>
    <row r="7" spans="1:40" ht="15.75" x14ac:dyDescent="0.25">
      <c r="O7" s="13" t="s">
        <v>65</v>
      </c>
      <c r="Q7" s="2">
        <f>IF(Q2=0, K43+M43-#REF!,Q5-Q6)</f>
        <v>-577.88000000000011</v>
      </c>
      <c r="R7" s="244"/>
      <c r="T7" s="105"/>
      <c r="W7" s="114">
        <v>42411</v>
      </c>
      <c r="X7" s="12">
        <v>56.1</v>
      </c>
      <c r="Y7" s="53">
        <v>56.97</v>
      </c>
      <c r="Z7" s="53">
        <v>54.5</v>
      </c>
      <c r="AA7" s="12">
        <v>55.85</v>
      </c>
      <c r="AB7" s="115">
        <v>6569200</v>
      </c>
      <c r="AC7" s="324">
        <v>55.85</v>
      </c>
      <c r="AD7" s="2">
        <f t="shared" si="0"/>
        <v>2.4699999999999989</v>
      </c>
      <c r="AE7" s="165">
        <f t="shared" si="1"/>
        <v>-2.3601398601398649E-2</v>
      </c>
      <c r="AK7" s="309"/>
      <c r="AN7" s="309"/>
    </row>
    <row r="8" spans="1:40" x14ac:dyDescent="0.25">
      <c r="O8" s="13" t="s">
        <v>92</v>
      </c>
      <c r="P8"/>
      <c r="Q8" s="165">
        <f>(Q4-Q3)/Q3</f>
        <v>-9.2452220433943647E-2</v>
      </c>
      <c r="W8" s="114">
        <v>42410</v>
      </c>
      <c r="X8" s="12">
        <v>58.68</v>
      </c>
      <c r="Y8" s="53">
        <v>59.76</v>
      </c>
      <c r="Z8" s="53">
        <v>57.01</v>
      </c>
      <c r="AA8" s="12">
        <v>57.2</v>
      </c>
      <c r="AB8" s="115">
        <v>3429700</v>
      </c>
      <c r="AC8" s="324">
        <v>57.2</v>
      </c>
      <c r="AD8" s="2">
        <f t="shared" si="0"/>
        <v>2.75</v>
      </c>
      <c r="AE8" s="165">
        <f t="shared" si="1"/>
        <v>-8.6655112651646826E-3</v>
      </c>
    </row>
    <row r="9" spans="1:40" x14ac:dyDescent="0.25">
      <c r="W9" s="114">
        <v>42409</v>
      </c>
      <c r="X9" s="12">
        <v>58.24</v>
      </c>
      <c r="Y9" s="53">
        <v>60.08</v>
      </c>
      <c r="Z9" s="53">
        <v>57.46</v>
      </c>
      <c r="AA9" s="12">
        <v>57.7</v>
      </c>
      <c r="AB9" s="115">
        <v>4610800</v>
      </c>
      <c r="AC9" s="324">
        <v>57.7</v>
      </c>
      <c r="AD9" s="2">
        <f t="shared" si="0"/>
        <v>2.6199999999999974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>
        <v>42409</v>
      </c>
      <c r="X10" s="12" t="s">
        <v>158</v>
      </c>
      <c r="Y10" s="53"/>
      <c r="Z10" s="53"/>
      <c r="AA10" s="12"/>
      <c r="AB10" s="115"/>
      <c r="AC10" s="324"/>
      <c r="AD10" s="2">
        <f t="shared" si="0"/>
        <v>0</v>
      </c>
      <c r="AE10" s="165">
        <f t="shared" si="1"/>
        <v>-1</v>
      </c>
    </row>
    <row r="11" spans="1:40" x14ac:dyDescent="0.25">
      <c r="A11" s="45" t="s">
        <v>81</v>
      </c>
      <c r="B11" s="16"/>
      <c r="C11" s="16">
        <f>SUM(C2:C7)</f>
        <v>150</v>
      </c>
      <c r="D11" s="16"/>
      <c r="E11" s="16"/>
      <c r="F11" s="21">
        <f>SUM(F2:F7)</f>
        <v>10153.5</v>
      </c>
      <c r="G11" s="21"/>
      <c r="H11" s="92">
        <f>SUM(H2:H6)</f>
        <v>60</v>
      </c>
      <c r="I11" s="21"/>
      <c r="J11" s="21"/>
      <c r="K11" s="21">
        <f>SUM(K2:K6)</f>
        <v>3902.92</v>
      </c>
      <c r="L11" s="21"/>
      <c r="M11" s="21">
        <f>SUM(M2:M6)</f>
        <v>0</v>
      </c>
      <c r="W11" s="114">
        <v>42408</v>
      </c>
      <c r="X11" s="12">
        <v>60.81</v>
      </c>
      <c r="Y11" s="53">
        <v>61.19</v>
      </c>
      <c r="Z11" s="53">
        <v>58.23</v>
      </c>
      <c r="AA11" s="12">
        <v>59.3</v>
      </c>
      <c r="AB11" s="115">
        <v>5708700</v>
      </c>
      <c r="AC11" s="324">
        <v>59.04</v>
      </c>
      <c r="AD11" s="2">
        <f t="shared" si="0"/>
        <v>2.9600000000000009</v>
      </c>
      <c r="AE11" s="165">
        <f t="shared" si="1"/>
        <v>-4.6049442559379594E-2</v>
      </c>
      <c r="AK11" s="309"/>
      <c r="AN11" s="309"/>
    </row>
    <row r="12" spans="1:40" x14ac:dyDescent="0.25">
      <c r="W12" s="114">
        <v>42405</v>
      </c>
      <c r="X12" s="12">
        <v>64.87</v>
      </c>
      <c r="Y12" s="53">
        <v>65.849999999999994</v>
      </c>
      <c r="Z12" s="53">
        <v>61</v>
      </c>
      <c r="AA12" s="12">
        <v>62.16</v>
      </c>
      <c r="AB12" s="115">
        <v>6333700</v>
      </c>
      <c r="AC12" s="324">
        <v>61.89</v>
      </c>
      <c r="AD12" s="2">
        <f t="shared" si="0"/>
        <v>4.8499999999999943</v>
      </c>
      <c r="AE12" s="165">
        <f t="shared" si="1"/>
        <v>-5.8134226145183265E-2</v>
      </c>
    </row>
    <row r="13" spans="1:40" x14ac:dyDescent="0.25">
      <c r="W13" s="114">
        <v>42404</v>
      </c>
      <c r="X13" s="12">
        <v>66.58</v>
      </c>
      <c r="Y13" s="53">
        <v>66.790000000000006</v>
      </c>
      <c r="Z13" s="53">
        <v>65.12</v>
      </c>
      <c r="AA13" s="12">
        <v>66</v>
      </c>
      <c r="AB13" s="115">
        <v>4337300</v>
      </c>
      <c r="AC13" s="324">
        <v>65.709999999999994</v>
      </c>
      <c r="AD13" s="2">
        <f t="shared" si="0"/>
        <v>1.6700000000000017</v>
      </c>
      <c r="AE13" s="165">
        <f t="shared" si="1"/>
        <v>-2.8831562974205305E-3</v>
      </c>
      <c r="AK13" s="309"/>
      <c r="AN13" s="309"/>
    </row>
    <row r="14" spans="1:40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49" t="s">
        <v>65</v>
      </c>
      <c r="G14" s="294" t="s">
        <v>195</v>
      </c>
      <c r="H14" s="294" t="s">
        <v>92</v>
      </c>
      <c r="I14" s="294" t="s">
        <v>203</v>
      </c>
      <c r="T14" s="104"/>
      <c r="U14" s="13"/>
      <c r="W14" s="114">
        <v>42403</v>
      </c>
      <c r="X14" s="12">
        <v>67.8</v>
      </c>
      <c r="Y14" s="53">
        <v>68.790000000000006</v>
      </c>
      <c r="Z14" s="53">
        <v>64.88</v>
      </c>
      <c r="AA14" s="12">
        <v>66.19</v>
      </c>
      <c r="AB14" s="115">
        <v>4893800</v>
      </c>
      <c r="AC14" s="324">
        <v>65.900000000000006</v>
      </c>
      <c r="AD14" s="2">
        <f t="shared" si="0"/>
        <v>3.9100000000000108</v>
      </c>
      <c r="AE14" s="165">
        <f t="shared" si="1"/>
        <v>-4.3813264843630684E-3</v>
      </c>
    </row>
    <row r="15" spans="1:40" x14ac:dyDescent="0.25">
      <c r="B15" s="248">
        <v>42374</v>
      </c>
      <c r="C15" s="12">
        <v>30</v>
      </c>
      <c r="D15" s="53">
        <v>73.8</v>
      </c>
      <c r="E15" s="53">
        <v>73.290000000000006</v>
      </c>
      <c r="F15" s="53">
        <f>C15*(E15-D15)</f>
        <v>-15.299999999999727</v>
      </c>
      <c r="G15" s="53">
        <f>D15*C15</f>
        <v>2214</v>
      </c>
      <c r="H15" s="304">
        <f>(E15-D15)/D15</f>
        <v>-6.9105691056909335E-3</v>
      </c>
      <c r="I15" s="53"/>
      <c r="W15" s="114">
        <v>42402</v>
      </c>
      <c r="X15" s="12">
        <v>69.069999999999993</v>
      </c>
      <c r="Y15" s="53">
        <v>69.2</v>
      </c>
      <c r="Z15" s="53">
        <v>66.38</v>
      </c>
      <c r="AA15" s="12">
        <v>66.48</v>
      </c>
      <c r="AB15" s="115">
        <v>3834900</v>
      </c>
      <c r="AC15" s="324">
        <v>66.19</v>
      </c>
      <c r="AD15" s="2">
        <f t="shared" si="0"/>
        <v>2.8200000000000074</v>
      </c>
      <c r="AE15" s="165">
        <f t="shared" si="1"/>
        <v>-4.5015149329101223E-2</v>
      </c>
      <c r="AK15" s="309"/>
      <c r="AN15" s="309"/>
    </row>
    <row r="16" spans="1:40" x14ac:dyDescent="0.25">
      <c r="B16" s="248">
        <v>42375</v>
      </c>
      <c r="C16" s="12">
        <v>60</v>
      </c>
      <c r="D16" s="53">
        <v>71.55</v>
      </c>
      <c r="E16" s="53">
        <v>69.150000000000006</v>
      </c>
      <c r="F16" s="53">
        <f t="shared" ref="F16:F17" si="2">C16*(E16-D16)</f>
        <v>-143.99999999999949</v>
      </c>
      <c r="G16" s="53">
        <f t="shared" ref="G16:G17" si="3">D16*C16</f>
        <v>4293</v>
      </c>
      <c r="H16" s="304">
        <f t="shared" ref="H16:H17" si="4">(E16-D16)/D16</f>
        <v>-3.3542976939203238E-2</v>
      </c>
      <c r="I16" s="53"/>
      <c r="W16" s="114">
        <v>42401</v>
      </c>
      <c r="X16" s="12">
        <v>68.180000000000007</v>
      </c>
      <c r="Y16" s="53">
        <v>70.39</v>
      </c>
      <c r="Z16" s="53">
        <v>67.52</v>
      </c>
      <c r="AA16" s="12">
        <v>69.62</v>
      </c>
      <c r="AB16" s="115">
        <v>4726300</v>
      </c>
      <c r="AC16" s="324">
        <v>69.31</v>
      </c>
      <c r="AD16" s="2">
        <f t="shared" si="0"/>
        <v>2.8700000000000045</v>
      </c>
      <c r="AE16" s="165">
        <f t="shared" si="1"/>
        <v>1.0055377440979285E-2</v>
      </c>
    </row>
    <row r="17" spans="2:40" x14ac:dyDescent="0.25">
      <c r="B17" s="248">
        <v>42380</v>
      </c>
      <c r="C17" s="12">
        <v>90</v>
      </c>
      <c r="D17" s="53">
        <v>69.5</v>
      </c>
      <c r="E17" s="53">
        <v>66.05</v>
      </c>
      <c r="F17" s="53">
        <f t="shared" si="2"/>
        <v>-310.50000000000023</v>
      </c>
      <c r="G17" s="53">
        <f t="shared" si="3"/>
        <v>6255</v>
      </c>
      <c r="H17" s="304">
        <f t="shared" si="4"/>
        <v>-4.9640287769784214E-2</v>
      </c>
      <c r="I17" s="53"/>
      <c r="W17" s="114">
        <v>42398</v>
      </c>
      <c r="X17" s="12">
        <v>68.819999999999993</v>
      </c>
      <c r="Y17" s="53">
        <v>69.77</v>
      </c>
      <c r="Z17" s="53">
        <v>66.22</v>
      </c>
      <c r="AA17" s="12">
        <v>68.92</v>
      </c>
      <c r="AB17" s="115">
        <v>8200700</v>
      </c>
      <c r="AC17" s="324">
        <v>68.62</v>
      </c>
      <c r="AD17" s="2">
        <f t="shared" si="0"/>
        <v>3.5499999999999972</v>
      </c>
      <c r="AE17" s="165">
        <f t="shared" si="1"/>
        <v>6.3711052549992209E-2</v>
      </c>
      <c r="AK17" s="309"/>
      <c r="AN17" s="309"/>
    </row>
    <row r="18" spans="2:40" x14ac:dyDescent="0.25">
      <c r="B18" s="248">
        <v>42398</v>
      </c>
      <c r="C18" s="12">
        <v>60</v>
      </c>
      <c r="D18" s="53">
        <v>69.849999999999994</v>
      </c>
      <c r="E18" s="53">
        <v>68.8</v>
      </c>
      <c r="F18" s="53">
        <f t="shared" ref="F18:F22" si="5">C18*(E18-D18)</f>
        <v>-62.999999999999829</v>
      </c>
      <c r="G18" s="53">
        <f t="shared" ref="G18:G22" si="6">D18*C18</f>
        <v>4191</v>
      </c>
      <c r="H18" s="304">
        <f t="shared" ref="H18:H22" si="7">(E18-D18)/D18</f>
        <v>-1.5032211882605544E-2</v>
      </c>
      <c r="I18" s="53"/>
      <c r="W18" s="114">
        <v>42397</v>
      </c>
      <c r="X18" s="12">
        <v>62.77</v>
      </c>
      <c r="Y18" s="53">
        <v>64.900000000000006</v>
      </c>
      <c r="Z18" s="53">
        <v>62.61</v>
      </c>
      <c r="AA18" s="12">
        <v>64.790000000000006</v>
      </c>
      <c r="AB18" s="115">
        <v>7098900</v>
      </c>
      <c r="AC18" s="324">
        <v>64.510000000000005</v>
      </c>
      <c r="AD18" s="2">
        <f t="shared" si="0"/>
        <v>2.2900000000000063</v>
      </c>
      <c r="AE18" s="165">
        <f t="shared" si="1"/>
        <v>4.267011475674809E-2</v>
      </c>
    </row>
    <row r="19" spans="2:40" x14ac:dyDescent="0.25">
      <c r="B19" s="248">
        <v>42402</v>
      </c>
      <c r="C19" s="12">
        <v>90</v>
      </c>
      <c r="D19" s="53">
        <v>68.97</v>
      </c>
      <c r="E19" s="53">
        <v>66.48</v>
      </c>
      <c r="F19" s="53">
        <f t="shared" si="5"/>
        <v>-224.09999999999954</v>
      </c>
      <c r="G19" s="53">
        <f t="shared" si="6"/>
        <v>6207.3</v>
      </c>
      <c r="H19" s="304">
        <f t="shared" si="7"/>
        <v>-3.6102653327533638E-2</v>
      </c>
      <c r="I19" s="53"/>
      <c r="W19" s="114">
        <v>42396</v>
      </c>
      <c r="X19" s="12">
        <v>65.680000000000007</v>
      </c>
      <c r="Y19" s="53">
        <v>66.459999999999994</v>
      </c>
      <c r="Z19" s="53">
        <v>61.71</v>
      </c>
      <c r="AA19" s="12">
        <v>62.14</v>
      </c>
      <c r="AB19" s="115">
        <v>5848300</v>
      </c>
      <c r="AC19" s="324">
        <v>61.87</v>
      </c>
      <c r="AD19" s="2">
        <f t="shared" si="0"/>
        <v>4.7499999999999929</v>
      </c>
      <c r="AE19" s="165">
        <f t="shared" si="1"/>
        <v>-5.5564036025034458E-2</v>
      </c>
      <c r="AK19" s="309"/>
      <c r="AN19" s="309"/>
    </row>
    <row r="20" spans="2:40" x14ac:dyDescent="0.25">
      <c r="B20" s="248">
        <v>42405</v>
      </c>
      <c r="C20" s="12">
        <v>120</v>
      </c>
      <c r="D20" s="53">
        <v>67.412800000000004</v>
      </c>
      <c r="E20" s="53">
        <v>61.91</v>
      </c>
      <c r="F20" s="53">
        <f t="shared" si="5"/>
        <v>-660.33600000000092</v>
      </c>
      <c r="G20" s="53">
        <f t="shared" si="6"/>
        <v>8089.5360000000001</v>
      </c>
      <c r="H20" s="304">
        <f t="shared" si="7"/>
        <v>-8.1628414781762623E-2</v>
      </c>
      <c r="I20" s="53"/>
      <c r="W20" s="114">
        <v>42395</v>
      </c>
      <c r="X20" s="12">
        <v>65.75</v>
      </c>
      <c r="Y20" s="53">
        <v>67.040000000000006</v>
      </c>
      <c r="Z20" s="53">
        <v>64.989999999999995</v>
      </c>
      <c r="AA20" s="12">
        <v>65.8</v>
      </c>
      <c r="AB20" s="115">
        <v>2789400</v>
      </c>
      <c r="AC20" s="324">
        <v>65.510000000000005</v>
      </c>
      <c r="AD20" s="2">
        <f t="shared" si="0"/>
        <v>2.0500000000000114</v>
      </c>
      <c r="AE20" s="165">
        <f t="shared" si="1"/>
        <v>3.2159264931088671E-3</v>
      </c>
    </row>
    <row r="21" spans="2:40" x14ac:dyDescent="0.25">
      <c r="B21" s="248">
        <v>42415</v>
      </c>
      <c r="C21" s="12">
        <v>120</v>
      </c>
      <c r="D21" s="53">
        <v>67.412800000000004</v>
      </c>
      <c r="E21" s="53">
        <v>57.63</v>
      </c>
      <c r="F21" s="53">
        <f t="shared" si="5"/>
        <v>-1173.9360000000001</v>
      </c>
      <c r="G21" s="53">
        <f t="shared" si="6"/>
        <v>8089.5360000000001</v>
      </c>
      <c r="H21" s="304">
        <f t="shared" si="7"/>
        <v>-0.14511784112216081</v>
      </c>
      <c r="I21" s="53"/>
      <c r="W21" s="114">
        <v>42394</v>
      </c>
      <c r="X21" s="12">
        <v>66.849999999999994</v>
      </c>
      <c r="Y21" s="53">
        <v>66.92</v>
      </c>
      <c r="Z21" s="53">
        <v>65.489999999999995</v>
      </c>
      <c r="AA21" s="12">
        <v>65.59</v>
      </c>
      <c r="AB21" s="115">
        <v>3069000</v>
      </c>
      <c r="AC21" s="324">
        <v>65.3</v>
      </c>
      <c r="AD21" s="2">
        <f t="shared" si="0"/>
        <v>1.4300000000000068</v>
      </c>
      <c r="AE21" s="165">
        <f t="shared" si="1"/>
        <v>-2.1576266107281916E-2</v>
      </c>
      <c r="AK21" s="309"/>
      <c r="AN21" s="309"/>
    </row>
    <row r="22" spans="2:40" x14ac:dyDescent="0.25">
      <c r="B22" s="248">
        <v>42416</v>
      </c>
      <c r="C22" s="12">
        <v>90</v>
      </c>
      <c r="D22" s="53">
        <v>69.45</v>
      </c>
      <c r="E22" s="53">
        <v>61.44</v>
      </c>
      <c r="F22" s="53">
        <f t="shared" si="5"/>
        <v>-720.90000000000043</v>
      </c>
      <c r="G22" s="53">
        <f t="shared" si="6"/>
        <v>6250.5</v>
      </c>
      <c r="H22" s="304">
        <f t="shared" si="7"/>
        <v>-0.11533477321814262</v>
      </c>
      <c r="I22" s="53"/>
      <c r="W22" s="114">
        <v>42391</v>
      </c>
      <c r="X22" s="12">
        <v>65</v>
      </c>
      <c r="Y22" s="53">
        <v>67.42</v>
      </c>
      <c r="Z22" s="53">
        <v>64.97</v>
      </c>
      <c r="AA22" s="12">
        <v>67.03</v>
      </c>
      <c r="AB22" s="115">
        <v>5714300</v>
      </c>
      <c r="AC22" s="324">
        <v>66.739999999999995</v>
      </c>
      <c r="AD22" s="2">
        <f t="shared" si="0"/>
        <v>2.4500000000000028</v>
      </c>
      <c r="AE22" s="165">
        <f t="shared" si="1"/>
        <v>5.9196952864624564E-2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42390</v>
      </c>
      <c r="X23" s="12">
        <v>62.23</v>
      </c>
      <c r="Y23" s="53">
        <v>64.73</v>
      </c>
      <c r="Z23" s="53">
        <v>61.52</v>
      </c>
      <c r="AA23" s="12">
        <v>63.29</v>
      </c>
      <c r="AB23" s="115">
        <v>4252400</v>
      </c>
      <c r="AC23" s="324">
        <v>63.01</v>
      </c>
      <c r="AD23" s="2">
        <f t="shared" si="0"/>
        <v>3.2100000000000009</v>
      </c>
      <c r="AE23" s="165">
        <f t="shared" si="1"/>
        <v>2.7057864710676283E-2</v>
      </c>
      <c r="AK23" s="309"/>
    </row>
    <row r="24" spans="2:40" x14ac:dyDescent="0.25">
      <c r="B24" s="248"/>
      <c r="C24" s="12"/>
      <c r="D24" s="53"/>
      <c r="E24" s="53"/>
      <c r="F24" s="53"/>
      <c r="G24" s="53"/>
      <c r="H24" s="304"/>
      <c r="I24" s="53"/>
      <c r="W24" s="114">
        <v>42389</v>
      </c>
      <c r="X24" s="12">
        <v>59.37</v>
      </c>
      <c r="Y24" s="53">
        <v>62.31</v>
      </c>
      <c r="Z24" s="53">
        <v>58.5</v>
      </c>
      <c r="AA24" s="12">
        <v>61.62</v>
      </c>
      <c r="AB24" s="115">
        <v>5997300</v>
      </c>
      <c r="AC24" s="324">
        <v>61.35</v>
      </c>
      <c r="AD24" s="2">
        <f t="shared" si="0"/>
        <v>3.8100000000000023</v>
      </c>
      <c r="AE24" s="165">
        <f t="shared" si="1"/>
        <v>2.0459081836327497E-2</v>
      </c>
    </row>
    <row r="25" spans="2:40" x14ac:dyDescent="0.25">
      <c r="B25" s="248"/>
      <c r="C25" s="12"/>
      <c r="D25" s="53"/>
      <c r="E25" s="53"/>
      <c r="F25" s="53"/>
      <c r="G25" s="53"/>
      <c r="H25" s="304"/>
      <c r="I25" s="53"/>
      <c r="W25" s="114">
        <v>42388</v>
      </c>
      <c r="X25" s="12">
        <v>62.38</v>
      </c>
      <c r="Y25" s="53">
        <v>63.34</v>
      </c>
      <c r="Z25" s="53">
        <v>59.87</v>
      </c>
      <c r="AA25" s="12">
        <v>60.38</v>
      </c>
      <c r="AB25" s="115">
        <v>4928400</v>
      </c>
      <c r="AC25" s="324">
        <v>60.12</v>
      </c>
      <c r="AD25" s="2">
        <f t="shared" si="0"/>
        <v>3.470000000000006</v>
      </c>
      <c r="AE25" s="165">
        <f t="shared" si="1"/>
        <v>-4.6357615894040416E-3</v>
      </c>
    </row>
    <row r="26" spans="2:40" x14ac:dyDescent="0.25">
      <c r="B26" s="248"/>
      <c r="C26" s="12"/>
      <c r="D26" s="53"/>
      <c r="E26" s="53"/>
      <c r="F26" s="53"/>
      <c r="G26" s="53"/>
      <c r="H26" s="304"/>
      <c r="I26" s="53"/>
      <c r="W26" s="114">
        <v>42384</v>
      </c>
      <c r="X26" s="12">
        <v>61.1</v>
      </c>
      <c r="Y26" s="53">
        <v>62.45</v>
      </c>
      <c r="Z26" s="53">
        <v>59.92</v>
      </c>
      <c r="AA26" s="12">
        <v>60.67</v>
      </c>
      <c r="AB26" s="115">
        <v>6045100</v>
      </c>
      <c r="AC26" s="324">
        <v>60.4</v>
      </c>
      <c r="AD26" s="2">
        <f t="shared" si="0"/>
        <v>2.5300000000000011</v>
      </c>
      <c r="AE26" s="165">
        <f t="shared" si="1"/>
        <v>-6.0068471833177761E-2</v>
      </c>
    </row>
    <row r="27" spans="2:40" x14ac:dyDescent="0.25">
      <c r="B27" s="248"/>
      <c r="C27" s="12"/>
      <c r="D27" s="53"/>
      <c r="E27" s="53"/>
      <c r="F27" s="53"/>
      <c r="G27" s="53"/>
      <c r="H27" s="304"/>
      <c r="I27" s="53"/>
      <c r="W27" s="114">
        <v>42383</v>
      </c>
      <c r="X27" s="12">
        <v>62.01</v>
      </c>
      <c r="Y27" s="53">
        <v>65.14</v>
      </c>
      <c r="Z27" s="53">
        <v>60.07</v>
      </c>
      <c r="AA27" s="12">
        <v>64.540000000000006</v>
      </c>
      <c r="AB27" s="115">
        <v>5674200</v>
      </c>
      <c r="AC27" s="324">
        <v>64.260000000000005</v>
      </c>
      <c r="AD27" s="2">
        <f t="shared" si="0"/>
        <v>5.07</v>
      </c>
      <c r="AE27" s="165">
        <f t="shared" si="1"/>
        <v>3.8293746970431419E-2</v>
      </c>
    </row>
    <row r="28" spans="2:40" x14ac:dyDescent="0.25">
      <c r="B28" s="248"/>
      <c r="C28" s="12"/>
      <c r="D28" s="53"/>
      <c r="E28" s="53"/>
      <c r="F28" s="53"/>
      <c r="G28" s="53"/>
      <c r="H28" s="304"/>
      <c r="I28" s="53"/>
      <c r="W28" s="114">
        <v>42382</v>
      </c>
      <c r="X28" s="12">
        <v>64.2</v>
      </c>
      <c r="Y28" s="53">
        <v>65.66</v>
      </c>
      <c r="Z28" s="53">
        <v>61.9</v>
      </c>
      <c r="AA28" s="12">
        <v>62.16</v>
      </c>
      <c r="AB28" s="115">
        <v>7247200</v>
      </c>
      <c r="AC28" s="324">
        <v>61.89</v>
      </c>
      <c r="AD28" s="2">
        <f t="shared" si="0"/>
        <v>3.759999999999998</v>
      </c>
      <c r="AE28" s="165">
        <f t="shared" si="1"/>
        <v>-6.7078685559240347E-2</v>
      </c>
    </row>
    <row r="29" spans="2:40" x14ac:dyDescent="0.25">
      <c r="W29" s="114">
        <v>42381</v>
      </c>
      <c r="X29" s="12">
        <v>66.72</v>
      </c>
      <c r="Y29" s="53">
        <v>67.81</v>
      </c>
      <c r="Z29" s="53">
        <v>65.06</v>
      </c>
      <c r="AA29" s="12">
        <v>66.63</v>
      </c>
      <c r="AB29" s="115">
        <v>3352400</v>
      </c>
      <c r="AC29" s="324">
        <v>66.34</v>
      </c>
      <c r="AD29" s="2">
        <f t="shared" si="0"/>
        <v>2.75</v>
      </c>
      <c r="AE29" s="165">
        <f t="shared" si="1"/>
        <v>8.819951338199461E-3</v>
      </c>
    </row>
    <row r="30" spans="2:40" x14ac:dyDescent="0.25">
      <c r="W30" s="114">
        <v>42380</v>
      </c>
      <c r="X30" s="12">
        <v>67.180000000000007</v>
      </c>
      <c r="Y30" s="53">
        <v>68</v>
      </c>
      <c r="Z30" s="53">
        <v>64.930000000000007</v>
      </c>
      <c r="AA30" s="12">
        <v>66.05</v>
      </c>
      <c r="AB30" s="115">
        <v>5140200</v>
      </c>
      <c r="AC30" s="324">
        <v>65.760000000000005</v>
      </c>
      <c r="AD30" s="2">
        <f t="shared" si="0"/>
        <v>3.0699999999999932</v>
      </c>
      <c r="AE30" s="165">
        <f t="shared" si="1"/>
        <v>-1.2612612612612484E-2</v>
      </c>
    </row>
    <row r="31" spans="2:40" x14ac:dyDescent="0.25">
      <c r="W31" s="114">
        <v>42377</v>
      </c>
      <c r="X31" s="12">
        <v>68.56</v>
      </c>
      <c r="Y31" s="53">
        <v>69.12</v>
      </c>
      <c r="Z31" s="53">
        <v>66.55</v>
      </c>
      <c r="AA31" s="12">
        <v>66.89</v>
      </c>
      <c r="AB31" s="115">
        <v>7171000</v>
      </c>
      <c r="AC31" s="324">
        <v>66.599999999999994</v>
      </c>
      <c r="AD31" s="2">
        <f t="shared" si="0"/>
        <v>2.5700000000000074</v>
      </c>
      <c r="AE31" s="165">
        <f t="shared" si="1"/>
        <v>-4.0376850605654546E-3</v>
      </c>
    </row>
    <row r="32" spans="2:40" x14ac:dyDescent="0.25">
      <c r="W32" s="114">
        <v>42376</v>
      </c>
      <c r="X32" s="12">
        <v>66.599999999999994</v>
      </c>
      <c r="Y32" s="53">
        <v>70.28</v>
      </c>
      <c r="Z32" s="53">
        <v>66.099999999999994</v>
      </c>
      <c r="AA32" s="12">
        <v>67.16</v>
      </c>
      <c r="AB32" s="115">
        <v>7120100</v>
      </c>
      <c r="AC32" s="324">
        <v>66.87</v>
      </c>
      <c r="AD32" s="2">
        <f t="shared" si="0"/>
        <v>4.1800000000000068</v>
      </c>
      <c r="AE32" s="165">
        <f t="shared" si="1"/>
        <v>-2.8758169934640421E-2</v>
      </c>
    </row>
    <row r="33" spans="15:31" x14ac:dyDescent="0.25">
      <c r="W33" s="114">
        <v>42375</v>
      </c>
      <c r="X33" s="12">
        <v>71.55</v>
      </c>
      <c r="Y33" s="53">
        <v>72.06</v>
      </c>
      <c r="Z33" s="53">
        <v>68.33</v>
      </c>
      <c r="AA33" s="12">
        <v>69.150000000000006</v>
      </c>
      <c r="AB33" s="115">
        <v>8047300</v>
      </c>
      <c r="AC33" s="324">
        <v>68.849999999999994</v>
      </c>
      <c r="AD33" s="2">
        <f t="shared" si="0"/>
        <v>3.730000000000004</v>
      </c>
      <c r="AE33" s="165">
        <f t="shared" si="1"/>
        <v>-5.6461559545018525E-2</v>
      </c>
    </row>
    <row r="34" spans="15:31" x14ac:dyDescent="0.25">
      <c r="W34" s="114">
        <v>42374</v>
      </c>
      <c r="X34" s="12">
        <v>78.040000000000006</v>
      </c>
      <c r="Y34" s="53">
        <v>78.12</v>
      </c>
      <c r="Z34" s="53">
        <v>72.78</v>
      </c>
      <c r="AA34" s="12">
        <v>73.290000000000006</v>
      </c>
      <c r="AB34" s="115">
        <v>6011000</v>
      </c>
      <c r="AC34" s="324">
        <v>72.97</v>
      </c>
      <c r="AD34" s="2">
        <f t="shared" si="0"/>
        <v>5.3400000000000034</v>
      </c>
      <c r="AE34" s="165">
        <f t="shared" si="1"/>
        <v>-5.9543755638613249E-2</v>
      </c>
    </row>
    <row r="35" spans="15:31" x14ac:dyDescent="0.25">
      <c r="W35" s="114">
        <v>42373</v>
      </c>
      <c r="X35" s="12">
        <v>75.010000000000005</v>
      </c>
      <c r="Y35" s="53">
        <v>78</v>
      </c>
      <c r="Z35" s="53">
        <v>74.91</v>
      </c>
      <c r="AA35" s="12">
        <v>77.930000000000007</v>
      </c>
      <c r="AB35" s="115">
        <v>3848000</v>
      </c>
      <c r="AC35" s="324">
        <v>77.59</v>
      </c>
      <c r="AD35" s="2">
        <f t="shared" si="0"/>
        <v>3.0900000000000034</v>
      </c>
      <c r="AE35" s="165">
        <f t="shared" si="1"/>
        <v>1.438096483200435E-2</v>
      </c>
    </row>
    <row r="36" spans="15:31" ht="20.25" thickBot="1" x14ac:dyDescent="0.35">
      <c r="O36" s="13"/>
      <c r="P36" s="344" t="s">
        <v>78</v>
      </c>
      <c r="Q36" s="344"/>
      <c r="R36" s="47"/>
      <c r="T36" s="111" t="s">
        <v>121</v>
      </c>
      <c r="W36" s="114">
        <v>42369</v>
      </c>
      <c r="X36" s="12">
        <v>78.91</v>
      </c>
      <c r="Y36" s="53">
        <v>79.25</v>
      </c>
      <c r="Z36" s="53">
        <v>76.8</v>
      </c>
      <c r="AA36" s="12">
        <v>76.83</v>
      </c>
      <c r="AB36" s="115">
        <v>2341300</v>
      </c>
      <c r="AC36" s="324">
        <v>76.489999999999995</v>
      </c>
      <c r="AD36" s="2">
        <f t="shared" si="0"/>
        <v>2.4500000000000028</v>
      </c>
      <c r="AE36" s="165">
        <f t="shared" si="1"/>
        <v>-2.9807204464738835E-2</v>
      </c>
    </row>
    <row r="37" spans="15:31" ht="15.75" thickTop="1" x14ac:dyDescent="0.25">
      <c r="O37" s="2"/>
      <c r="P37" s="103">
        <v>1.1000000000000001</v>
      </c>
      <c r="Q37" s="103">
        <f>P37*$Q$4</f>
        <v>69.333000000000013</v>
      </c>
      <c r="R37" s="47"/>
      <c r="T37" s="117" t="s">
        <v>106</v>
      </c>
      <c r="U37" s="156">
        <v>62.07</v>
      </c>
      <c r="W37" s="114">
        <v>42368</v>
      </c>
      <c r="X37" s="12">
        <v>80.180000000000007</v>
      </c>
      <c r="Y37" s="53">
        <v>80.930000000000007</v>
      </c>
      <c r="Z37" s="53">
        <v>79.150000000000006</v>
      </c>
      <c r="AA37" s="12">
        <v>79.19</v>
      </c>
      <c r="AB37" s="115">
        <v>1368800</v>
      </c>
      <c r="AC37" s="324">
        <v>78.84</v>
      </c>
      <c r="AD37" s="2">
        <f t="shared" si="0"/>
        <v>1.7800000000000011</v>
      </c>
      <c r="AE37" s="165">
        <f t="shared" si="1"/>
        <v>-1.548451548451546E-2</v>
      </c>
    </row>
    <row r="38" spans="15:31" x14ac:dyDescent="0.25">
      <c r="O38" s="2"/>
      <c r="P38" s="103">
        <v>1.0900000000000001</v>
      </c>
      <c r="Q38" s="103">
        <f t="shared" ref="Q38:Q57" si="8">P38*$Q$4</f>
        <v>68.702700000000007</v>
      </c>
      <c r="R38" s="47"/>
      <c r="T38" s="107" t="s">
        <v>107</v>
      </c>
      <c r="U38" s="157">
        <v>61.54</v>
      </c>
      <c r="W38" s="114">
        <v>42367</v>
      </c>
      <c r="X38" s="12">
        <v>79.430000000000007</v>
      </c>
      <c r="Y38" s="53">
        <v>81.349999999999994</v>
      </c>
      <c r="Z38" s="53">
        <v>79.08</v>
      </c>
      <c r="AA38" s="12">
        <v>80.430000000000007</v>
      </c>
      <c r="AB38" s="115">
        <v>2437300</v>
      </c>
      <c r="AC38" s="324">
        <v>80.08</v>
      </c>
      <c r="AD38" s="2">
        <f t="shared" si="0"/>
        <v>2.269999999999996</v>
      </c>
      <c r="AE38" s="165">
        <f t="shared" si="1"/>
        <v>1.4184397163120588E-2</v>
      </c>
    </row>
    <row r="39" spans="15:31" x14ac:dyDescent="0.25">
      <c r="O39" s="2"/>
      <c r="P39" s="103">
        <v>1.08</v>
      </c>
      <c r="Q39" s="103">
        <f t="shared" si="8"/>
        <v>68.072400000000002</v>
      </c>
      <c r="R39" s="47"/>
      <c r="T39" s="107" t="s">
        <v>108</v>
      </c>
      <c r="U39" s="157" t="s">
        <v>457</v>
      </c>
      <c r="W39" s="114">
        <v>42366</v>
      </c>
      <c r="X39" s="12">
        <v>78.81</v>
      </c>
      <c r="Y39" s="53">
        <v>79.900000000000006</v>
      </c>
      <c r="Z39" s="53">
        <v>77.569999999999993</v>
      </c>
      <c r="AA39" s="12">
        <v>79.31</v>
      </c>
      <c r="AB39" s="115">
        <v>3210300</v>
      </c>
      <c r="AC39" s="324">
        <v>78.959999999999994</v>
      </c>
      <c r="AD39" s="2">
        <f t="shared" si="0"/>
        <v>2.3300000000000125</v>
      </c>
      <c r="AE39" s="165">
        <f t="shared" si="1"/>
        <v>-1.2663036596183286E-4</v>
      </c>
    </row>
    <row r="40" spans="15:31" x14ac:dyDescent="0.25">
      <c r="O40" s="2"/>
      <c r="P40" s="103">
        <v>1.07</v>
      </c>
      <c r="Q40" s="103">
        <f t="shared" si="8"/>
        <v>67.442100000000011</v>
      </c>
      <c r="R40" s="103"/>
      <c r="T40" s="107" t="s">
        <v>109</v>
      </c>
      <c r="U40" s="157" t="s">
        <v>458</v>
      </c>
      <c r="W40" s="114">
        <v>42362</v>
      </c>
      <c r="X40" s="12">
        <v>79.17</v>
      </c>
      <c r="Y40" s="53">
        <v>80.48</v>
      </c>
      <c r="Z40" s="53">
        <v>79</v>
      </c>
      <c r="AA40" s="12">
        <v>79.319999999999993</v>
      </c>
      <c r="AB40" s="115">
        <v>1022700</v>
      </c>
      <c r="AC40" s="324">
        <v>78.97</v>
      </c>
      <c r="AD40" s="2">
        <f t="shared" si="0"/>
        <v>1.480000000000004</v>
      </c>
      <c r="AE40" s="165">
        <f t="shared" si="1"/>
        <v>1.9030702867293137E-3</v>
      </c>
    </row>
    <row r="41" spans="15:31" x14ac:dyDescent="0.25">
      <c r="O41" s="2"/>
      <c r="P41" s="103">
        <v>1.06</v>
      </c>
      <c r="Q41" s="103">
        <f t="shared" si="8"/>
        <v>66.811800000000005</v>
      </c>
      <c r="R41" s="103"/>
      <c r="T41" s="107" t="s">
        <v>110</v>
      </c>
      <c r="U41" s="157">
        <v>90.3</v>
      </c>
      <c r="W41" s="114">
        <v>42361</v>
      </c>
      <c r="X41" s="12">
        <v>78.86</v>
      </c>
      <c r="Y41" s="53">
        <v>79.86</v>
      </c>
      <c r="Z41" s="53">
        <v>77.66</v>
      </c>
      <c r="AA41" s="12">
        <v>79.17</v>
      </c>
      <c r="AB41" s="115">
        <v>1919700</v>
      </c>
      <c r="AC41" s="324">
        <v>78.819999999999993</v>
      </c>
      <c r="AD41" s="2">
        <f t="shared" si="0"/>
        <v>2.2000000000000028</v>
      </c>
      <c r="AE41" s="165">
        <f t="shared" si="1"/>
        <v>9.6067631612655191E-3</v>
      </c>
    </row>
    <row r="42" spans="15:31" x14ac:dyDescent="0.25">
      <c r="O42" s="2"/>
      <c r="P42" s="103">
        <v>1.05</v>
      </c>
      <c r="Q42" s="103">
        <f t="shared" si="8"/>
        <v>66.1815</v>
      </c>
      <c r="R42" s="103"/>
      <c r="T42" s="107" t="s">
        <v>111</v>
      </c>
      <c r="U42" s="157">
        <v>0.567689</v>
      </c>
      <c r="W42" s="114">
        <v>42360</v>
      </c>
      <c r="X42" s="12">
        <v>78.81</v>
      </c>
      <c r="Y42" s="53">
        <v>79.11</v>
      </c>
      <c r="Z42" s="53">
        <v>76.709999999999994</v>
      </c>
      <c r="AA42" s="12">
        <v>78.41</v>
      </c>
      <c r="AB42" s="115">
        <v>2586200</v>
      </c>
      <c r="AC42" s="324">
        <v>78.069999999999993</v>
      </c>
      <c r="AD42" s="2">
        <f t="shared" si="0"/>
        <v>2.4000000000000057</v>
      </c>
      <c r="AE42" s="165">
        <f t="shared" si="1"/>
        <v>-1.2807377049184332E-4</v>
      </c>
    </row>
    <row r="43" spans="15:31" x14ac:dyDescent="0.25">
      <c r="O43" s="2"/>
      <c r="P43" s="103">
        <v>1.04</v>
      </c>
      <c r="Q43" s="103">
        <f t="shared" si="8"/>
        <v>65.551200000000009</v>
      </c>
      <c r="R43" s="103"/>
      <c r="T43" s="107" t="s">
        <v>131</v>
      </c>
      <c r="U43" s="114" t="s">
        <v>296</v>
      </c>
      <c r="W43" s="114">
        <v>42359</v>
      </c>
      <c r="X43" s="12">
        <v>77.5</v>
      </c>
      <c r="Y43" s="53">
        <v>78.42</v>
      </c>
      <c r="Z43" s="53">
        <v>76.400000000000006</v>
      </c>
      <c r="AA43" s="12">
        <v>78.42</v>
      </c>
      <c r="AB43" s="115">
        <v>2287400</v>
      </c>
      <c r="AC43" s="324">
        <v>78.08</v>
      </c>
      <c r="AD43" s="2">
        <f t="shared" si="0"/>
        <v>2.019999999999996</v>
      </c>
      <c r="AE43" s="165">
        <f t="shared" si="1"/>
        <v>2.669296515450359E-2</v>
      </c>
    </row>
    <row r="44" spans="15:31" x14ac:dyDescent="0.25">
      <c r="O44" s="2"/>
      <c r="P44" s="103">
        <v>1.03</v>
      </c>
      <c r="Q44" s="103">
        <f t="shared" si="8"/>
        <v>64.920900000000003</v>
      </c>
      <c r="R44" s="103"/>
      <c r="T44" s="107"/>
      <c r="U44" s="157"/>
      <c r="W44" s="114">
        <v>42356</v>
      </c>
      <c r="X44" s="12">
        <v>77.23</v>
      </c>
      <c r="Y44" s="53">
        <v>78.44</v>
      </c>
      <c r="Z44" s="53">
        <v>76.150000000000006</v>
      </c>
      <c r="AA44" s="12">
        <v>76.38</v>
      </c>
      <c r="AB44" s="115">
        <v>3788200</v>
      </c>
      <c r="AC44" s="324">
        <v>76.05</v>
      </c>
      <c r="AD44" s="2">
        <f t="shared" si="0"/>
        <v>2.289999999999992</v>
      </c>
      <c r="AE44" s="165">
        <f t="shared" si="1"/>
        <v>-1.8202943454686205E-2</v>
      </c>
    </row>
    <row r="45" spans="15:31" x14ac:dyDescent="0.25">
      <c r="O45" s="2"/>
      <c r="P45" s="103">
        <v>1.02</v>
      </c>
      <c r="Q45" s="103">
        <f t="shared" si="8"/>
        <v>64.290599999999998</v>
      </c>
      <c r="R45" s="103"/>
      <c r="T45" s="107" t="s">
        <v>113</v>
      </c>
      <c r="U45" s="157" t="s">
        <v>459</v>
      </c>
      <c r="W45" s="114">
        <v>42355</v>
      </c>
      <c r="X45" s="12">
        <v>79.819999999999993</v>
      </c>
      <c r="Y45" s="53">
        <v>80.63</v>
      </c>
      <c r="Z45" s="53">
        <v>77.760000000000005</v>
      </c>
      <c r="AA45" s="12">
        <v>77.8</v>
      </c>
      <c r="AB45" s="115">
        <v>2298600</v>
      </c>
      <c r="AC45" s="324">
        <v>77.459999999999994</v>
      </c>
      <c r="AD45" s="2">
        <f t="shared" si="0"/>
        <v>2.8699999999999903</v>
      </c>
      <c r="AE45" s="165">
        <f t="shared" si="1"/>
        <v>-1.4754515390486E-2</v>
      </c>
    </row>
    <row r="46" spans="15:31" x14ac:dyDescent="0.25">
      <c r="O46" s="2"/>
      <c r="P46" s="103">
        <v>1.01</v>
      </c>
      <c r="Q46" s="103">
        <f t="shared" si="8"/>
        <v>63.660299999999999</v>
      </c>
      <c r="R46" s="103"/>
      <c r="T46" s="107" t="s">
        <v>114</v>
      </c>
      <c r="U46" s="157" t="s">
        <v>322</v>
      </c>
      <c r="W46" s="114">
        <v>42354</v>
      </c>
      <c r="X46" s="12">
        <v>78.25</v>
      </c>
      <c r="Y46" s="53">
        <v>79.459999999999994</v>
      </c>
      <c r="Z46" s="53">
        <v>77.13</v>
      </c>
      <c r="AA46" s="12">
        <v>78.97</v>
      </c>
      <c r="AB46" s="115">
        <v>3020700</v>
      </c>
      <c r="AC46" s="324">
        <v>78.62</v>
      </c>
      <c r="AD46" s="2">
        <f t="shared" si="0"/>
        <v>2.3299999999999983</v>
      </c>
      <c r="AE46" s="165">
        <f t="shared" si="1"/>
        <v>1.5237603305785274E-2</v>
      </c>
    </row>
    <row r="47" spans="15:31" x14ac:dyDescent="0.25">
      <c r="O47" s="2"/>
      <c r="P47" s="103">
        <v>1</v>
      </c>
      <c r="Q47" s="103">
        <f t="shared" si="8"/>
        <v>63.03</v>
      </c>
      <c r="R47" s="103"/>
      <c r="T47" s="107" t="s">
        <v>115</v>
      </c>
      <c r="U47" s="158">
        <v>3374735</v>
      </c>
      <c r="W47" s="114">
        <v>42353</v>
      </c>
      <c r="X47" s="12">
        <v>78.180000000000007</v>
      </c>
      <c r="Y47" s="53">
        <v>78.78</v>
      </c>
      <c r="Z47" s="53">
        <v>76.849999999999994</v>
      </c>
      <c r="AA47" s="12">
        <v>77.78</v>
      </c>
      <c r="AB47" s="115">
        <v>4556100</v>
      </c>
      <c r="AC47" s="324">
        <v>77.44</v>
      </c>
      <c r="AD47" s="2">
        <f t="shared" si="0"/>
        <v>1.9300000000000068</v>
      </c>
      <c r="AE47" s="165">
        <f t="shared" si="1"/>
        <v>-9.3386209543303567E-3</v>
      </c>
    </row>
    <row r="48" spans="15:31" x14ac:dyDescent="0.25">
      <c r="O48" s="2"/>
      <c r="P48" s="103">
        <v>0.99</v>
      </c>
      <c r="Q48" s="103">
        <f t="shared" si="8"/>
        <v>62.399700000000003</v>
      </c>
      <c r="R48" s="103"/>
      <c r="T48" s="107" t="s">
        <v>118</v>
      </c>
      <c r="U48" s="158">
        <v>4221540</v>
      </c>
      <c r="W48" s="114">
        <v>42352</v>
      </c>
      <c r="X48" s="12">
        <v>79.64</v>
      </c>
      <c r="Y48" s="53">
        <v>79.989999999999995</v>
      </c>
      <c r="Z48" s="53">
        <v>76.45</v>
      </c>
      <c r="AA48" s="12">
        <v>78.510000000000005</v>
      </c>
      <c r="AB48" s="115">
        <v>6032200</v>
      </c>
      <c r="AC48" s="324">
        <v>78.17</v>
      </c>
      <c r="AD48" s="2">
        <f t="shared" si="0"/>
        <v>3.539999999999992</v>
      </c>
      <c r="AE48" s="165">
        <f t="shared" si="1"/>
        <v>-3.5771555445910819E-2</v>
      </c>
    </row>
    <row r="49" spans="15:31" x14ac:dyDescent="0.25">
      <c r="O49" s="2"/>
      <c r="P49" s="103">
        <v>0.98</v>
      </c>
      <c r="Q49" s="103">
        <f t="shared" si="8"/>
        <v>61.769399999999997</v>
      </c>
      <c r="R49" s="103"/>
      <c r="T49" s="107" t="s">
        <v>116</v>
      </c>
      <c r="U49" s="157" t="s">
        <v>460</v>
      </c>
      <c r="W49" s="114">
        <v>42349</v>
      </c>
      <c r="X49" s="12">
        <v>83.07</v>
      </c>
      <c r="Y49" s="53">
        <v>83.56</v>
      </c>
      <c r="Z49" s="53">
        <v>80.81</v>
      </c>
      <c r="AA49" s="12">
        <v>81.430000000000007</v>
      </c>
      <c r="AB49" s="115">
        <v>4162700</v>
      </c>
      <c r="AC49" s="324">
        <v>81.069999999999993</v>
      </c>
      <c r="AD49" s="2">
        <f t="shared" si="0"/>
        <v>2.75</v>
      </c>
      <c r="AE49" s="165">
        <f t="shared" si="1"/>
        <v>-4.0818741126360636E-2</v>
      </c>
    </row>
    <row r="50" spans="15:31" x14ac:dyDescent="0.25">
      <c r="O50" s="2"/>
      <c r="P50" s="103">
        <v>0.97</v>
      </c>
      <c r="Q50" s="103">
        <f t="shared" si="8"/>
        <v>61.139099999999999</v>
      </c>
      <c r="R50" s="103"/>
      <c r="T50" s="107" t="s">
        <v>119</v>
      </c>
      <c r="U50" s="157">
        <v>12.84</v>
      </c>
      <c r="W50" s="114">
        <v>42348</v>
      </c>
      <c r="X50" s="12">
        <v>84.51</v>
      </c>
      <c r="Y50" s="53">
        <v>86.18</v>
      </c>
      <c r="Z50" s="53">
        <v>84.17</v>
      </c>
      <c r="AA50" s="12">
        <v>84.89</v>
      </c>
      <c r="AB50" s="115">
        <v>2573700</v>
      </c>
      <c r="AC50" s="324">
        <v>84.52</v>
      </c>
      <c r="AD50" s="2">
        <f t="shared" si="0"/>
        <v>2.0100000000000051</v>
      </c>
      <c r="AE50" s="165">
        <f t="shared" si="1"/>
        <v>2.4908077333649636E-3</v>
      </c>
    </row>
    <row r="51" spans="15:31" x14ac:dyDescent="0.25">
      <c r="O51" s="2"/>
      <c r="P51" s="103">
        <v>0.96</v>
      </c>
      <c r="Q51" s="103">
        <f t="shared" si="8"/>
        <v>60.508800000000001</v>
      </c>
      <c r="R51" s="103"/>
      <c r="T51" s="107" t="s">
        <v>120</v>
      </c>
      <c r="U51" s="157">
        <v>4.91</v>
      </c>
      <c r="W51" s="114">
        <v>42347</v>
      </c>
      <c r="X51" s="12">
        <v>86.53</v>
      </c>
      <c r="Y51" s="53">
        <v>86.74</v>
      </c>
      <c r="Z51" s="53">
        <v>83.92</v>
      </c>
      <c r="AA51" s="12">
        <v>84.68</v>
      </c>
      <c r="AB51" s="115">
        <v>4055100</v>
      </c>
      <c r="AC51" s="324">
        <v>84.31</v>
      </c>
      <c r="AD51" s="2">
        <f t="shared" si="0"/>
        <v>2.8199999999999932</v>
      </c>
      <c r="AE51" s="165">
        <f t="shared" si="1"/>
        <v>-2.7790590405904037E-2</v>
      </c>
    </row>
    <row r="52" spans="15:31" x14ac:dyDescent="0.25">
      <c r="O52" s="2"/>
      <c r="P52" s="103">
        <v>0.95</v>
      </c>
      <c r="Q52" s="103">
        <f t="shared" si="8"/>
        <v>59.878499999999995</v>
      </c>
      <c r="R52" s="103"/>
      <c r="T52" s="107" t="s">
        <v>117</v>
      </c>
      <c r="U52" s="157" t="s">
        <v>461</v>
      </c>
      <c r="W52" s="114">
        <v>42346</v>
      </c>
      <c r="X52" s="12">
        <v>85.43</v>
      </c>
      <c r="Y52" s="53">
        <v>87.77</v>
      </c>
      <c r="Z52" s="53">
        <v>84.5</v>
      </c>
      <c r="AA52" s="12">
        <v>87.1</v>
      </c>
      <c r="AB52" s="115">
        <v>3000400</v>
      </c>
      <c r="AC52" s="324">
        <v>86.72</v>
      </c>
      <c r="AD52" s="2">
        <f t="shared" si="0"/>
        <v>3.269999999999996</v>
      </c>
      <c r="AE52" s="165">
        <f t="shared" si="1"/>
        <v>4.7503186189317148E-3</v>
      </c>
    </row>
    <row r="53" spans="15:31" x14ac:dyDescent="0.25">
      <c r="O53" s="2"/>
      <c r="P53" s="103">
        <v>0.94</v>
      </c>
      <c r="Q53" s="103">
        <f t="shared" si="8"/>
        <v>59.248199999999997</v>
      </c>
      <c r="R53" s="103"/>
      <c r="W53" s="114">
        <v>42345</v>
      </c>
      <c r="X53" s="12">
        <v>87.92</v>
      </c>
      <c r="Y53" s="53">
        <v>87.99</v>
      </c>
      <c r="Z53" s="53">
        <v>86.17</v>
      </c>
      <c r="AA53" s="12">
        <v>86.69</v>
      </c>
      <c r="AB53" s="115">
        <v>2867900</v>
      </c>
      <c r="AC53" s="324">
        <v>86.31</v>
      </c>
      <c r="AD53" s="2">
        <f t="shared" si="0"/>
        <v>1.8199999999999932</v>
      </c>
      <c r="AE53" s="165">
        <f t="shared" si="1"/>
        <v>-1.3938078373129215E-2</v>
      </c>
    </row>
    <row r="54" spans="15:31" x14ac:dyDescent="0.25">
      <c r="O54" s="2"/>
      <c r="P54" s="103">
        <v>0.93</v>
      </c>
      <c r="Q54" s="103">
        <f t="shared" si="8"/>
        <v>58.617900000000006</v>
      </c>
      <c r="R54" s="103"/>
      <c r="W54" s="114">
        <v>42342</v>
      </c>
      <c r="X54" s="12">
        <v>83.24</v>
      </c>
      <c r="Y54" s="53">
        <v>88.52</v>
      </c>
      <c r="Z54" s="53">
        <v>82.13</v>
      </c>
      <c r="AA54" s="12">
        <v>87.92</v>
      </c>
      <c r="AB54" s="115">
        <v>5119100</v>
      </c>
      <c r="AC54" s="324">
        <v>87.53</v>
      </c>
      <c r="AD54" s="2">
        <f t="shared" si="0"/>
        <v>6.3900000000000006</v>
      </c>
      <c r="AE54" s="165">
        <f t="shared" si="1"/>
        <v>5.3689659323462147E-2</v>
      </c>
    </row>
    <row r="55" spans="15:31" x14ac:dyDescent="0.25">
      <c r="O55" s="2"/>
      <c r="P55" s="103">
        <v>0.92</v>
      </c>
      <c r="Q55" s="103">
        <f t="shared" si="8"/>
        <v>57.9876</v>
      </c>
      <c r="R55" s="103"/>
      <c r="W55" s="114">
        <v>42341</v>
      </c>
      <c r="X55" s="12">
        <v>86.71</v>
      </c>
      <c r="Y55" s="53">
        <v>87.1</v>
      </c>
      <c r="Z55" s="53">
        <v>83.13</v>
      </c>
      <c r="AA55" s="12">
        <v>83.44</v>
      </c>
      <c r="AB55" s="115">
        <v>4183700</v>
      </c>
      <c r="AC55" s="324">
        <v>83.07</v>
      </c>
      <c r="AD55" s="2">
        <f t="shared" si="0"/>
        <v>3.9699999999999989</v>
      </c>
      <c r="AE55" s="165">
        <f t="shared" si="1"/>
        <v>-1.4122952765250552E-2</v>
      </c>
    </row>
    <row r="56" spans="15:31" x14ac:dyDescent="0.25">
      <c r="O56" s="2"/>
      <c r="P56" s="103">
        <v>0.91</v>
      </c>
      <c r="Q56" s="103">
        <f t="shared" si="8"/>
        <v>57.357300000000002</v>
      </c>
      <c r="R56" s="103"/>
      <c r="W56" s="114">
        <v>42340</v>
      </c>
      <c r="X56" s="12">
        <v>83.95</v>
      </c>
      <c r="Y56" s="53">
        <v>85.78</v>
      </c>
      <c r="Z56" s="53">
        <v>83.3</v>
      </c>
      <c r="AA56" s="12">
        <v>84.63</v>
      </c>
      <c r="AB56" s="115">
        <v>3429800</v>
      </c>
      <c r="AC56" s="324">
        <v>84.26</v>
      </c>
      <c r="AD56" s="2">
        <f t="shared" si="0"/>
        <v>2.480000000000004</v>
      </c>
      <c r="AE56" s="165">
        <f t="shared" si="1"/>
        <v>1.0432905624175648E-2</v>
      </c>
    </row>
    <row r="57" spans="15:31" x14ac:dyDescent="0.25">
      <c r="O57" s="2"/>
      <c r="P57" s="103">
        <v>0.9</v>
      </c>
      <c r="Q57" s="103">
        <f t="shared" si="8"/>
        <v>56.727000000000004</v>
      </c>
      <c r="R57" s="103"/>
      <c r="W57" s="114">
        <v>42339</v>
      </c>
      <c r="X57" s="12">
        <v>83.63</v>
      </c>
      <c r="Y57" s="53">
        <v>84.49</v>
      </c>
      <c r="Z57" s="53">
        <v>83.28</v>
      </c>
      <c r="AA57" s="12">
        <v>83.76</v>
      </c>
      <c r="AB57" s="115">
        <v>3725000</v>
      </c>
      <c r="AC57" s="324">
        <v>83.39</v>
      </c>
      <c r="AD57" s="2">
        <f t="shared" si="0"/>
        <v>1.2099999999999937</v>
      </c>
      <c r="AE57" s="165">
        <f t="shared" si="1"/>
        <v>8.831357367529602E-3</v>
      </c>
    </row>
    <row r="58" spans="15:31" x14ac:dyDescent="0.25">
      <c r="W58" s="114">
        <v>42338</v>
      </c>
      <c r="X58" s="12">
        <v>81.89</v>
      </c>
      <c r="Y58" s="53">
        <v>83.19</v>
      </c>
      <c r="Z58" s="53">
        <v>80.77</v>
      </c>
      <c r="AA58" s="12">
        <v>83.02</v>
      </c>
      <c r="AB58" s="115">
        <v>3607100</v>
      </c>
      <c r="AC58" s="324">
        <v>82.66</v>
      </c>
      <c r="AD58" s="2">
        <f t="shared" si="0"/>
        <v>2.4200000000000017</v>
      </c>
      <c r="AE58" s="165">
        <f t="shared" si="1"/>
        <v>1.3735589894530165E-2</v>
      </c>
    </row>
    <row r="59" spans="15:31" x14ac:dyDescent="0.25">
      <c r="W59" s="114">
        <v>42335</v>
      </c>
      <c r="X59" s="12">
        <v>80.63</v>
      </c>
      <c r="Y59" s="53">
        <v>82.13</v>
      </c>
      <c r="Z59" s="53">
        <v>80</v>
      </c>
      <c r="AA59" s="12">
        <v>81.900000000000006</v>
      </c>
      <c r="AB59" s="115">
        <v>1556800</v>
      </c>
      <c r="AC59" s="324">
        <v>81.540000000000006</v>
      </c>
      <c r="AD59" s="2">
        <f t="shared" si="0"/>
        <v>2.1299999999999955</v>
      </c>
      <c r="AE59" s="165">
        <f t="shared" si="1"/>
        <v>1.9759879939970082E-2</v>
      </c>
    </row>
    <row r="60" spans="15:31" x14ac:dyDescent="0.25">
      <c r="W60" s="114">
        <v>42333</v>
      </c>
      <c r="X60" s="12">
        <v>79.930000000000007</v>
      </c>
      <c r="Y60" s="53">
        <v>80.48</v>
      </c>
      <c r="Z60" s="53">
        <v>79.02</v>
      </c>
      <c r="AA60" s="12">
        <v>80.31</v>
      </c>
      <c r="AB60" s="115">
        <v>3182800</v>
      </c>
      <c r="AC60" s="324">
        <v>79.959999999999994</v>
      </c>
      <c r="AD60" s="2">
        <f t="shared" si="0"/>
        <v>1.460000000000008</v>
      </c>
      <c r="AE60" s="165">
        <f t="shared" si="1"/>
        <v>7.4335391205744283E-3</v>
      </c>
    </row>
    <row r="61" spans="15:31" x14ac:dyDescent="0.25">
      <c r="W61" s="114">
        <v>42332</v>
      </c>
      <c r="X61" s="12">
        <v>78.25</v>
      </c>
      <c r="Y61" s="53">
        <v>80.099999999999994</v>
      </c>
      <c r="Z61" s="53">
        <v>77.81</v>
      </c>
      <c r="AA61" s="12">
        <v>79.72</v>
      </c>
      <c r="AB61" s="115">
        <v>3537600</v>
      </c>
      <c r="AC61" s="324">
        <v>79.37</v>
      </c>
      <c r="AD61" s="2">
        <f t="shared" si="0"/>
        <v>2.289999999999992</v>
      </c>
      <c r="AE61" s="165">
        <f t="shared" si="1"/>
        <v>2.5717239596795061E-2</v>
      </c>
    </row>
    <row r="62" spans="15:31" x14ac:dyDescent="0.25">
      <c r="W62" s="114">
        <v>42331</v>
      </c>
      <c r="X62" s="12">
        <v>78.91</v>
      </c>
      <c r="Y62" s="53">
        <v>78.91</v>
      </c>
      <c r="Z62" s="53">
        <v>77.510000000000005</v>
      </c>
      <c r="AA62" s="12">
        <v>77.72</v>
      </c>
      <c r="AB62" s="115">
        <v>1616900</v>
      </c>
      <c r="AC62" s="324">
        <v>77.38</v>
      </c>
      <c r="AD62" s="2">
        <f t="shared" si="0"/>
        <v>1.3999999999999915</v>
      </c>
      <c r="AE62" s="165">
        <f t="shared" si="1"/>
        <v>-1.0865396906557745E-2</v>
      </c>
    </row>
    <row r="63" spans="15:31" x14ac:dyDescent="0.25">
      <c r="W63" s="114">
        <v>42328</v>
      </c>
      <c r="X63" s="12">
        <v>78.56</v>
      </c>
      <c r="Y63" s="53">
        <v>79.400000000000006</v>
      </c>
      <c r="Z63" s="53">
        <v>77.650000000000006</v>
      </c>
      <c r="AA63" s="12">
        <v>78.569999999999993</v>
      </c>
      <c r="AB63" s="115">
        <v>2368300</v>
      </c>
      <c r="AC63" s="324">
        <v>78.23</v>
      </c>
      <c r="AD63" s="2">
        <f t="shared" si="0"/>
        <v>1.75</v>
      </c>
      <c r="AE63" s="165">
        <f t="shared" si="1"/>
        <v>7.3396858099408213E-3</v>
      </c>
    </row>
    <row r="64" spans="15:31" x14ac:dyDescent="0.25">
      <c r="W64" s="114">
        <v>42327</v>
      </c>
      <c r="X64" s="12">
        <v>80.2</v>
      </c>
      <c r="Y64" s="53">
        <v>80.239999999999995</v>
      </c>
      <c r="Z64" s="53">
        <v>77.16</v>
      </c>
      <c r="AA64" s="12">
        <v>78</v>
      </c>
      <c r="AB64" s="115">
        <v>2913200</v>
      </c>
      <c r="AC64" s="324">
        <v>77.66</v>
      </c>
      <c r="AD64" s="2">
        <f t="shared" si="0"/>
        <v>3.0799999999999983</v>
      </c>
      <c r="AE64" s="165">
        <f t="shared" si="1"/>
        <v>-2.9977516862353282E-2</v>
      </c>
    </row>
    <row r="65" spans="23:31" x14ac:dyDescent="0.25">
      <c r="W65" s="114">
        <v>42326</v>
      </c>
      <c r="X65" s="12">
        <v>77.63</v>
      </c>
      <c r="Y65" s="53">
        <v>80.540000000000006</v>
      </c>
      <c r="Z65" s="53">
        <v>77.19</v>
      </c>
      <c r="AA65" s="12">
        <v>80.41</v>
      </c>
      <c r="AB65" s="115">
        <v>4021300</v>
      </c>
      <c r="AC65" s="324">
        <v>80.06</v>
      </c>
      <c r="AD65" s="2">
        <f t="shared" si="0"/>
        <v>3.3500000000000085</v>
      </c>
      <c r="AE65" s="165">
        <f t="shared" si="1"/>
        <v>4.2312198932430656E-2</v>
      </c>
    </row>
    <row r="66" spans="23:31" x14ac:dyDescent="0.25">
      <c r="W66" s="114">
        <v>42325</v>
      </c>
      <c r="X66" s="12">
        <v>75.47</v>
      </c>
      <c r="Y66" s="53">
        <v>77.790000000000006</v>
      </c>
      <c r="Z66" s="53">
        <v>75.33</v>
      </c>
      <c r="AA66" s="12">
        <v>77.150000000000006</v>
      </c>
      <c r="AB66" s="115">
        <v>3131700</v>
      </c>
      <c r="AC66" s="324">
        <v>76.81</v>
      </c>
      <c r="AD66" s="2">
        <f t="shared" si="0"/>
        <v>2.460000000000008</v>
      </c>
      <c r="AE66" s="165" t="e">
        <f t="shared" si="1"/>
        <v>#DIV/0!</v>
      </c>
    </row>
    <row r="67" spans="23:31" x14ac:dyDescent="0.25">
      <c r="W67" s="114">
        <v>42325</v>
      </c>
      <c r="X67" s="12" t="s">
        <v>158</v>
      </c>
      <c r="Y67" s="53"/>
      <c r="Z67" s="53"/>
      <c r="AA67" s="12"/>
      <c r="AB67" s="115"/>
      <c r="AC67" s="324"/>
      <c r="AD67" s="2">
        <f t="shared" si="0"/>
        <v>0</v>
      </c>
      <c r="AE67" s="165">
        <f t="shared" si="1"/>
        <v>-1</v>
      </c>
    </row>
    <row r="68" spans="23:31" x14ac:dyDescent="0.25">
      <c r="W68" s="114">
        <v>42324</v>
      </c>
      <c r="X68" s="12">
        <v>74.599999999999994</v>
      </c>
      <c r="Y68" s="53">
        <v>75.64</v>
      </c>
      <c r="Z68" s="53">
        <v>73.650000000000006</v>
      </c>
      <c r="AA68" s="12">
        <v>75.28</v>
      </c>
      <c r="AB68" s="115">
        <v>3238300</v>
      </c>
      <c r="AC68" s="324">
        <v>74.69</v>
      </c>
      <c r="AD68" s="2">
        <f>Y68-Z68</f>
        <v>1.9899999999999949</v>
      </c>
      <c r="AE68" s="165">
        <f>AC68/AC69-1</f>
        <v>6.0614224137931494E-3</v>
      </c>
    </row>
    <row r="69" spans="23:31" x14ac:dyDescent="0.25">
      <c r="W69" s="276">
        <v>42321</v>
      </c>
      <c r="X69" s="116">
        <v>75.709999999999994</v>
      </c>
      <c r="Y69" s="324">
        <v>76.25</v>
      </c>
      <c r="Z69" s="324">
        <v>74.16</v>
      </c>
      <c r="AA69" s="116">
        <v>74.83</v>
      </c>
      <c r="AB69" s="277">
        <v>3278300</v>
      </c>
      <c r="AC69" s="324">
        <v>74.239999999999995</v>
      </c>
      <c r="AD69" s="2">
        <f>Y69-Z69</f>
        <v>2.0900000000000034</v>
      </c>
      <c r="AE69" s="165" t="e">
        <f>AC69/AC70-1</f>
        <v>#DIV/0!</v>
      </c>
    </row>
    <row r="70" spans="23:31" x14ac:dyDescent="0.25">
      <c r="W70" s="47" t="s">
        <v>130</v>
      </c>
    </row>
  </sheetData>
  <conditionalFormatting sqref="Q7 F20:F21">
    <cfRule type="expression" dxfId="313" priority="27">
      <formula>F7&gt;0</formula>
    </cfRule>
    <cfRule type="expression" dxfId="31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311" priority="19">
      <formula>F22&gt;0</formula>
    </cfRule>
    <cfRule type="expression" dxfId="310" priority="20">
      <formula>F22&lt;0</formula>
    </cfRule>
  </conditionalFormatting>
  <conditionalFormatting sqref="F22:F28">
    <cfRule type="expression" dxfId="309" priority="21">
      <formula>F22&gt;0</formula>
    </cfRule>
    <cfRule type="expression" dxfId="308" priority="22">
      <formula>F22&lt;0</formula>
    </cfRule>
  </conditionalFormatting>
  <conditionalFormatting sqref="H20:H28">
    <cfRule type="expression" dxfId="307" priority="17">
      <formula>H20&gt;0</formula>
    </cfRule>
    <cfRule type="expression" dxfId="306" priority="18">
      <formula>H20&lt;0</formula>
    </cfRule>
  </conditionalFormatting>
  <conditionalFormatting sqref="F15:F19">
    <cfRule type="expression" dxfId="305" priority="3">
      <formula>F15&gt;0</formula>
    </cfRule>
    <cfRule type="expression" dxfId="304" priority="4">
      <formula>F15&lt;0</formula>
    </cfRule>
  </conditionalFormatting>
  <conditionalFormatting sqref="H15:H19">
    <cfRule type="expression" dxfId="303" priority="1">
      <formula>H15&gt;0</formula>
    </cfRule>
    <cfRule type="expression" dxfId="30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</row>
    <row r="2" spans="1:42" x14ac:dyDescent="0.25">
      <c r="A2" s="6" t="s">
        <v>8</v>
      </c>
      <c r="B2" s="94">
        <v>42375</v>
      </c>
      <c r="C2" s="102">
        <v>40</v>
      </c>
      <c r="D2" s="99">
        <v>52.4</v>
      </c>
      <c r="E2" s="57">
        <v>0</v>
      </c>
      <c r="F2" s="57">
        <f>C2*D2+E2</f>
        <v>2096</v>
      </c>
      <c r="G2" s="94">
        <v>42416</v>
      </c>
      <c r="H2" s="102">
        <v>40</v>
      </c>
      <c r="I2" s="99">
        <v>55.45</v>
      </c>
      <c r="J2" s="57">
        <v>0.05</v>
      </c>
      <c r="K2" s="57">
        <f>H2*I2-J2</f>
        <v>2217.9499999999998</v>
      </c>
      <c r="L2" s="4"/>
      <c r="O2" s="13" t="s">
        <v>57</v>
      </c>
      <c r="Q2" s="91">
        <f>C9-H9</f>
        <v>0</v>
      </c>
      <c r="T2" s="13"/>
      <c r="W2" s="150">
        <v>42419</v>
      </c>
      <c r="X2" s="54">
        <v>56.42</v>
      </c>
      <c r="Y2" s="54">
        <v>57.13</v>
      </c>
      <c r="Z2" s="54">
        <v>56.22</v>
      </c>
      <c r="AA2" s="54">
        <v>57.02</v>
      </c>
      <c r="AB2" s="124">
        <v>1340500</v>
      </c>
      <c r="AC2" s="11">
        <v>57.02</v>
      </c>
      <c r="AD2" s="2">
        <f>Y2-Z2</f>
        <v>0.91000000000000369</v>
      </c>
      <c r="AE2" s="165">
        <f>AC2/AC3-1</f>
        <v>-1.7507002801119276E-3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57.02</v>
      </c>
      <c r="W3" s="150">
        <v>42418</v>
      </c>
      <c r="X3" s="54">
        <v>57.31</v>
      </c>
      <c r="Y3" s="54">
        <v>57.47</v>
      </c>
      <c r="Z3" s="54">
        <v>56.48</v>
      </c>
      <c r="AA3" s="54">
        <v>57.12</v>
      </c>
      <c r="AB3" s="124">
        <v>1107100</v>
      </c>
      <c r="AC3" s="11">
        <v>57.12</v>
      </c>
      <c r="AD3" s="2">
        <f t="shared" ref="AD3:AD66" si="0">Y3-Z3</f>
        <v>0.99000000000000199</v>
      </c>
      <c r="AE3" s="165">
        <f t="shared" ref="AE3:AE66" si="1">AC3/AC4-1</f>
        <v>5.2548607461888608E-4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57.02</v>
      </c>
      <c r="T4" s="1"/>
      <c r="W4" s="150">
        <v>42417</v>
      </c>
      <c r="X4" s="54">
        <v>55.93</v>
      </c>
      <c r="Y4" s="54">
        <v>57.32</v>
      </c>
      <c r="Z4" s="54">
        <v>55.7</v>
      </c>
      <c r="AA4" s="54">
        <v>57.09</v>
      </c>
      <c r="AB4" s="124">
        <v>1404400</v>
      </c>
      <c r="AC4" s="11">
        <v>57.09</v>
      </c>
      <c r="AD4" s="2">
        <f t="shared" si="0"/>
        <v>1.6199999999999974</v>
      </c>
      <c r="AE4" s="165">
        <f t="shared" si="1"/>
        <v>2.7352888249055241E-2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0</v>
      </c>
      <c r="T5" s="1"/>
      <c r="W5" s="150">
        <v>42416</v>
      </c>
      <c r="X5" s="54">
        <v>55.9</v>
      </c>
      <c r="Y5" s="54">
        <v>55.95</v>
      </c>
      <c r="Z5" s="54">
        <v>54.6</v>
      </c>
      <c r="AA5" s="54">
        <v>55.57</v>
      </c>
      <c r="AB5" s="124">
        <v>1296100</v>
      </c>
      <c r="AC5" s="11">
        <v>55.57</v>
      </c>
      <c r="AD5" s="2">
        <f t="shared" si="0"/>
        <v>1.3500000000000014</v>
      </c>
      <c r="AE5" s="165">
        <f t="shared" si="1"/>
        <v>6.338283230713504E-3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0</v>
      </c>
      <c r="W6" s="150">
        <v>42412</v>
      </c>
      <c r="X6" s="54">
        <v>54.7</v>
      </c>
      <c r="Y6" s="54">
        <v>55.49</v>
      </c>
      <c r="Z6" s="54">
        <v>54.61</v>
      </c>
      <c r="AA6" s="54">
        <v>55.22</v>
      </c>
      <c r="AB6" s="124">
        <v>1141700</v>
      </c>
      <c r="AC6" s="11">
        <v>55.22</v>
      </c>
      <c r="AD6" s="2">
        <f t="shared" si="0"/>
        <v>0.88000000000000256</v>
      </c>
      <c r="AE6" s="165">
        <f t="shared" si="1"/>
        <v>9.6909855549460744E-3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121.94999999999982</v>
      </c>
      <c r="R7" s="245"/>
      <c r="W7" s="150">
        <v>42411</v>
      </c>
      <c r="X7" s="54">
        <v>52.84</v>
      </c>
      <c r="Y7" s="54">
        <v>54.81</v>
      </c>
      <c r="Z7" s="54">
        <v>52.53</v>
      </c>
      <c r="AA7" s="54">
        <v>54.69</v>
      </c>
      <c r="AB7" s="124">
        <v>1694800</v>
      </c>
      <c r="AC7" s="11">
        <v>54.69</v>
      </c>
      <c r="AD7" s="2">
        <f t="shared" si="0"/>
        <v>2.2800000000000011</v>
      </c>
      <c r="AE7" s="165">
        <f t="shared" si="1"/>
        <v>6.4409274935590677E-3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0</v>
      </c>
      <c r="R8" s="203"/>
      <c r="W8" s="150">
        <v>42410</v>
      </c>
      <c r="X8" s="54">
        <v>55.03</v>
      </c>
      <c r="Y8" s="54">
        <v>55.61</v>
      </c>
      <c r="Z8" s="54">
        <v>54.17</v>
      </c>
      <c r="AA8" s="54">
        <v>54.34</v>
      </c>
      <c r="AB8" s="124">
        <v>1370400</v>
      </c>
      <c r="AC8" s="11">
        <v>54.34</v>
      </c>
      <c r="AD8" s="2">
        <f t="shared" si="0"/>
        <v>1.4399999999999977</v>
      </c>
      <c r="AE8" s="165">
        <f t="shared" si="1"/>
        <v>-1.4150943396226356E-2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9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298</v>
      </c>
      <c r="Q9" s="165">
        <f>VALUE(TRIM(CLEAN(MID(U62, FIND("(", U62)+1, 5))))</f>
        <v>1.84E-2</v>
      </c>
      <c r="W9" s="150">
        <v>42409</v>
      </c>
      <c r="X9" s="54">
        <v>53.37</v>
      </c>
      <c r="Y9" s="54">
        <v>55.28</v>
      </c>
      <c r="Z9" s="54">
        <v>53.35</v>
      </c>
      <c r="AA9" s="54">
        <v>55.12</v>
      </c>
      <c r="AB9" s="124">
        <v>1920900</v>
      </c>
      <c r="AC9" s="11">
        <v>55.12</v>
      </c>
      <c r="AD9" s="2">
        <f t="shared" si="0"/>
        <v>1.9299999999999997</v>
      </c>
      <c r="AE9" s="165">
        <f t="shared" si="1"/>
        <v>2.1876158694846159E-2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42408</v>
      </c>
      <c r="X10" s="54">
        <v>52.7</v>
      </c>
      <c r="Y10" s="54">
        <v>54.14</v>
      </c>
      <c r="Z10" s="54">
        <v>52.38</v>
      </c>
      <c r="AA10" s="54">
        <v>53.94</v>
      </c>
      <c r="AB10" s="124">
        <v>1525000</v>
      </c>
      <c r="AC10" s="11">
        <v>53.94</v>
      </c>
      <c r="AD10" s="2">
        <f t="shared" si="0"/>
        <v>1.759999999999998</v>
      </c>
      <c r="AE10" s="165">
        <f t="shared" si="1"/>
        <v>1.1059044048734812E-2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42405</v>
      </c>
      <c r="X11" s="54">
        <v>54.97</v>
      </c>
      <c r="Y11" s="54">
        <v>55.02</v>
      </c>
      <c r="Z11" s="54">
        <v>53.04</v>
      </c>
      <c r="AA11" s="54">
        <v>53.35</v>
      </c>
      <c r="AB11" s="124">
        <v>1474700</v>
      </c>
      <c r="AC11" s="11">
        <v>53.35</v>
      </c>
      <c r="AD11" s="2">
        <f t="shared" si="0"/>
        <v>1.980000000000004</v>
      </c>
      <c r="AE11" s="165">
        <f t="shared" si="1"/>
        <v>-3.1584679615175193E-2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42404</v>
      </c>
      <c r="X12" s="54">
        <v>53.51</v>
      </c>
      <c r="Y12" s="54">
        <v>55.63</v>
      </c>
      <c r="Z12" s="54">
        <v>53.5</v>
      </c>
      <c r="AA12" s="54">
        <v>55.09</v>
      </c>
      <c r="AB12" s="124">
        <v>1935700</v>
      </c>
      <c r="AC12" s="11">
        <v>55.09</v>
      </c>
      <c r="AD12" s="2">
        <f t="shared" si="0"/>
        <v>2.1300000000000026</v>
      </c>
      <c r="AE12" s="165">
        <f t="shared" si="1"/>
        <v>3.3389607953479672E-2</v>
      </c>
      <c r="AL12" s="309"/>
      <c r="AO12" s="309"/>
    </row>
    <row r="13" spans="1:42" x14ac:dyDescent="0.25">
      <c r="B13" s="246" t="s">
        <v>122</v>
      </c>
      <c r="C13" s="246" t="s">
        <v>189</v>
      </c>
      <c r="D13" s="256" t="s">
        <v>188</v>
      </c>
      <c r="E13" s="250" t="s">
        <v>190</v>
      </c>
      <c r="F13" s="250" t="s">
        <v>65</v>
      </c>
      <c r="G13" s="294" t="s">
        <v>195</v>
      </c>
      <c r="H13" s="250" t="s">
        <v>92</v>
      </c>
      <c r="I13" s="321" t="s">
        <v>203</v>
      </c>
      <c r="J13" s="3"/>
      <c r="K13" s="3"/>
      <c r="L13" s="4"/>
      <c r="W13" s="150">
        <v>42403</v>
      </c>
      <c r="X13" s="54">
        <v>52.99</v>
      </c>
      <c r="Y13" s="54">
        <v>53.54</v>
      </c>
      <c r="Z13" s="54">
        <v>51.78</v>
      </c>
      <c r="AA13" s="54">
        <v>53.31</v>
      </c>
      <c r="AB13" s="124">
        <v>1606300</v>
      </c>
      <c r="AC13" s="11">
        <v>53.31</v>
      </c>
      <c r="AD13" s="2">
        <f t="shared" si="0"/>
        <v>1.759999999999998</v>
      </c>
      <c r="AE13" s="165">
        <f t="shared" si="1"/>
        <v>2.5192307692307736E-2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42402</v>
      </c>
      <c r="X14" s="54">
        <v>52.29</v>
      </c>
      <c r="Y14" s="54">
        <v>52.91</v>
      </c>
      <c r="Z14" s="54">
        <v>51.75</v>
      </c>
      <c r="AA14" s="54">
        <v>52</v>
      </c>
      <c r="AB14" s="124">
        <v>1658700</v>
      </c>
      <c r="AC14" s="11">
        <v>52</v>
      </c>
      <c r="AD14" s="2">
        <f t="shared" si="0"/>
        <v>1.1599999999999966</v>
      </c>
      <c r="AE14" s="165">
        <f t="shared" si="1"/>
        <v>-2.7310138421249519E-2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42401</v>
      </c>
      <c r="X15" s="54">
        <v>52.65</v>
      </c>
      <c r="Y15" s="54">
        <v>53.67</v>
      </c>
      <c r="Z15" s="54">
        <v>52.11</v>
      </c>
      <c r="AA15" s="54">
        <v>53.46</v>
      </c>
      <c r="AB15" s="124">
        <v>1765200</v>
      </c>
      <c r="AC15" s="11">
        <v>53.46</v>
      </c>
      <c r="AD15" s="2">
        <f t="shared" si="0"/>
        <v>1.5600000000000023</v>
      </c>
      <c r="AE15" s="165">
        <f t="shared" si="1"/>
        <v>-5.6085249579362895E-4</v>
      </c>
      <c r="AL15" s="309"/>
      <c r="AO15" s="309"/>
      <c r="AP15" s="309"/>
    </row>
    <row r="16" spans="1:42" x14ac:dyDescent="0.25">
      <c r="B16" s="248">
        <v>42416</v>
      </c>
      <c r="C16" s="12">
        <v>0</v>
      </c>
      <c r="D16" s="257">
        <v>0</v>
      </c>
      <c r="E16" s="53">
        <v>0</v>
      </c>
      <c r="F16" s="53">
        <v>121.95</v>
      </c>
      <c r="G16" s="53"/>
      <c r="H16" s="305"/>
      <c r="I16" s="257"/>
      <c r="J16" s="3"/>
      <c r="K16" s="3"/>
      <c r="L16" s="4"/>
      <c r="V16" s="2"/>
      <c r="W16" s="150">
        <v>42398</v>
      </c>
      <c r="X16" s="54">
        <v>53.28</v>
      </c>
      <c r="Y16" s="54">
        <v>53.65</v>
      </c>
      <c r="Z16" s="54">
        <v>52.73</v>
      </c>
      <c r="AA16" s="54">
        <v>53.49</v>
      </c>
      <c r="AB16" s="124">
        <v>1592900</v>
      </c>
      <c r="AC16" s="11">
        <v>53.49</v>
      </c>
      <c r="AD16" s="2">
        <f t="shared" si="0"/>
        <v>0.92000000000000171</v>
      </c>
      <c r="AE16" s="165">
        <f t="shared" si="1"/>
        <v>1.3452065176203121E-2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42397</v>
      </c>
      <c r="X17" s="54">
        <v>51.56</v>
      </c>
      <c r="Y17" s="54">
        <v>52.99</v>
      </c>
      <c r="Z17" s="54">
        <v>51.13</v>
      </c>
      <c r="AA17" s="54">
        <v>52.78</v>
      </c>
      <c r="AB17" s="124">
        <v>2232300</v>
      </c>
      <c r="AC17" s="11">
        <v>52.78</v>
      </c>
      <c r="AD17" s="2">
        <f t="shared" si="0"/>
        <v>1.8599999999999994</v>
      </c>
      <c r="AE17" s="165">
        <f t="shared" si="1"/>
        <v>3.8976377952755881E-2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42396</v>
      </c>
      <c r="X18" s="54">
        <v>51.87</v>
      </c>
      <c r="Y18" s="54">
        <v>52.06</v>
      </c>
      <c r="Z18" s="54">
        <v>50.2</v>
      </c>
      <c r="AA18" s="54">
        <v>50.8</v>
      </c>
      <c r="AB18" s="124">
        <v>2062900</v>
      </c>
      <c r="AC18" s="11">
        <v>50.8</v>
      </c>
      <c r="AD18" s="2">
        <f t="shared" si="0"/>
        <v>1.8599999999999994</v>
      </c>
      <c r="AE18" s="165">
        <f t="shared" si="1"/>
        <v>4.5481510777138912E-3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42395</v>
      </c>
      <c r="X19" s="54">
        <v>49.52</v>
      </c>
      <c r="Y19" s="54">
        <v>50.83</v>
      </c>
      <c r="Z19" s="54">
        <v>49.39</v>
      </c>
      <c r="AA19" s="54">
        <v>50.57</v>
      </c>
      <c r="AB19" s="124">
        <v>1873300</v>
      </c>
      <c r="AC19" s="11">
        <v>50.57</v>
      </c>
      <c r="AD19" s="2">
        <f t="shared" si="0"/>
        <v>1.4399999999999977</v>
      </c>
      <c r="AE19" s="165">
        <f t="shared" si="1"/>
        <v>2.9309993893751329E-2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42394</v>
      </c>
      <c r="X20" s="54">
        <v>49.56</v>
      </c>
      <c r="Y20" s="54">
        <v>49.9</v>
      </c>
      <c r="Z20" s="54">
        <v>48.89</v>
      </c>
      <c r="AA20" s="54">
        <v>49.13</v>
      </c>
      <c r="AB20" s="124">
        <v>1967800</v>
      </c>
      <c r="AC20" s="11">
        <v>49.13</v>
      </c>
      <c r="AD20" s="2">
        <f t="shared" si="0"/>
        <v>1.009999999999998</v>
      </c>
      <c r="AE20" s="165">
        <f t="shared" si="1"/>
        <v>-1.2660771704180007E-2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42391</v>
      </c>
      <c r="X21" s="54">
        <v>49.64</v>
      </c>
      <c r="Y21" s="54">
        <v>50.56</v>
      </c>
      <c r="Z21" s="54">
        <v>49.44</v>
      </c>
      <c r="AA21" s="54">
        <v>49.76</v>
      </c>
      <c r="AB21" s="124">
        <v>2425400</v>
      </c>
      <c r="AC21" s="11">
        <v>49.76</v>
      </c>
      <c r="AD21" s="2">
        <f t="shared" si="0"/>
        <v>1.1200000000000045</v>
      </c>
      <c r="AE21" s="165">
        <f t="shared" si="1"/>
        <v>2.725020644095788E-2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42390</v>
      </c>
      <c r="X22" s="54">
        <v>47.56</v>
      </c>
      <c r="Y22" s="54">
        <v>48.58</v>
      </c>
      <c r="Z22" s="54">
        <v>46.23</v>
      </c>
      <c r="AA22" s="54">
        <v>48.44</v>
      </c>
      <c r="AB22" s="124">
        <v>2909800</v>
      </c>
      <c r="AC22" s="11">
        <v>48.44</v>
      </c>
      <c r="AD22" s="2">
        <f t="shared" si="0"/>
        <v>2.3500000000000014</v>
      </c>
      <c r="AE22" s="165">
        <f t="shared" si="1"/>
        <v>1.7219655606887763E-2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42389</v>
      </c>
      <c r="X23" s="54">
        <v>48.26</v>
      </c>
      <c r="Y23" s="54">
        <v>48.41</v>
      </c>
      <c r="Z23" s="54">
        <v>46.49</v>
      </c>
      <c r="AA23" s="54">
        <v>47.62</v>
      </c>
      <c r="AB23" s="124">
        <v>2749800</v>
      </c>
      <c r="AC23" s="11">
        <v>47.62</v>
      </c>
      <c r="AD23" s="2">
        <f t="shared" si="0"/>
        <v>1.9199999999999946</v>
      </c>
      <c r="AE23" s="165">
        <f t="shared" si="1"/>
        <v>-3.2507110930516059E-2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42388</v>
      </c>
      <c r="X24" s="54">
        <v>50.58</v>
      </c>
      <c r="Y24" s="54">
        <v>50.86</v>
      </c>
      <c r="Z24" s="54">
        <v>48.89</v>
      </c>
      <c r="AA24" s="54">
        <v>49.22</v>
      </c>
      <c r="AB24" s="124">
        <v>1914000</v>
      </c>
      <c r="AC24" s="11">
        <v>49.22</v>
      </c>
      <c r="AD24" s="2">
        <f t="shared" si="0"/>
        <v>1.9699999999999989</v>
      </c>
      <c r="AE24" s="165">
        <f t="shared" si="1"/>
        <v>-1.2241621513144674E-2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42384</v>
      </c>
      <c r="X25" s="54">
        <v>49.88</v>
      </c>
      <c r="Y25" s="54">
        <v>50.71</v>
      </c>
      <c r="Z25" s="54">
        <v>49.25</v>
      </c>
      <c r="AA25" s="54">
        <v>49.83</v>
      </c>
      <c r="AB25" s="124">
        <v>1618500</v>
      </c>
      <c r="AC25" s="11">
        <v>49.83</v>
      </c>
      <c r="AD25" s="2">
        <f t="shared" si="0"/>
        <v>1.4600000000000009</v>
      </c>
      <c r="AE25" s="165">
        <f t="shared" si="1"/>
        <v>-3.4302325581395454E-2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42383</v>
      </c>
      <c r="X26" s="54">
        <v>50.9</v>
      </c>
      <c r="Y26" s="54">
        <v>51.96</v>
      </c>
      <c r="Z26" s="54">
        <v>50.45</v>
      </c>
      <c r="AA26" s="54">
        <v>51.6</v>
      </c>
      <c r="AB26" s="124">
        <v>1733500</v>
      </c>
      <c r="AC26" s="11">
        <v>51.6</v>
      </c>
      <c r="AD26" s="2">
        <f t="shared" si="0"/>
        <v>1.509999999999998</v>
      </c>
      <c r="AE26" s="165">
        <f t="shared" si="1"/>
        <v>1.6348237147921996E-2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42382</v>
      </c>
      <c r="X27" s="54">
        <v>53.4</v>
      </c>
      <c r="Y27" s="54">
        <v>53.4</v>
      </c>
      <c r="Z27" s="54">
        <v>50.2</v>
      </c>
      <c r="AA27" s="54">
        <v>50.77</v>
      </c>
      <c r="AB27" s="124">
        <v>2287200</v>
      </c>
      <c r="AC27" s="11">
        <v>50.77</v>
      </c>
      <c r="AD27" s="2">
        <f t="shared" si="0"/>
        <v>3.1999999999999957</v>
      </c>
      <c r="AE27" s="165">
        <f t="shared" si="1"/>
        <v>-3.2768146313583491E-2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42381</v>
      </c>
      <c r="X28" s="54">
        <v>51.84</v>
      </c>
      <c r="Y28" s="54">
        <v>52.57</v>
      </c>
      <c r="Z28" s="54">
        <v>51.32</v>
      </c>
      <c r="AA28" s="54">
        <v>52.49</v>
      </c>
      <c r="AB28" s="124">
        <v>1707400</v>
      </c>
      <c r="AC28" s="11">
        <v>52.49</v>
      </c>
      <c r="AD28" s="2">
        <f t="shared" si="0"/>
        <v>1.25</v>
      </c>
      <c r="AE28" s="165">
        <f t="shared" si="1"/>
        <v>1.7050959116450271E-2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42380</v>
      </c>
      <c r="X29" s="54">
        <v>51.69</v>
      </c>
      <c r="Y29" s="54">
        <v>52.1</v>
      </c>
      <c r="Z29" s="54">
        <v>51.09</v>
      </c>
      <c r="AA29" s="54">
        <v>51.61</v>
      </c>
      <c r="AB29" s="124">
        <v>1916200</v>
      </c>
      <c r="AC29" s="11">
        <v>51.61</v>
      </c>
      <c r="AD29" s="2">
        <f t="shared" si="0"/>
        <v>1.009999999999998</v>
      </c>
      <c r="AE29" s="165">
        <f t="shared" si="1"/>
        <v>5.4548996688097429E-3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42377</v>
      </c>
      <c r="X30" s="54">
        <v>51.34</v>
      </c>
      <c r="Y30" s="54">
        <v>51.86</v>
      </c>
      <c r="Z30" s="54">
        <v>50.98</v>
      </c>
      <c r="AA30" s="54">
        <v>51.33</v>
      </c>
      <c r="AB30" s="124">
        <v>1717200</v>
      </c>
      <c r="AC30" s="11">
        <v>51.33</v>
      </c>
      <c r="AD30" s="2">
        <f t="shared" si="0"/>
        <v>0.88000000000000256</v>
      </c>
      <c r="AE30" s="165">
        <f t="shared" si="1"/>
        <v>5.8788947677836934E-3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42376</v>
      </c>
      <c r="X31" s="54">
        <v>51.08</v>
      </c>
      <c r="Y31" s="54">
        <v>51.44</v>
      </c>
      <c r="Z31" s="54">
        <v>50.4</v>
      </c>
      <c r="AA31" s="54">
        <v>51.03</v>
      </c>
      <c r="AB31" s="124">
        <v>1673200</v>
      </c>
      <c r="AC31" s="11">
        <v>51.03</v>
      </c>
      <c r="AD31" s="2">
        <f t="shared" si="0"/>
        <v>1.0399999999999991</v>
      </c>
      <c r="AE31" s="165">
        <f t="shared" si="1"/>
        <v>-2.1851638872915524E-2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42375</v>
      </c>
      <c r="X32" s="54">
        <v>52.94</v>
      </c>
      <c r="Y32" s="54">
        <v>53.53</v>
      </c>
      <c r="Z32" s="54">
        <v>51.98</v>
      </c>
      <c r="AA32" s="54">
        <v>52.17</v>
      </c>
      <c r="AB32" s="124">
        <v>1272100</v>
      </c>
      <c r="AC32" s="11">
        <v>52.17</v>
      </c>
      <c r="AD32" s="2">
        <f t="shared" si="0"/>
        <v>1.5500000000000043</v>
      </c>
      <c r="AE32" s="165">
        <f t="shared" si="1"/>
        <v>-3.3172720533728661E-2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42374</v>
      </c>
      <c r="X33" s="54">
        <v>54.67</v>
      </c>
      <c r="Y33" s="54">
        <v>54.84</v>
      </c>
      <c r="Z33" s="54">
        <v>53.53</v>
      </c>
      <c r="AA33" s="54">
        <v>53.96</v>
      </c>
      <c r="AB33" s="124">
        <v>1322500</v>
      </c>
      <c r="AC33" s="11">
        <v>53.96</v>
      </c>
      <c r="AD33" s="2">
        <f t="shared" si="0"/>
        <v>1.3100000000000023</v>
      </c>
      <c r="AE33" s="165">
        <f t="shared" si="1"/>
        <v>-1.6405395552314905E-2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42373</v>
      </c>
      <c r="X34" s="54">
        <v>54.75</v>
      </c>
      <c r="Y34" s="54">
        <v>54.89</v>
      </c>
      <c r="Z34" s="54">
        <v>53.41</v>
      </c>
      <c r="AA34" s="54">
        <v>54.86</v>
      </c>
      <c r="AB34" s="124">
        <v>1344300</v>
      </c>
      <c r="AC34" s="11">
        <v>54.86</v>
      </c>
      <c r="AD34" s="2">
        <f t="shared" si="0"/>
        <v>1.480000000000004</v>
      </c>
      <c r="AE34" s="165">
        <f t="shared" si="1"/>
        <v>-1.8253400143164011E-2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42369</v>
      </c>
      <c r="X35" s="54">
        <v>55.54</v>
      </c>
      <c r="Y35" s="54">
        <v>56.24</v>
      </c>
      <c r="Z35" s="54">
        <v>55.31</v>
      </c>
      <c r="AA35" s="54">
        <v>55.88</v>
      </c>
      <c r="AB35" s="124">
        <v>1289200</v>
      </c>
      <c r="AC35" s="11">
        <v>55.88</v>
      </c>
      <c r="AD35" s="2">
        <f t="shared" si="0"/>
        <v>0.92999999999999972</v>
      </c>
      <c r="AE35" s="165">
        <f t="shared" si="1"/>
        <v>-1.0097431355181596E-2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42368</v>
      </c>
      <c r="X36" s="54">
        <v>56.41</v>
      </c>
      <c r="Y36" s="54">
        <v>56.76</v>
      </c>
      <c r="Z36" s="54">
        <v>56.25</v>
      </c>
      <c r="AA36" s="54">
        <v>56.45</v>
      </c>
      <c r="AB36" s="124">
        <v>1128200</v>
      </c>
      <c r="AC36" s="11">
        <v>56.45</v>
      </c>
      <c r="AD36" s="2">
        <f t="shared" si="0"/>
        <v>0.50999999999999801</v>
      </c>
      <c r="AE36" s="165">
        <f t="shared" si="1"/>
        <v>-4.2335508908095676E-3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42367</v>
      </c>
      <c r="X37" s="54">
        <v>56.73</v>
      </c>
      <c r="Y37" s="54">
        <v>57.09</v>
      </c>
      <c r="Z37" s="54">
        <v>56.41</v>
      </c>
      <c r="AA37" s="54">
        <v>56.69</v>
      </c>
      <c r="AB37" s="124">
        <v>1568800</v>
      </c>
      <c r="AC37" s="11">
        <v>56.69</v>
      </c>
      <c r="AD37" s="2">
        <f t="shared" si="0"/>
        <v>0.68000000000000682</v>
      </c>
      <c r="AE37" s="165">
        <f t="shared" si="1"/>
        <v>5.1418439716310882E-3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42366</v>
      </c>
      <c r="X38" s="54">
        <v>56.67</v>
      </c>
      <c r="Y38" s="54">
        <v>56.68</v>
      </c>
      <c r="Z38" s="54">
        <v>56.18</v>
      </c>
      <c r="AA38" s="54">
        <v>56.4</v>
      </c>
      <c r="AB38" s="124">
        <v>503100</v>
      </c>
      <c r="AC38" s="11">
        <v>56.4</v>
      </c>
      <c r="AD38" s="2">
        <f t="shared" si="0"/>
        <v>0.5</v>
      </c>
      <c r="AE38" s="165">
        <f t="shared" si="1"/>
        <v>-8.2644628099173278E-3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42362</v>
      </c>
      <c r="X39" s="54">
        <v>56.86</v>
      </c>
      <c r="Y39" s="54">
        <v>57.4</v>
      </c>
      <c r="Z39" s="54">
        <v>56.8</v>
      </c>
      <c r="AA39" s="54">
        <v>56.87</v>
      </c>
      <c r="AB39" s="124">
        <v>376600</v>
      </c>
      <c r="AC39" s="11">
        <v>56.87</v>
      </c>
      <c r="AD39" s="2">
        <f t="shared" si="0"/>
        <v>0.60000000000000142</v>
      </c>
      <c r="AE39" s="165">
        <f t="shared" si="1"/>
        <v>1.4086987145622842E-3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42361</v>
      </c>
      <c r="X40" s="54">
        <v>57.18</v>
      </c>
      <c r="Y40" s="54">
        <v>57.3</v>
      </c>
      <c r="Z40" s="54">
        <v>56.66</v>
      </c>
      <c r="AA40" s="54">
        <v>56.79</v>
      </c>
      <c r="AB40" s="124">
        <v>1013300</v>
      </c>
      <c r="AC40" s="11">
        <v>56.79</v>
      </c>
      <c r="AD40" s="2">
        <f t="shared" si="0"/>
        <v>0.64000000000000057</v>
      </c>
      <c r="AE40" s="165">
        <f t="shared" si="1"/>
        <v>2.2943875750087717E-3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42360</v>
      </c>
      <c r="X41" s="54">
        <v>56.42</v>
      </c>
      <c r="Y41" s="54">
        <v>57.06</v>
      </c>
      <c r="Z41" s="54">
        <v>55.76</v>
      </c>
      <c r="AA41" s="54">
        <v>56.66</v>
      </c>
      <c r="AB41" s="124">
        <v>1203100</v>
      </c>
      <c r="AC41" s="11">
        <v>56.66</v>
      </c>
      <c r="AD41" s="2">
        <f t="shared" si="0"/>
        <v>1.3000000000000043</v>
      </c>
      <c r="AE41" s="165">
        <f t="shared" si="1"/>
        <v>3.5423308537017029E-3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42359</v>
      </c>
      <c r="X42" s="54">
        <v>56.34</v>
      </c>
      <c r="Y42" s="54">
        <v>56.93</v>
      </c>
      <c r="Z42" s="54">
        <v>55.72</v>
      </c>
      <c r="AA42" s="54">
        <v>56.46</v>
      </c>
      <c r="AB42" s="124">
        <v>1701800</v>
      </c>
      <c r="AC42" s="11">
        <v>56.46</v>
      </c>
      <c r="AD42" s="2">
        <f t="shared" si="0"/>
        <v>1.2100000000000009</v>
      </c>
      <c r="AE42" s="165">
        <f t="shared" si="1"/>
        <v>1.0922112802148609E-2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42356</v>
      </c>
      <c r="X43" s="54">
        <v>55.18</v>
      </c>
      <c r="Y43" s="54">
        <v>56.14</v>
      </c>
      <c r="Z43" s="54">
        <v>54.98</v>
      </c>
      <c r="AA43" s="54">
        <v>55.85</v>
      </c>
      <c r="AB43" s="124">
        <v>2544800</v>
      </c>
      <c r="AC43" s="11">
        <v>55.85</v>
      </c>
      <c r="AD43" s="2">
        <f t="shared" si="0"/>
        <v>1.1600000000000037</v>
      </c>
      <c r="AE43" s="165">
        <f t="shared" si="1"/>
        <v>4.3157705448659822E-3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42355</v>
      </c>
      <c r="X44" s="54">
        <v>55.62</v>
      </c>
      <c r="Y44" s="54">
        <v>56.13</v>
      </c>
      <c r="Z44" s="54">
        <v>55.07</v>
      </c>
      <c r="AA44" s="54">
        <v>55.61</v>
      </c>
      <c r="AB44" s="124">
        <v>2461700</v>
      </c>
      <c r="AC44" s="11">
        <v>55.61</v>
      </c>
      <c r="AD44" s="2">
        <f t="shared" si="0"/>
        <v>1.0600000000000023</v>
      </c>
      <c r="AE44" s="165">
        <f t="shared" si="1"/>
        <v>-1.0777797736662986E-3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42354</v>
      </c>
      <c r="X45" s="54">
        <v>54.48</v>
      </c>
      <c r="Y45" s="54">
        <v>55.93</v>
      </c>
      <c r="Z45" s="54">
        <v>54.22</v>
      </c>
      <c r="AA45" s="54">
        <v>55.67</v>
      </c>
      <c r="AB45" s="124">
        <v>1277900</v>
      </c>
      <c r="AC45" s="11">
        <v>55.67</v>
      </c>
      <c r="AD45" s="2">
        <f t="shared" si="0"/>
        <v>1.7100000000000009</v>
      </c>
      <c r="AE45" s="165">
        <f t="shared" si="1"/>
        <v>2.1467889908256987E-2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89" t="s">
        <v>78</v>
      </c>
      <c r="P46" s="389"/>
      <c r="Q46" s="2"/>
      <c r="T46" s="125" t="s">
        <v>96</v>
      </c>
      <c r="U46" s="129"/>
      <c r="W46" s="150">
        <v>42353</v>
      </c>
      <c r="X46" s="54">
        <v>54.58</v>
      </c>
      <c r="Y46" s="54">
        <v>55.01</v>
      </c>
      <c r="Z46" s="54">
        <v>54.17</v>
      </c>
      <c r="AA46" s="54">
        <v>54.5</v>
      </c>
      <c r="AB46" s="124">
        <v>1388900</v>
      </c>
      <c r="AC46" s="11">
        <v>54.5</v>
      </c>
      <c r="AD46" s="2">
        <f t="shared" si="0"/>
        <v>0.83999999999999631</v>
      </c>
      <c r="AE46" s="165">
        <f t="shared" si="1"/>
        <v>1.0381905821282844E-2</v>
      </c>
    </row>
    <row r="47" spans="2:41" ht="15.75" thickTop="1" x14ac:dyDescent="0.25">
      <c r="B47" s="392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62.722000000000008</v>
      </c>
      <c r="Q47" s="2"/>
      <c r="T47" s="166" t="s">
        <v>106</v>
      </c>
      <c r="U47" s="167">
        <v>57.12</v>
      </c>
      <c r="W47" s="150">
        <v>42352</v>
      </c>
      <c r="X47" s="54">
        <v>52.87</v>
      </c>
      <c r="Y47" s="54">
        <v>53.98</v>
      </c>
      <c r="Z47" s="54">
        <v>52.5</v>
      </c>
      <c r="AA47" s="54">
        <v>53.94</v>
      </c>
      <c r="AB47" s="124">
        <v>1976400</v>
      </c>
      <c r="AC47" s="11">
        <v>53.94</v>
      </c>
      <c r="AD47" s="2">
        <f t="shared" si="0"/>
        <v>1.4799999999999969</v>
      </c>
      <c r="AE47" s="165">
        <f t="shared" si="1"/>
        <v>2.2947088943675364E-2</v>
      </c>
    </row>
    <row r="48" spans="2:41" x14ac:dyDescent="0.25">
      <c r="B48" s="392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62.151800000000009</v>
      </c>
      <c r="Q48" s="2"/>
      <c r="T48" s="128" t="s">
        <v>107</v>
      </c>
      <c r="U48" s="126">
        <v>56.42</v>
      </c>
      <c r="W48" s="150">
        <v>42349</v>
      </c>
      <c r="X48" s="54">
        <v>53.44</v>
      </c>
      <c r="Y48" s="54">
        <v>53.98</v>
      </c>
      <c r="Z48" s="54">
        <v>52.58</v>
      </c>
      <c r="AA48" s="54">
        <v>52.73</v>
      </c>
      <c r="AB48" s="124">
        <v>1409700</v>
      </c>
      <c r="AC48" s="11">
        <v>52.73</v>
      </c>
      <c r="AD48" s="2">
        <f t="shared" si="0"/>
        <v>1.3999999999999986</v>
      </c>
      <c r="AE48" s="165">
        <f t="shared" si="1"/>
        <v>-2.1525329374652125E-2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61.581600000000009</v>
      </c>
      <c r="Q49" s="2"/>
      <c r="T49" s="128" t="s">
        <v>108</v>
      </c>
      <c r="U49" s="126" t="s">
        <v>362</v>
      </c>
      <c r="W49" s="150">
        <v>42348</v>
      </c>
      <c r="X49" s="54">
        <v>54.27</v>
      </c>
      <c r="Y49" s="54">
        <v>54.63</v>
      </c>
      <c r="Z49" s="54">
        <v>53.75</v>
      </c>
      <c r="AA49" s="54">
        <v>53.89</v>
      </c>
      <c r="AB49" s="124">
        <v>949500</v>
      </c>
      <c r="AC49" s="11">
        <v>53.89</v>
      </c>
      <c r="AD49" s="2">
        <f t="shared" si="0"/>
        <v>0.88000000000000256</v>
      </c>
      <c r="AE49" s="165">
        <f t="shared" si="1"/>
        <v>-9.1928663357234708E-3</v>
      </c>
    </row>
    <row r="50" spans="2:42" x14ac:dyDescent="0.25">
      <c r="O50" s="103">
        <v>1.07</v>
      </c>
      <c r="P50" s="103">
        <f t="shared" si="4"/>
        <v>61.011400000000009</v>
      </c>
      <c r="Q50" s="2"/>
      <c r="T50" s="128" t="s">
        <v>109</v>
      </c>
      <c r="U50" s="126" t="s">
        <v>363</v>
      </c>
      <c r="W50" s="150">
        <v>42347</v>
      </c>
      <c r="X50" s="54">
        <v>53.67</v>
      </c>
      <c r="Y50" s="54">
        <v>54.9</v>
      </c>
      <c r="Z50" s="54">
        <v>53.48</v>
      </c>
      <c r="AA50" s="54">
        <v>54.39</v>
      </c>
      <c r="AB50" s="124">
        <v>1308200</v>
      </c>
      <c r="AC50" s="11">
        <v>54.39</v>
      </c>
      <c r="AD50" s="2">
        <f t="shared" si="0"/>
        <v>1.4200000000000017</v>
      </c>
      <c r="AE50" s="165">
        <f t="shared" si="1"/>
        <v>1.3226527570789903E-2</v>
      </c>
    </row>
    <row r="51" spans="2:42" x14ac:dyDescent="0.25">
      <c r="O51" s="103">
        <v>1.06</v>
      </c>
      <c r="P51" s="103">
        <f t="shared" si="4"/>
        <v>60.441200000000009</v>
      </c>
      <c r="Q51" s="2"/>
      <c r="T51" s="128" t="s">
        <v>110</v>
      </c>
      <c r="U51" s="126">
        <v>57.98</v>
      </c>
      <c r="W51" s="150">
        <v>42346</v>
      </c>
      <c r="X51" s="54">
        <v>54.11</v>
      </c>
      <c r="Y51" s="54">
        <v>54.22</v>
      </c>
      <c r="Z51" s="54">
        <v>53.34</v>
      </c>
      <c r="AA51" s="54">
        <v>53.68</v>
      </c>
      <c r="AB51" s="124">
        <v>1330400</v>
      </c>
      <c r="AC51" s="11">
        <v>53.68</v>
      </c>
      <c r="AD51" s="2">
        <f t="shared" si="0"/>
        <v>0.87999999999999545</v>
      </c>
      <c r="AE51" s="165" t="e">
        <f>AC51/AC52-1</f>
        <v>#DIV/0!</v>
      </c>
    </row>
    <row r="52" spans="2:42" x14ac:dyDescent="0.25">
      <c r="O52" s="103">
        <v>1.05</v>
      </c>
      <c r="P52" s="103">
        <f t="shared" si="4"/>
        <v>59.871000000000009</v>
      </c>
      <c r="Q52" s="2"/>
      <c r="T52" s="128" t="s">
        <v>111</v>
      </c>
      <c r="U52" s="126">
        <v>1.1908300000000001</v>
      </c>
      <c r="W52" s="150">
        <v>42346</v>
      </c>
      <c r="X52" s="54" t="s">
        <v>274</v>
      </c>
      <c r="Y52" s="54"/>
      <c r="Z52" s="54"/>
      <c r="AA52" s="54"/>
      <c r="AB52" s="124"/>
      <c r="AC52" s="11"/>
      <c r="AD52" s="2">
        <f t="shared" si="0"/>
        <v>0</v>
      </c>
      <c r="AE52" s="165">
        <f t="shared" si="1"/>
        <v>-1</v>
      </c>
    </row>
    <row r="53" spans="2:42" x14ac:dyDescent="0.25">
      <c r="O53" s="103">
        <v>1.04</v>
      </c>
      <c r="P53" s="103">
        <f t="shared" si="4"/>
        <v>59.300800000000002</v>
      </c>
      <c r="Q53" s="2"/>
      <c r="T53" s="128" t="s">
        <v>112</v>
      </c>
      <c r="U53" s="126" t="s">
        <v>145</v>
      </c>
      <c r="W53" s="150">
        <v>42345</v>
      </c>
      <c r="X53" s="54">
        <v>56.35</v>
      </c>
      <c r="Y53" s="54">
        <v>56.54</v>
      </c>
      <c r="Z53" s="54">
        <v>54.92</v>
      </c>
      <c r="AA53" s="54">
        <v>54.98</v>
      </c>
      <c r="AB53" s="124">
        <v>1887700</v>
      </c>
      <c r="AC53" s="11">
        <v>54.75</v>
      </c>
      <c r="AD53" s="2">
        <f t="shared" si="0"/>
        <v>1.6199999999999974</v>
      </c>
      <c r="AE53" s="165">
        <f t="shared" si="1"/>
        <v>-3.4391534391534417E-2</v>
      </c>
      <c r="AL53" s="309"/>
      <c r="AO53" s="309"/>
    </row>
    <row r="54" spans="2:42" x14ac:dyDescent="0.25">
      <c r="O54" s="103">
        <v>1.03</v>
      </c>
      <c r="P54" s="103">
        <f t="shared" si="4"/>
        <v>58.730600000000003</v>
      </c>
      <c r="Q54" s="2"/>
      <c r="T54" s="128"/>
      <c r="U54" s="126"/>
      <c r="W54" s="150">
        <v>42342</v>
      </c>
      <c r="X54" s="54">
        <v>57.1</v>
      </c>
      <c r="Y54" s="54">
        <v>57.62</v>
      </c>
      <c r="Z54" s="54">
        <v>56.69</v>
      </c>
      <c r="AA54" s="54">
        <v>56.94</v>
      </c>
      <c r="AB54" s="124">
        <v>1518800</v>
      </c>
      <c r="AC54" s="11">
        <v>56.7</v>
      </c>
      <c r="AD54" s="2">
        <f t="shared" si="0"/>
        <v>0.92999999999999972</v>
      </c>
      <c r="AE54" s="165">
        <f t="shared" si="1"/>
        <v>-9.2608771623273745E-3</v>
      </c>
    </row>
    <row r="55" spans="2:42" x14ac:dyDescent="0.25">
      <c r="O55" s="103">
        <v>1.02</v>
      </c>
      <c r="P55" s="103">
        <f t="shared" si="4"/>
        <v>58.160400000000003</v>
      </c>
      <c r="T55" s="128" t="s">
        <v>113</v>
      </c>
      <c r="U55" s="126" t="s">
        <v>364</v>
      </c>
      <c r="W55" s="150">
        <v>42341</v>
      </c>
      <c r="X55" s="54">
        <v>58.97</v>
      </c>
      <c r="Y55" s="54">
        <v>58.97</v>
      </c>
      <c r="Z55" s="54">
        <v>57.18</v>
      </c>
      <c r="AA55" s="54">
        <v>57.47</v>
      </c>
      <c r="AB55" s="124">
        <v>1156900</v>
      </c>
      <c r="AC55" s="11">
        <v>57.23</v>
      </c>
      <c r="AD55" s="2">
        <f t="shared" si="0"/>
        <v>1.7899999999999991</v>
      </c>
      <c r="AE55" s="165">
        <f t="shared" si="1"/>
        <v>-2.120745681546099E-2</v>
      </c>
    </row>
    <row r="56" spans="2:42" x14ac:dyDescent="0.25">
      <c r="O56" s="103">
        <v>1.01</v>
      </c>
      <c r="P56" s="103">
        <f t="shared" si="4"/>
        <v>57.590200000000003</v>
      </c>
      <c r="T56" s="128" t="s">
        <v>114</v>
      </c>
      <c r="U56" s="126" t="s">
        <v>365</v>
      </c>
      <c r="W56" s="150">
        <v>42340</v>
      </c>
      <c r="X56" s="54">
        <v>59.74</v>
      </c>
      <c r="Y56" s="54">
        <v>60.02</v>
      </c>
      <c r="Z56" s="54">
        <v>58.52</v>
      </c>
      <c r="AA56" s="54">
        <v>58.72</v>
      </c>
      <c r="AB56" s="124">
        <v>1140300</v>
      </c>
      <c r="AC56" s="11">
        <v>58.47</v>
      </c>
      <c r="AD56" s="2">
        <f t="shared" si="0"/>
        <v>1.5</v>
      </c>
      <c r="AE56" s="165">
        <f t="shared" si="1"/>
        <v>-2.0931011386470244E-2</v>
      </c>
    </row>
    <row r="57" spans="2:42" x14ac:dyDescent="0.25">
      <c r="O57" s="103">
        <v>1</v>
      </c>
      <c r="P57" s="103">
        <f t="shared" si="4"/>
        <v>57.02</v>
      </c>
      <c r="T57" s="128" t="s">
        <v>115</v>
      </c>
      <c r="U57" s="127">
        <v>1340549</v>
      </c>
      <c r="W57" s="150">
        <v>42339</v>
      </c>
      <c r="X57" s="54">
        <v>59.76</v>
      </c>
      <c r="Y57" s="54">
        <v>60.27</v>
      </c>
      <c r="Z57" s="54">
        <v>59.4</v>
      </c>
      <c r="AA57" s="54">
        <v>59.97</v>
      </c>
      <c r="AB57" s="124">
        <v>858300</v>
      </c>
      <c r="AC57" s="11">
        <v>59.72</v>
      </c>
      <c r="AD57" s="2">
        <f t="shared" si="0"/>
        <v>0.87000000000000455</v>
      </c>
      <c r="AE57" s="165">
        <f t="shared" si="1"/>
        <v>3.6974789915966699E-3</v>
      </c>
      <c r="AL57" s="309"/>
      <c r="AO57" s="309"/>
    </row>
    <row r="58" spans="2:42" x14ac:dyDescent="0.25">
      <c r="O58" s="103">
        <v>0.99</v>
      </c>
      <c r="P58" s="103">
        <f t="shared" si="4"/>
        <v>56.449800000000003</v>
      </c>
      <c r="T58" s="128" t="s">
        <v>118</v>
      </c>
      <c r="U58" s="127">
        <v>1529340</v>
      </c>
      <c r="W58" s="150">
        <v>42338</v>
      </c>
      <c r="X58" s="54">
        <v>59.73</v>
      </c>
      <c r="Y58" s="54">
        <v>60.11</v>
      </c>
      <c r="Z58" s="54">
        <v>59.35</v>
      </c>
      <c r="AA58" s="54">
        <v>59.75</v>
      </c>
      <c r="AB58" s="124">
        <v>1116400</v>
      </c>
      <c r="AC58" s="11">
        <v>59.5</v>
      </c>
      <c r="AD58" s="2">
        <f t="shared" si="0"/>
        <v>0.75999999999999801</v>
      </c>
      <c r="AE58" s="165">
        <f t="shared" si="1"/>
        <v>5.0445602824966684E-4</v>
      </c>
    </row>
    <row r="59" spans="2:42" x14ac:dyDescent="0.25">
      <c r="O59" s="103">
        <v>0.98</v>
      </c>
      <c r="P59" s="103">
        <f t="shared" si="4"/>
        <v>55.879600000000003</v>
      </c>
      <c r="T59" s="128" t="s">
        <v>116</v>
      </c>
      <c r="U59" s="126" t="s">
        <v>366</v>
      </c>
      <c r="W59" s="150">
        <v>42335</v>
      </c>
      <c r="X59" s="54">
        <v>59.34</v>
      </c>
      <c r="Y59" s="54">
        <v>59.8</v>
      </c>
      <c r="Z59" s="54">
        <v>59.12</v>
      </c>
      <c r="AA59" s="54">
        <v>59.72</v>
      </c>
      <c r="AB59" s="124">
        <v>470300</v>
      </c>
      <c r="AC59" s="11">
        <v>59.47</v>
      </c>
      <c r="AD59" s="2">
        <f t="shared" si="0"/>
        <v>0.67999999999999972</v>
      </c>
      <c r="AE59" s="165">
        <f t="shared" si="1"/>
        <v>1.1738686628104844E-2</v>
      </c>
      <c r="AL59" s="309"/>
    </row>
    <row r="60" spans="2:42" x14ac:dyDescent="0.25">
      <c r="O60" s="103">
        <v>0.97</v>
      </c>
      <c r="P60" s="103">
        <f t="shared" si="4"/>
        <v>55.309400000000004</v>
      </c>
      <c r="T60" s="128" t="s">
        <v>119</v>
      </c>
      <c r="U60" s="126">
        <v>18.02</v>
      </c>
      <c r="W60" s="150">
        <v>42333</v>
      </c>
      <c r="X60" s="54">
        <v>58.9</v>
      </c>
      <c r="Y60" s="54">
        <v>59.54</v>
      </c>
      <c r="Z60" s="54">
        <v>58.71</v>
      </c>
      <c r="AA60" s="54">
        <v>59.03</v>
      </c>
      <c r="AB60" s="124">
        <v>809700</v>
      </c>
      <c r="AC60" s="11">
        <v>58.78</v>
      </c>
      <c r="AD60" s="2">
        <f t="shared" si="0"/>
        <v>0.82999999999999829</v>
      </c>
      <c r="AE60" s="165">
        <f t="shared" si="1"/>
        <v>6.1622731941115561E-3</v>
      </c>
    </row>
    <row r="61" spans="2:42" x14ac:dyDescent="0.25">
      <c r="O61" s="103">
        <v>0.96</v>
      </c>
      <c r="P61" s="103">
        <f t="shared" si="4"/>
        <v>54.739200000000004</v>
      </c>
      <c r="T61" s="128" t="s">
        <v>120</v>
      </c>
      <c r="U61" s="126">
        <v>3.17</v>
      </c>
      <c r="W61" s="150">
        <v>42332</v>
      </c>
      <c r="X61" s="54">
        <v>58.84</v>
      </c>
      <c r="Y61" s="54">
        <v>59.01</v>
      </c>
      <c r="Z61" s="54">
        <v>58.36</v>
      </c>
      <c r="AA61" s="54">
        <v>58.67</v>
      </c>
      <c r="AB61" s="124">
        <v>1362100</v>
      </c>
      <c r="AC61" s="11">
        <v>58.42</v>
      </c>
      <c r="AD61" s="2">
        <f t="shared" si="0"/>
        <v>0.64999999999999858</v>
      </c>
      <c r="AE61" s="165">
        <f t="shared" si="1"/>
        <v>-8.8225313878519396E-3</v>
      </c>
      <c r="AL61" s="309"/>
      <c r="AO61" s="309"/>
    </row>
    <row r="62" spans="2:42" x14ac:dyDescent="0.25">
      <c r="O62" s="103">
        <v>0.95</v>
      </c>
      <c r="P62" s="103">
        <f t="shared" si="4"/>
        <v>54.168999999999997</v>
      </c>
      <c r="T62" s="128" t="s">
        <v>117</v>
      </c>
      <c r="U62" s="126" t="s">
        <v>367</v>
      </c>
      <c r="W62" s="150">
        <v>42331</v>
      </c>
      <c r="X62" s="54">
        <v>59.96</v>
      </c>
      <c r="Y62" s="54">
        <v>60.36</v>
      </c>
      <c r="Z62" s="54">
        <v>59.09</v>
      </c>
      <c r="AA62" s="54">
        <v>59.19</v>
      </c>
      <c r="AB62" s="124">
        <v>811700</v>
      </c>
      <c r="AC62" s="11">
        <v>58.94</v>
      </c>
      <c r="AD62" s="2">
        <f t="shared" si="0"/>
        <v>1.269999999999996</v>
      </c>
      <c r="AE62" s="165">
        <f t="shared" si="1"/>
        <v>-1.6847372810675609E-2</v>
      </c>
    </row>
    <row r="63" spans="2:42" x14ac:dyDescent="0.25">
      <c r="O63" s="103">
        <v>0.94</v>
      </c>
      <c r="P63" s="103">
        <f t="shared" si="4"/>
        <v>53.598799999999997</v>
      </c>
      <c r="W63" s="150">
        <v>42328</v>
      </c>
      <c r="X63" s="54">
        <v>60.13</v>
      </c>
      <c r="Y63" s="54">
        <v>60.59</v>
      </c>
      <c r="Z63" s="54">
        <v>59.63</v>
      </c>
      <c r="AA63" s="54">
        <v>60.2</v>
      </c>
      <c r="AB63" s="124">
        <v>1053300</v>
      </c>
      <c r="AC63" s="11">
        <v>59.95</v>
      </c>
      <c r="AD63" s="2">
        <f t="shared" si="0"/>
        <v>0.96000000000000085</v>
      </c>
      <c r="AE63" s="165">
        <f t="shared" si="1"/>
        <v>2.1731862253426826E-3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53.028600000000004</v>
      </c>
      <c r="W64" s="150">
        <v>42327</v>
      </c>
      <c r="X64" s="54">
        <v>59.2</v>
      </c>
      <c r="Y64" s="54">
        <v>60.11</v>
      </c>
      <c r="Z64" s="54">
        <v>58.89</v>
      </c>
      <c r="AA64" s="54">
        <v>60.07</v>
      </c>
      <c r="AB64" s="124">
        <v>958600</v>
      </c>
      <c r="AC64" s="11">
        <v>59.82</v>
      </c>
      <c r="AD64" s="2">
        <f t="shared" si="0"/>
        <v>1.2199999999999989</v>
      </c>
      <c r="AE64" s="165">
        <f t="shared" si="1"/>
        <v>1.6482582837723081E-2</v>
      </c>
    </row>
    <row r="65" spans="15:41" x14ac:dyDescent="0.25">
      <c r="O65" s="103">
        <v>0.92</v>
      </c>
      <c r="P65" s="103">
        <f t="shared" si="4"/>
        <v>52.458400000000005</v>
      </c>
      <c r="W65" s="150">
        <v>42326</v>
      </c>
      <c r="X65" s="54">
        <v>58.34</v>
      </c>
      <c r="Y65" s="54">
        <v>59.71</v>
      </c>
      <c r="Z65" s="54">
        <v>58.05</v>
      </c>
      <c r="AA65" s="54">
        <v>59.1</v>
      </c>
      <c r="AB65" s="124">
        <v>1199800</v>
      </c>
      <c r="AC65" s="11">
        <v>58.85</v>
      </c>
      <c r="AD65" s="2">
        <f t="shared" si="0"/>
        <v>1.6600000000000037</v>
      </c>
      <c r="AE65" s="165">
        <f t="shared" si="1"/>
        <v>2.205626953803419E-2</v>
      </c>
      <c r="AL65" s="309"/>
      <c r="AO65" s="309"/>
    </row>
    <row r="66" spans="15:41" x14ac:dyDescent="0.25">
      <c r="O66" s="103">
        <v>0.91</v>
      </c>
      <c r="P66" s="103">
        <f t="shared" si="4"/>
        <v>51.888200000000005</v>
      </c>
      <c r="W66" s="150">
        <v>42325</v>
      </c>
      <c r="X66" s="54">
        <v>57.8</v>
      </c>
      <c r="Y66" s="54">
        <v>58.15</v>
      </c>
      <c r="Z66" s="54">
        <v>56.93</v>
      </c>
      <c r="AA66" s="54">
        <v>57.82</v>
      </c>
      <c r="AB66" s="124">
        <v>700700</v>
      </c>
      <c r="AC66" s="11">
        <v>57.58</v>
      </c>
      <c r="AD66" s="2">
        <f t="shared" si="0"/>
        <v>1.2199999999999989</v>
      </c>
      <c r="AE66" s="165">
        <f t="shared" si="1"/>
        <v>3.4855350296270071E-3</v>
      </c>
    </row>
    <row r="67" spans="15:41" x14ac:dyDescent="0.25">
      <c r="O67" s="103">
        <v>0.9</v>
      </c>
      <c r="P67" s="103">
        <f t="shared" si="4"/>
        <v>51.318000000000005</v>
      </c>
      <c r="W67" s="150">
        <v>42324</v>
      </c>
      <c r="X67" s="54">
        <v>57.31</v>
      </c>
      <c r="Y67" s="54">
        <v>57.97</v>
      </c>
      <c r="Z67" s="54">
        <v>56.98</v>
      </c>
      <c r="AA67" s="54">
        <v>57.62</v>
      </c>
      <c r="AB67" s="124">
        <v>819600</v>
      </c>
      <c r="AC67" s="11">
        <v>57.38</v>
      </c>
      <c r="AD67" s="2">
        <f>Y67-Z67</f>
        <v>0.99000000000000199</v>
      </c>
      <c r="AE67" s="165">
        <f>AC67/AC68-1</f>
        <v>4.3759845965343214E-3</v>
      </c>
      <c r="AL67" s="309"/>
    </row>
    <row r="68" spans="15:41" x14ac:dyDescent="0.25">
      <c r="W68" s="150">
        <v>42321</v>
      </c>
      <c r="X68" s="54">
        <v>57.58</v>
      </c>
      <c r="Y68" s="54">
        <v>58.07</v>
      </c>
      <c r="Z68" s="54">
        <v>57.24</v>
      </c>
      <c r="AA68" s="54">
        <v>57.37</v>
      </c>
      <c r="AB68" s="124">
        <v>1038400</v>
      </c>
      <c r="AC68" s="11">
        <v>57.13</v>
      </c>
      <c r="AD68" s="2">
        <f>Y68-Z68</f>
        <v>0.82999999999999829</v>
      </c>
      <c r="AE68" s="165" t="e">
        <f>AC68/AC69-1</f>
        <v>#DIV/0!</v>
      </c>
    </row>
    <row r="69" spans="15:41" x14ac:dyDescent="0.25">
      <c r="W69" s="43" t="s">
        <v>130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01" priority="35">
      <formula>Q12&gt;0</formula>
    </cfRule>
    <cfRule type="expression" dxfId="30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9" priority="29">
      <formula>F16&gt;0</formula>
    </cfRule>
    <cfRule type="expression" dxfId="298" priority="30">
      <formula>F16&lt;0</formula>
    </cfRule>
  </conditionalFormatting>
  <conditionalFormatting sqref="F21">
    <cfRule type="expression" dxfId="297" priority="27">
      <formula>F21&gt;0</formula>
    </cfRule>
    <cfRule type="expression" dxfId="296" priority="28">
      <formula>F21&lt;0</formula>
    </cfRule>
  </conditionalFormatting>
  <conditionalFormatting sqref="F22">
    <cfRule type="expression" dxfId="295" priority="25">
      <formula>F22&gt;0</formula>
    </cfRule>
    <cfRule type="expression" dxfId="294" priority="26">
      <formula>F22&lt;0</formula>
    </cfRule>
  </conditionalFormatting>
  <conditionalFormatting sqref="F23:F25">
    <cfRule type="expression" dxfId="293" priority="23">
      <formula>F23&gt;0</formula>
    </cfRule>
    <cfRule type="expression" dxfId="292" priority="24">
      <formula>F23&lt;0</formula>
    </cfRule>
  </conditionalFormatting>
  <conditionalFormatting sqref="H16:H20">
    <cfRule type="expression" dxfId="291" priority="21">
      <formula>H16&gt;0</formula>
    </cfRule>
    <cfRule type="expression" dxfId="290" priority="22">
      <formula>H16&lt;0</formula>
    </cfRule>
  </conditionalFormatting>
  <conditionalFormatting sqref="H21">
    <cfRule type="expression" dxfId="289" priority="19">
      <formula>H21&gt;0</formula>
    </cfRule>
    <cfRule type="expression" dxfId="288" priority="20">
      <formula>H21&lt;0</formula>
    </cfRule>
  </conditionalFormatting>
  <conditionalFormatting sqref="H22">
    <cfRule type="expression" dxfId="287" priority="17">
      <formula>H22&gt;0</formula>
    </cfRule>
    <cfRule type="expression" dxfId="286" priority="18">
      <formula>H22&lt;0</formula>
    </cfRule>
  </conditionalFormatting>
  <conditionalFormatting sqref="H23:H25">
    <cfRule type="expression" dxfId="285" priority="15">
      <formula>H23&gt;0</formula>
    </cfRule>
    <cfRule type="expression" dxfId="284" priority="16">
      <formula>H23&lt;0</formula>
    </cfRule>
  </conditionalFormatting>
  <conditionalFormatting sqref="F26">
    <cfRule type="expression" dxfId="283" priority="13">
      <formula>F26&gt;0</formula>
    </cfRule>
    <cfRule type="expression" dxfId="282" priority="14">
      <formula>F26&lt;0</formula>
    </cfRule>
  </conditionalFormatting>
  <conditionalFormatting sqref="H26">
    <cfRule type="expression" dxfId="281" priority="11">
      <formula>H26&gt;0</formula>
    </cfRule>
    <cfRule type="expression" dxfId="280" priority="12">
      <formula>H26&lt;0</formula>
    </cfRule>
  </conditionalFormatting>
  <conditionalFormatting sqref="F27:F36">
    <cfRule type="expression" dxfId="279" priority="9">
      <formula>F27&gt;0</formula>
    </cfRule>
    <cfRule type="expression" dxfId="278" priority="10">
      <formula>F27&lt;0</formula>
    </cfRule>
  </conditionalFormatting>
  <conditionalFormatting sqref="H27:H36">
    <cfRule type="expression" dxfId="277" priority="7">
      <formula>H27&gt;0</formula>
    </cfRule>
    <cfRule type="expression" dxfId="276" priority="8">
      <formula>H27&lt;0</formula>
    </cfRule>
  </conditionalFormatting>
  <conditionalFormatting sqref="Q7">
    <cfRule type="expression" dxfId="275" priority="5">
      <formula>Q7&gt;0</formula>
    </cfRule>
    <cfRule type="expression" dxfId="274" priority="6">
      <formula>Q7&lt;0</formula>
    </cfRule>
  </conditionalFormatting>
  <conditionalFormatting sqref="F14:F15">
    <cfRule type="expression" dxfId="273" priority="3">
      <formula>F14&gt;0</formula>
    </cfRule>
    <cfRule type="expression" dxfId="272" priority="4">
      <formula>F14&lt;0</formula>
    </cfRule>
  </conditionalFormatting>
  <conditionalFormatting sqref="H14:H15">
    <cfRule type="expression" dxfId="271" priority="1">
      <formula>H14&gt;0</formula>
    </cfRule>
    <cfRule type="expression" dxfId="27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customWidth="1"/>
    <col min="21" max="21" width="36.140625" customWidth="1"/>
    <col min="23" max="23" width="17.7109375" style="4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277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>
        <v>42419</v>
      </c>
      <c r="X2" s="12">
        <v>47.4</v>
      </c>
      <c r="Y2" s="12">
        <v>48.17</v>
      </c>
      <c r="Z2" s="12">
        <v>47.34</v>
      </c>
      <c r="AA2" s="12">
        <v>48.09</v>
      </c>
      <c r="AB2" s="115">
        <v>18098100</v>
      </c>
      <c r="AC2" s="12">
        <v>48.09</v>
      </c>
      <c r="AD2" s="2">
        <f>Y2-Z2</f>
        <v>0.82999999999999829</v>
      </c>
      <c r="AE2" s="165">
        <f>AC2/AC3-1</f>
        <v>7.5424261470773413E-3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>
        <v>42418</v>
      </c>
      <c r="X3" s="12">
        <v>48.09</v>
      </c>
      <c r="Y3" s="12">
        <v>48.14</v>
      </c>
      <c r="Z3" s="12">
        <v>47.48</v>
      </c>
      <c r="AA3" s="12">
        <v>47.73</v>
      </c>
      <c r="AB3" s="115">
        <v>17026300</v>
      </c>
      <c r="AC3" s="12">
        <v>47.73</v>
      </c>
      <c r="AD3" s="2">
        <f>Y3-Z3</f>
        <v>0.66000000000000369</v>
      </c>
      <c r="AE3" s="165">
        <f>AC3/AC4-1</f>
        <v>-8.310824849366405E-3</v>
      </c>
      <c r="AN3" s="309"/>
    </row>
    <row r="4" spans="1:40" x14ac:dyDescent="0.25">
      <c r="O4" s="13" t="s">
        <v>66</v>
      </c>
      <c r="Q4" s="69">
        <v>48.09</v>
      </c>
      <c r="T4" s="148"/>
      <c r="W4" s="114">
        <v>42417</v>
      </c>
      <c r="X4" s="12">
        <v>48.65</v>
      </c>
      <c r="Y4" s="12">
        <v>48.96</v>
      </c>
      <c r="Z4" s="12">
        <v>47.99</v>
      </c>
      <c r="AA4" s="12">
        <v>48.13</v>
      </c>
      <c r="AB4" s="115">
        <v>17997500</v>
      </c>
      <c r="AC4" s="12">
        <v>48.13</v>
      </c>
      <c r="AD4" s="2">
        <f t="shared" ref="AD4:AD67" si="0">Y4-Z4</f>
        <v>0.96999999999999886</v>
      </c>
      <c r="AE4" s="165">
        <f t="shared" ref="AE4:AE67" si="1">AC4/AC5-1</f>
        <v>-2.280265339966836E-3</v>
      </c>
      <c r="AK4" s="309"/>
      <c r="AN4" s="309"/>
    </row>
    <row r="5" spans="1:40" x14ac:dyDescent="0.25">
      <c r="O5" s="13" t="s">
        <v>67</v>
      </c>
      <c r="Q5" s="3">
        <f>Q4*Q2</f>
        <v>1923.6000000000001</v>
      </c>
      <c r="W5" s="114">
        <v>42416</v>
      </c>
      <c r="X5" s="12">
        <v>48.05</v>
      </c>
      <c r="Y5" s="12">
        <v>48.41</v>
      </c>
      <c r="Z5" s="12">
        <v>47.57</v>
      </c>
      <c r="AA5" s="12">
        <v>48.24</v>
      </c>
      <c r="AB5" s="115">
        <v>20110400</v>
      </c>
      <c r="AC5" s="12">
        <v>48.24</v>
      </c>
      <c r="AD5" s="2">
        <f t="shared" si="0"/>
        <v>0.83999999999999631</v>
      </c>
      <c r="AE5" s="165">
        <f t="shared" si="1"/>
        <v>1.9657577679137672E-2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>
        <v>42412</v>
      </c>
      <c r="X6" s="12">
        <v>45.96</v>
      </c>
      <c r="Y6" s="12">
        <v>47.39</v>
      </c>
      <c r="Z6" s="12">
        <v>45.93</v>
      </c>
      <c r="AA6" s="12">
        <v>47.31</v>
      </c>
      <c r="AB6" s="115">
        <v>28442100</v>
      </c>
      <c r="AC6" s="12">
        <v>47.31</v>
      </c>
      <c r="AD6" s="2">
        <f t="shared" si="0"/>
        <v>1.4600000000000009</v>
      </c>
      <c r="AE6" s="165">
        <f t="shared" si="1"/>
        <v>4.7608503100088795E-2</v>
      </c>
    </row>
    <row r="7" spans="1:40" ht="15.75" x14ac:dyDescent="0.25">
      <c r="O7" s="13" t="s">
        <v>65</v>
      </c>
      <c r="Q7" s="2">
        <f>IF(Q2=0, K11+M11-F11,Q5-Q6)</f>
        <v>-96.399999999999864</v>
      </c>
      <c r="R7" s="244"/>
      <c r="T7" s="105"/>
      <c r="W7" s="114">
        <v>42411</v>
      </c>
      <c r="X7" s="12">
        <v>44.93</v>
      </c>
      <c r="Y7" s="12">
        <v>45.53</v>
      </c>
      <c r="Z7" s="12">
        <v>44.5</v>
      </c>
      <c r="AA7" s="12">
        <v>45.16</v>
      </c>
      <c r="AB7" s="115">
        <v>32356700</v>
      </c>
      <c r="AC7" s="12">
        <v>45.16</v>
      </c>
      <c r="AD7" s="2">
        <f t="shared" si="0"/>
        <v>1.0300000000000011</v>
      </c>
      <c r="AE7" s="165">
        <f t="shared" si="1"/>
        <v>-2.1875676846437209E-2</v>
      </c>
      <c r="AK7" s="309"/>
      <c r="AN7" s="309"/>
    </row>
    <row r="8" spans="1:40" x14ac:dyDescent="0.25">
      <c r="O8" s="13" t="s">
        <v>92</v>
      </c>
      <c r="P8"/>
      <c r="Q8" s="165">
        <f>(Q4-Q3)/Q3</f>
        <v>-4.7722772277227654E-2</v>
      </c>
      <c r="W8" s="114">
        <v>42410</v>
      </c>
      <c r="X8" s="12">
        <v>46.88</v>
      </c>
      <c r="Y8" s="12">
        <v>47.22</v>
      </c>
      <c r="Z8" s="12">
        <v>46.11</v>
      </c>
      <c r="AA8" s="12">
        <v>46.17</v>
      </c>
      <c r="AB8" s="115">
        <v>19865200</v>
      </c>
      <c r="AC8" s="12">
        <v>46.17</v>
      </c>
      <c r="AD8" s="2">
        <f t="shared" si="0"/>
        <v>1.1099999999999994</v>
      </c>
      <c r="AE8" s="165">
        <f t="shared" si="1"/>
        <v>-6.0279870828848781E-3</v>
      </c>
    </row>
    <row r="9" spans="1:40" x14ac:dyDescent="0.25">
      <c r="W9" s="114">
        <v>42409</v>
      </c>
      <c r="X9" s="12">
        <v>45.61</v>
      </c>
      <c r="Y9" s="12">
        <v>46.76</v>
      </c>
      <c r="Z9" s="12">
        <v>45.36</v>
      </c>
      <c r="AA9" s="12">
        <v>46.45</v>
      </c>
      <c r="AB9" s="115">
        <v>29580100</v>
      </c>
      <c r="AC9" s="12">
        <v>46.45</v>
      </c>
      <c r="AD9" s="2">
        <f t="shared" si="0"/>
        <v>1.3999999999999986</v>
      </c>
      <c r="AE9" s="165">
        <f t="shared" si="1"/>
        <v>-1.0752688172042113E-3</v>
      </c>
      <c r="AK9" s="309"/>
      <c r="AN9" s="309"/>
    </row>
    <row r="10" spans="1:40" x14ac:dyDescent="0.25">
      <c r="W10" s="114">
        <v>42408</v>
      </c>
      <c r="X10" s="12">
        <v>47.11</v>
      </c>
      <c r="Y10" s="12">
        <v>47.34</v>
      </c>
      <c r="Z10" s="12">
        <v>46.06</v>
      </c>
      <c r="AA10" s="12">
        <v>46.5</v>
      </c>
      <c r="AB10" s="115">
        <v>30727900</v>
      </c>
      <c r="AC10" s="12">
        <v>46.5</v>
      </c>
      <c r="AD10" s="2">
        <f t="shared" si="0"/>
        <v>1.2800000000000011</v>
      </c>
      <c r="AE10" s="165">
        <f t="shared" si="1"/>
        <v>-2.8416213957375702E-2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>
        <v>42405</v>
      </c>
      <c r="X11" s="12">
        <v>48.35</v>
      </c>
      <c r="Y11" s="12">
        <v>48.66</v>
      </c>
      <c r="Z11" s="12">
        <v>47.6</v>
      </c>
      <c r="AA11" s="12">
        <v>47.86</v>
      </c>
      <c r="AB11" s="115">
        <v>23613300</v>
      </c>
      <c r="AC11" s="12">
        <v>47.86</v>
      </c>
      <c r="AD11" s="2">
        <f t="shared" si="0"/>
        <v>1.0599999999999952</v>
      </c>
      <c r="AE11" s="165">
        <f t="shared" si="1"/>
        <v>-8.0829015544041649E-3</v>
      </c>
      <c r="AK11" s="309"/>
      <c r="AN11" s="309"/>
    </row>
    <row r="12" spans="1:40" x14ac:dyDescent="0.25">
      <c r="W12" s="114">
        <v>42404</v>
      </c>
      <c r="X12" s="12">
        <v>47.4</v>
      </c>
      <c r="Y12" s="12">
        <v>48.61</v>
      </c>
      <c r="Z12" s="12">
        <v>47.37</v>
      </c>
      <c r="AA12" s="12">
        <v>48.25</v>
      </c>
      <c r="AB12" s="115">
        <v>30603700</v>
      </c>
      <c r="AC12" s="12">
        <v>48.25</v>
      </c>
      <c r="AD12" s="2">
        <f t="shared" si="0"/>
        <v>1.240000000000002</v>
      </c>
      <c r="AE12" s="165">
        <f t="shared" si="1"/>
        <v>1.3655462184873901E-2</v>
      </c>
    </row>
    <row r="13" spans="1:40" x14ac:dyDescent="0.25">
      <c r="W13" s="114">
        <v>42403</v>
      </c>
      <c r="X13" s="12">
        <v>48.45</v>
      </c>
      <c r="Y13" s="12">
        <v>48.51</v>
      </c>
      <c r="Z13" s="12">
        <v>46.51</v>
      </c>
      <c r="AA13" s="12">
        <v>47.6</v>
      </c>
      <c r="AB13" s="115">
        <v>47107800</v>
      </c>
      <c r="AC13" s="12">
        <v>47.6</v>
      </c>
      <c r="AD13" s="2">
        <f t="shared" si="0"/>
        <v>2</v>
      </c>
      <c r="AE13" s="165" t="e">
        <f t="shared" si="1"/>
        <v>#DIV/0!</v>
      </c>
      <c r="AK13" s="309"/>
      <c r="AN13" s="309"/>
    </row>
    <row r="14" spans="1:40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49" t="s">
        <v>65</v>
      </c>
      <c r="G14" s="294" t="s">
        <v>195</v>
      </c>
      <c r="H14" s="294" t="s">
        <v>92</v>
      </c>
      <c r="I14" s="294" t="s">
        <v>203</v>
      </c>
      <c r="T14" s="104"/>
      <c r="U14" s="13"/>
      <c r="W14" s="114">
        <v>42403</v>
      </c>
      <c r="X14" s="12" t="s">
        <v>323</v>
      </c>
      <c r="Y14" s="12"/>
      <c r="Z14" s="12"/>
      <c r="AA14" s="12"/>
      <c r="AB14" s="115"/>
      <c r="AC14" s="12"/>
      <c r="AD14" s="2">
        <f t="shared" si="0"/>
        <v>0</v>
      </c>
      <c r="AE14" s="165">
        <f t="shared" si="1"/>
        <v>-1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>
        <v>42402</v>
      </c>
      <c r="X15" s="12">
        <v>49.26</v>
      </c>
      <c r="Y15" s="12">
        <v>49.32</v>
      </c>
      <c r="Z15" s="12">
        <v>48.78</v>
      </c>
      <c r="AA15" s="12">
        <v>48.83</v>
      </c>
      <c r="AB15" s="115">
        <v>25593200</v>
      </c>
      <c r="AC15" s="12">
        <v>48.46</v>
      </c>
      <c r="AD15" s="2">
        <f t="shared" si="0"/>
        <v>0.53999999999999915</v>
      </c>
      <c r="AE15" s="165">
        <f t="shared" si="1"/>
        <v>-2.2195318805488307E-2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>
        <v>42401</v>
      </c>
      <c r="X16" s="12">
        <v>50.12</v>
      </c>
      <c r="Y16" s="12">
        <v>50.18</v>
      </c>
      <c r="Z16" s="12">
        <v>49.56</v>
      </c>
      <c r="AA16" s="12">
        <v>49.94</v>
      </c>
      <c r="AB16" s="115">
        <v>17385400</v>
      </c>
      <c r="AC16" s="12">
        <v>49.56</v>
      </c>
      <c r="AD16" s="2">
        <f t="shared" si="0"/>
        <v>0.61999999999999744</v>
      </c>
      <c r="AE16" s="165">
        <f t="shared" si="1"/>
        <v>-5.6179775280899014E-3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>
        <v>42398</v>
      </c>
      <c r="X17" s="12">
        <v>49.29</v>
      </c>
      <c r="Y17" s="12">
        <v>50.25</v>
      </c>
      <c r="Z17" s="12">
        <v>49.17</v>
      </c>
      <c r="AA17" s="12">
        <v>50.23</v>
      </c>
      <c r="AB17" s="115">
        <v>25358300</v>
      </c>
      <c r="AC17" s="12">
        <v>49.84</v>
      </c>
      <c r="AD17" s="2">
        <f t="shared" si="0"/>
        <v>1.0799999999999983</v>
      </c>
      <c r="AE17" s="165">
        <f t="shared" si="1"/>
        <v>2.6782035434693041E-2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>
        <v>42397</v>
      </c>
      <c r="X18" s="12">
        <v>49.1</v>
      </c>
      <c r="Y18" s="12">
        <v>49.4</v>
      </c>
      <c r="Z18" s="12">
        <v>48.6</v>
      </c>
      <c r="AA18" s="12">
        <v>48.92</v>
      </c>
      <c r="AB18" s="115">
        <v>21306600</v>
      </c>
      <c r="AC18" s="12">
        <v>48.54</v>
      </c>
      <c r="AD18" s="2">
        <f t="shared" si="0"/>
        <v>0.79999999999999716</v>
      </c>
      <c r="AE18" s="165">
        <f t="shared" si="1"/>
        <v>7.0539419087136679E-3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>
        <v>42396</v>
      </c>
      <c r="X19" s="12">
        <v>48.3</v>
      </c>
      <c r="Y19" s="12">
        <v>49.3</v>
      </c>
      <c r="Z19" s="12">
        <v>48.13</v>
      </c>
      <c r="AA19" s="12">
        <v>48.57</v>
      </c>
      <c r="AB19" s="115">
        <v>20441500</v>
      </c>
      <c r="AC19" s="12">
        <v>48.2</v>
      </c>
      <c r="AD19" s="2">
        <f t="shared" si="0"/>
        <v>1.1699999999999946</v>
      </c>
      <c r="AE19" s="165">
        <f t="shared" si="1"/>
        <v>6.4731676759239853E-3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>
        <v>42395</v>
      </c>
      <c r="X20" s="12">
        <v>47.75</v>
      </c>
      <c r="Y20" s="12">
        <v>48.56</v>
      </c>
      <c r="Z20" s="12">
        <v>47.66</v>
      </c>
      <c r="AA20" s="12">
        <v>48.26</v>
      </c>
      <c r="AB20" s="115">
        <v>18895100</v>
      </c>
      <c r="AC20" s="12">
        <v>47.89</v>
      </c>
      <c r="AD20" s="2">
        <f t="shared" si="0"/>
        <v>0.90000000000000568</v>
      </c>
      <c r="AE20" s="165">
        <f t="shared" si="1"/>
        <v>1.2687671812222412E-2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>
        <v>42394</v>
      </c>
      <c r="X21" s="12">
        <v>48.91</v>
      </c>
      <c r="Y21" s="12">
        <v>48.98</v>
      </c>
      <c r="Z21" s="12">
        <v>47.62</v>
      </c>
      <c r="AA21" s="12">
        <v>47.66</v>
      </c>
      <c r="AB21" s="115">
        <v>23440800</v>
      </c>
      <c r="AC21" s="12">
        <v>47.29</v>
      </c>
      <c r="AD21" s="2">
        <f t="shared" si="0"/>
        <v>1.3599999999999994</v>
      </c>
      <c r="AE21" s="165">
        <f t="shared" si="1"/>
        <v>-2.7754934210526327E-2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>
        <v>42391</v>
      </c>
      <c r="X22" s="12">
        <v>49.03</v>
      </c>
      <c r="Y22" s="12">
        <v>49.27</v>
      </c>
      <c r="Z22" s="12">
        <v>48.56</v>
      </c>
      <c r="AA22" s="12">
        <v>49.02</v>
      </c>
      <c r="AB22" s="115">
        <v>18298700</v>
      </c>
      <c r="AC22" s="12">
        <v>48.64</v>
      </c>
      <c r="AD22" s="2">
        <f t="shared" si="0"/>
        <v>0.71000000000000085</v>
      </c>
      <c r="AE22" s="165">
        <f t="shared" si="1"/>
        <v>2.099076406381184E-2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42390</v>
      </c>
      <c r="X23" s="12">
        <v>48.03</v>
      </c>
      <c r="Y23" s="12">
        <v>49.05</v>
      </c>
      <c r="Z23" s="12">
        <v>47.91</v>
      </c>
      <c r="AA23" s="12">
        <v>48.01</v>
      </c>
      <c r="AB23" s="115">
        <v>24272900</v>
      </c>
      <c r="AC23" s="12">
        <v>47.64</v>
      </c>
      <c r="AD23" s="2">
        <f t="shared" si="0"/>
        <v>1.1400000000000006</v>
      </c>
      <c r="AE23" s="165">
        <f t="shared" si="1"/>
        <v>2.9473684210525875E-3</v>
      </c>
      <c r="AK23" s="309"/>
    </row>
    <row r="24" spans="2:40" x14ac:dyDescent="0.25">
      <c r="W24" s="114">
        <v>42389</v>
      </c>
      <c r="X24" s="12">
        <v>47.28</v>
      </c>
      <c r="Y24" s="12">
        <v>48.25</v>
      </c>
      <c r="Z24" s="12">
        <v>46.88</v>
      </c>
      <c r="AA24" s="12">
        <v>47.87</v>
      </c>
      <c r="AB24" s="115">
        <v>40241100</v>
      </c>
      <c r="AC24" s="12">
        <v>47.5</v>
      </c>
      <c r="AD24" s="2">
        <f t="shared" si="0"/>
        <v>1.3699999999999974</v>
      </c>
      <c r="AE24" s="165">
        <f t="shared" si="1"/>
        <v>-7.1070234113712605E-3</v>
      </c>
    </row>
    <row r="25" spans="2:40" x14ac:dyDescent="0.25">
      <c r="W25" s="114">
        <v>42388</v>
      </c>
      <c r="X25" s="12">
        <v>49.25</v>
      </c>
      <c r="Y25" s="12">
        <v>49.54</v>
      </c>
      <c r="Z25" s="12">
        <v>47.99</v>
      </c>
      <c r="AA25" s="12">
        <v>48.21</v>
      </c>
      <c r="AB25" s="115">
        <v>29918500</v>
      </c>
      <c r="AC25" s="12">
        <v>47.84</v>
      </c>
      <c r="AD25" s="2">
        <f t="shared" si="0"/>
        <v>1.5499999999999972</v>
      </c>
      <c r="AE25" s="165">
        <f t="shared" si="1"/>
        <v>-1.2590299277605799E-2</v>
      </c>
    </row>
    <row r="26" spans="2:40" x14ac:dyDescent="0.25">
      <c r="W26" s="114">
        <v>42384</v>
      </c>
      <c r="X26" s="12">
        <v>48.59</v>
      </c>
      <c r="Y26" s="12">
        <v>49.64</v>
      </c>
      <c r="Z26" s="12">
        <v>48.13</v>
      </c>
      <c r="AA26" s="12">
        <v>48.82</v>
      </c>
      <c r="AB26" s="115">
        <v>41090400</v>
      </c>
      <c r="AC26" s="12">
        <v>48.45</v>
      </c>
      <c r="AD26" s="2">
        <f t="shared" si="0"/>
        <v>1.509999999999998</v>
      </c>
      <c r="AE26" s="165">
        <f t="shared" si="1"/>
        <v>-3.5820895522387985E-2</v>
      </c>
    </row>
    <row r="27" spans="2:40" x14ac:dyDescent="0.25">
      <c r="W27" s="114">
        <v>42383</v>
      </c>
      <c r="X27" s="12">
        <v>50.08</v>
      </c>
      <c r="Y27" s="12">
        <v>51</v>
      </c>
      <c r="Z27" s="12">
        <v>49.6</v>
      </c>
      <c r="AA27" s="12">
        <v>50.64</v>
      </c>
      <c r="AB27" s="115">
        <v>24569800</v>
      </c>
      <c r="AC27" s="12">
        <v>50.25</v>
      </c>
      <c r="AD27" s="2">
        <f t="shared" si="0"/>
        <v>1.3999999999999986</v>
      </c>
      <c r="AE27" s="165">
        <f t="shared" si="1"/>
        <v>1.8237082066869359E-2</v>
      </c>
    </row>
    <row r="28" spans="2:40" x14ac:dyDescent="0.25">
      <c r="W28" s="114">
        <v>42382</v>
      </c>
      <c r="X28" s="12">
        <v>51.73</v>
      </c>
      <c r="Y28" s="12">
        <v>51.8</v>
      </c>
      <c r="Z28" s="12">
        <v>49.5</v>
      </c>
      <c r="AA28" s="12">
        <v>49.73</v>
      </c>
      <c r="AB28" s="115">
        <v>22013500</v>
      </c>
      <c r="AC28" s="12">
        <v>49.35</v>
      </c>
      <c r="AD28" s="2">
        <f t="shared" si="0"/>
        <v>2.2999999999999972</v>
      </c>
      <c r="AE28" s="165">
        <f t="shared" si="1"/>
        <v>-3.178340200117713E-2</v>
      </c>
    </row>
    <row r="29" spans="2:40" x14ac:dyDescent="0.25">
      <c r="W29" s="114">
        <v>42381</v>
      </c>
      <c r="X29" s="12">
        <v>50.88</v>
      </c>
      <c r="Y29" s="12">
        <v>51.52</v>
      </c>
      <c r="Z29" s="12">
        <v>50.45</v>
      </c>
      <c r="AA29" s="12">
        <v>51.36</v>
      </c>
      <c r="AB29" s="115">
        <v>28961500</v>
      </c>
      <c r="AC29" s="12">
        <v>50.97</v>
      </c>
      <c r="AD29" s="2">
        <f t="shared" si="0"/>
        <v>1.0700000000000003</v>
      </c>
      <c r="AE29" s="165">
        <f t="shared" si="1"/>
        <v>2.5347012673506253E-2</v>
      </c>
    </row>
    <row r="30" spans="2:40" x14ac:dyDescent="0.25">
      <c r="W30" s="114">
        <v>42380</v>
      </c>
      <c r="X30" s="12">
        <v>50.18</v>
      </c>
      <c r="Y30" s="12">
        <v>50.33</v>
      </c>
      <c r="Z30" s="12">
        <v>49.64</v>
      </c>
      <c r="AA30" s="12">
        <v>50.09</v>
      </c>
      <c r="AB30" s="115">
        <v>19046400</v>
      </c>
      <c r="AC30" s="12">
        <v>49.71</v>
      </c>
      <c r="AD30" s="2">
        <f t="shared" si="0"/>
        <v>0.68999999999999773</v>
      </c>
      <c r="AE30" s="165">
        <f t="shared" si="1"/>
        <v>1.0776738511590001E-2</v>
      </c>
    </row>
    <row r="31" spans="2:40" x14ac:dyDescent="0.25">
      <c r="W31" s="114">
        <v>42377</v>
      </c>
      <c r="X31" s="12">
        <v>50.8</v>
      </c>
      <c r="Y31" s="12">
        <v>50.86</v>
      </c>
      <c r="Z31" s="12">
        <v>49.46</v>
      </c>
      <c r="AA31" s="12">
        <v>49.56</v>
      </c>
      <c r="AB31" s="115">
        <v>22981400</v>
      </c>
      <c r="AC31" s="12">
        <v>49.18</v>
      </c>
      <c r="AD31" s="2">
        <f t="shared" si="0"/>
        <v>1.3999999999999986</v>
      </c>
      <c r="AE31" s="165">
        <f t="shared" si="1"/>
        <v>-1.6596680663867214E-2</v>
      </c>
    </row>
    <row r="32" spans="2:40" x14ac:dyDescent="0.25">
      <c r="W32" s="114">
        <v>42376</v>
      </c>
      <c r="X32" s="12">
        <v>51.01</v>
      </c>
      <c r="Y32" s="12">
        <v>51.19</v>
      </c>
      <c r="Z32" s="12">
        <v>50.15</v>
      </c>
      <c r="AA32" s="12">
        <v>50.4</v>
      </c>
      <c r="AB32" s="115">
        <v>30425600</v>
      </c>
      <c r="AC32" s="12">
        <v>50.01</v>
      </c>
      <c r="AD32" s="2">
        <f t="shared" si="0"/>
        <v>1.0399999999999991</v>
      </c>
      <c r="AE32" s="165">
        <f t="shared" si="1"/>
        <v>-2.8554778554778504E-2</v>
      </c>
    </row>
    <row r="33" spans="15:31" x14ac:dyDescent="0.25">
      <c r="W33" s="114">
        <v>42375</v>
      </c>
      <c r="X33" s="12">
        <v>52.12</v>
      </c>
      <c r="Y33" s="12">
        <v>52.62</v>
      </c>
      <c r="Z33" s="12">
        <v>51.83</v>
      </c>
      <c r="AA33" s="12">
        <v>51.88</v>
      </c>
      <c r="AB33" s="115">
        <v>20026400</v>
      </c>
      <c r="AC33" s="12">
        <v>51.48</v>
      </c>
      <c r="AD33" s="2">
        <f t="shared" si="0"/>
        <v>0.78999999999999915</v>
      </c>
      <c r="AE33" s="165">
        <f t="shared" si="1"/>
        <v>-1.9054878048780477E-2</v>
      </c>
    </row>
    <row r="34" spans="15:31" x14ac:dyDescent="0.25">
      <c r="W34" s="114">
        <v>42374</v>
      </c>
      <c r="X34" s="12">
        <v>52.93</v>
      </c>
      <c r="Y34" s="12">
        <v>53.27</v>
      </c>
      <c r="Z34" s="12">
        <v>52.55</v>
      </c>
      <c r="AA34" s="12">
        <v>52.89</v>
      </c>
      <c r="AB34" s="115">
        <v>14759600</v>
      </c>
      <c r="AC34" s="12">
        <v>52.48</v>
      </c>
      <c r="AD34" s="2">
        <f t="shared" si="0"/>
        <v>0.72000000000000597</v>
      </c>
      <c r="AE34" s="165">
        <f t="shared" si="1"/>
        <v>-3.8095238095248174E-4</v>
      </c>
    </row>
    <row r="35" spans="15:31" x14ac:dyDescent="0.25">
      <c r="W35" s="114">
        <v>42373</v>
      </c>
      <c r="X35" s="12">
        <v>53.09</v>
      </c>
      <c r="Y35" s="12">
        <v>53.27</v>
      </c>
      <c r="Z35" s="12">
        <v>52.3</v>
      </c>
      <c r="AA35" s="12">
        <v>52.91</v>
      </c>
      <c r="AB35" s="115">
        <v>25985400</v>
      </c>
      <c r="AC35" s="12">
        <v>52.5</v>
      </c>
      <c r="AD35" s="2">
        <f t="shared" si="0"/>
        <v>0.97000000000000597</v>
      </c>
      <c r="AE35" s="165">
        <f t="shared" si="1"/>
        <v>-2.6696329254727424E-2</v>
      </c>
    </row>
    <row r="36" spans="15:31" x14ac:dyDescent="0.25">
      <c r="W36" s="114">
        <v>42369</v>
      </c>
      <c r="X36" s="12">
        <v>54.51</v>
      </c>
      <c r="Y36" s="12">
        <v>54.95</v>
      </c>
      <c r="Z36" s="12">
        <v>54.22</v>
      </c>
      <c r="AA36" s="12">
        <v>54.36</v>
      </c>
      <c r="AB36" s="115">
        <v>10929800</v>
      </c>
      <c r="AC36" s="12">
        <v>53.94</v>
      </c>
      <c r="AD36" s="2">
        <f t="shared" si="0"/>
        <v>0.73000000000000398</v>
      </c>
      <c r="AE36" s="165">
        <f t="shared" si="1"/>
        <v>-9.7301266752340965E-3</v>
      </c>
    </row>
    <row r="37" spans="15:31" x14ac:dyDescent="0.25">
      <c r="W37" s="114">
        <v>42368</v>
      </c>
      <c r="X37" s="12">
        <v>55.27</v>
      </c>
      <c r="Y37" s="12">
        <v>55.31</v>
      </c>
      <c r="Z37" s="12">
        <v>54.79</v>
      </c>
      <c r="AA37" s="12">
        <v>54.89</v>
      </c>
      <c r="AB37" s="115">
        <v>8016900</v>
      </c>
      <c r="AC37" s="12">
        <v>54.47</v>
      </c>
      <c r="AD37" s="2">
        <f t="shared" si="0"/>
        <v>0.52000000000000313</v>
      </c>
      <c r="AE37" s="165">
        <f t="shared" si="1"/>
        <v>-7.2899580827410215E-3</v>
      </c>
    </row>
    <row r="38" spans="15:31" x14ac:dyDescent="0.25">
      <c r="W38" s="114">
        <v>42367</v>
      </c>
      <c r="X38" s="12">
        <v>55.11</v>
      </c>
      <c r="Y38" s="12">
        <v>55.35</v>
      </c>
      <c r="Z38" s="12">
        <v>54.99</v>
      </c>
      <c r="AA38" s="12">
        <v>55.29</v>
      </c>
      <c r="AB38" s="115">
        <v>7894900</v>
      </c>
      <c r="AC38" s="12">
        <v>54.87</v>
      </c>
      <c r="AD38" s="2">
        <f t="shared" si="0"/>
        <v>0.35999999999999943</v>
      </c>
      <c r="AE38" s="165">
        <f t="shared" si="1"/>
        <v>1.1242167342425446E-2</v>
      </c>
    </row>
    <row r="39" spans="15:31" ht="20.25" thickBot="1" x14ac:dyDescent="0.35">
      <c r="O39" s="13"/>
      <c r="P39" s="389" t="s">
        <v>78</v>
      </c>
      <c r="Q39" s="389"/>
      <c r="R39" s="47"/>
      <c r="T39" s="111" t="s">
        <v>121</v>
      </c>
      <c r="W39" s="114">
        <v>42366</v>
      </c>
      <c r="X39" s="12">
        <v>54.55</v>
      </c>
      <c r="Y39" s="12">
        <v>54.78</v>
      </c>
      <c r="Z39" s="12">
        <v>54.17</v>
      </c>
      <c r="AA39" s="12">
        <v>54.68</v>
      </c>
      <c r="AB39" s="115">
        <v>8288800</v>
      </c>
      <c r="AC39" s="12">
        <v>54.26</v>
      </c>
      <c r="AD39" s="2">
        <f t="shared" si="0"/>
        <v>0.60999999999999943</v>
      </c>
      <c r="AE39" s="165">
        <f t="shared" si="1"/>
        <v>-2.5735294117646967E-3</v>
      </c>
    </row>
    <row r="40" spans="15:31" ht="15.75" thickTop="1" x14ac:dyDescent="0.25">
      <c r="O40" s="2"/>
      <c r="P40" s="103">
        <v>1.1000000000000001</v>
      </c>
      <c r="Q40" s="103">
        <f>P40*$Q$4</f>
        <v>52.899000000000008</v>
      </c>
      <c r="R40" s="47"/>
      <c r="T40" s="117" t="s">
        <v>106</v>
      </c>
      <c r="U40" s="118">
        <v>47.73</v>
      </c>
      <c r="W40" s="114">
        <v>42362</v>
      </c>
      <c r="X40" s="12">
        <v>54.97</v>
      </c>
      <c r="Y40" s="12">
        <v>55.09</v>
      </c>
      <c r="Z40" s="12">
        <v>54.71</v>
      </c>
      <c r="AA40" s="12">
        <v>54.82</v>
      </c>
      <c r="AB40" s="115">
        <v>4999400</v>
      </c>
      <c r="AC40" s="12">
        <v>54.4</v>
      </c>
      <c r="AD40" s="2">
        <f t="shared" si="0"/>
        <v>0.38000000000000256</v>
      </c>
      <c r="AE40" s="165">
        <f t="shared" si="1"/>
        <v>-4.0278286341999259E-3</v>
      </c>
    </row>
    <row r="41" spans="15:31" x14ac:dyDescent="0.25">
      <c r="O41" s="2"/>
      <c r="P41" s="103">
        <v>1.0900000000000001</v>
      </c>
      <c r="Q41" s="103">
        <f t="shared" ref="Q41:Q60" si="2">P41*$Q$4</f>
        <v>52.41810000000001</v>
      </c>
      <c r="R41" s="47"/>
      <c r="T41" s="107" t="s">
        <v>107</v>
      </c>
      <c r="U41" s="108">
        <v>47.4</v>
      </c>
      <c r="W41" s="114">
        <v>42361</v>
      </c>
      <c r="X41" s="12">
        <v>54.6</v>
      </c>
      <c r="Y41" s="12">
        <v>55.06</v>
      </c>
      <c r="Z41" s="12">
        <v>54.46</v>
      </c>
      <c r="AA41" s="12">
        <v>55.04</v>
      </c>
      <c r="AB41" s="115">
        <v>13033600</v>
      </c>
      <c r="AC41" s="12">
        <v>54.62</v>
      </c>
      <c r="AD41" s="2">
        <f t="shared" si="0"/>
        <v>0.60000000000000142</v>
      </c>
      <c r="AE41" s="165">
        <f t="shared" si="1"/>
        <v>1.2982195845697264E-2</v>
      </c>
    </row>
    <row r="42" spans="15:31" x14ac:dyDescent="0.25">
      <c r="O42" s="2"/>
      <c r="P42" s="103">
        <v>1.08</v>
      </c>
      <c r="Q42" s="103">
        <f t="shared" si="2"/>
        <v>51.937200000000004</v>
      </c>
      <c r="R42" s="47"/>
      <c r="T42" s="107" t="s">
        <v>108</v>
      </c>
      <c r="U42" s="108" t="s">
        <v>462</v>
      </c>
      <c r="W42" s="114">
        <v>42360</v>
      </c>
      <c r="X42" s="12">
        <v>54.36</v>
      </c>
      <c r="Y42" s="12">
        <v>54.5</v>
      </c>
      <c r="Z42" s="12">
        <v>53.7</v>
      </c>
      <c r="AA42" s="12">
        <v>54.34</v>
      </c>
      <c r="AB42" s="115">
        <v>10318100</v>
      </c>
      <c r="AC42" s="12">
        <v>53.92</v>
      </c>
      <c r="AD42" s="2">
        <f t="shared" si="0"/>
        <v>0.79999999999999716</v>
      </c>
      <c r="AE42" s="165">
        <f t="shared" si="1"/>
        <v>5.7825032643163965E-3</v>
      </c>
    </row>
    <row r="43" spans="15:31" x14ac:dyDescent="0.25">
      <c r="O43" s="2"/>
      <c r="P43" s="103">
        <v>1.07</v>
      </c>
      <c r="Q43" s="103">
        <f t="shared" si="2"/>
        <v>51.456300000000006</v>
      </c>
      <c r="R43" s="103"/>
      <c r="T43" s="107" t="s">
        <v>109</v>
      </c>
      <c r="U43" s="108" t="s">
        <v>463</v>
      </c>
      <c r="W43" s="114">
        <v>42359</v>
      </c>
      <c r="X43" s="12">
        <v>54.3</v>
      </c>
      <c r="Y43" s="12">
        <v>54.54</v>
      </c>
      <c r="Z43" s="12">
        <v>53.55</v>
      </c>
      <c r="AA43" s="12">
        <v>54.02</v>
      </c>
      <c r="AB43" s="115">
        <v>12993400</v>
      </c>
      <c r="AC43" s="12">
        <v>53.61</v>
      </c>
      <c r="AD43" s="2">
        <f t="shared" si="0"/>
        <v>0.99000000000000199</v>
      </c>
      <c r="AE43" s="165">
        <f t="shared" si="1"/>
        <v>4.3087298613713187E-3</v>
      </c>
    </row>
    <row r="44" spans="15:31" x14ac:dyDescent="0.25">
      <c r="O44" s="2"/>
      <c r="P44" s="103">
        <v>1.06</v>
      </c>
      <c r="Q44" s="103">
        <f t="shared" si="2"/>
        <v>50.975400000000008</v>
      </c>
      <c r="R44" s="103"/>
      <c r="T44" s="107" t="s">
        <v>110</v>
      </c>
      <c r="U44" s="108">
        <v>57.28</v>
      </c>
      <c r="W44" s="114">
        <v>42356</v>
      </c>
      <c r="X44" s="12">
        <v>55</v>
      </c>
      <c r="Y44" s="12">
        <v>55.15</v>
      </c>
      <c r="Z44" s="12">
        <v>53.79</v>
      </c>
      <c r="AA44" s="12">
        <v>53.79</v>
      </c>
      <c r="AB44" s="115">
        <v>31468600</v>
      </c>
      <c r="AC44" s="12">
        <v>53.38</v>
      </c>
      <c r="AD44" s="2">
        <f t="shared" si="0"/>
        <v>1.3599999999999994</v>
      </c>
      <c r="AE44" s="165">
        <f t="shared" si="1"/>
        <v>-3.0159883720930147E-2</v>
      </c>
    </row>
    <row r="45" spans="15:31" x14ac:dyDescent="0.25">
      <c r="O45" s="2"/>
      <c r="P45" s="103">
        <v>1.05</v>
      </c>
      <c r="Q45" s="103">
        <f t="shared" si="2"/>
        <v>50.494500000000009</v>
      </c>
      <c r="R45" s="103"/>
      <c r="T45" s="107" t="s">
        <v>111</v>
      </c>
      <c r="U45" s="108">
        <v>0.96497999999999995</v>
      </c>
      <c r="W45" s="114">
        <v>42355</v>
      </c>
      <c r="X45" s="12">
        <v>56.11</v>
      </c>
      <c r="Y45" s="12">
        <v>56.24</v>
      </c>
      <c r="Z45" s="12">
        <v>55.47</v>
      </c>
      <c r="AA45" s="12">
        <v>55.47</v>
      </c>
      <c r="AB45" s="115">
        <v>18800500</v>
      </c>
      <c r="AC45" s="12">
        <v>55.04</v>
      </c>
      <c r="AD45" s="2">
        <f t="shared" si="0"/>
        <v>0.77000000000000313</v>
      </c>
      <c r="AE45" s="165">
        <f t="shared" si="1"/>
        <v>-6.8567304222303394E-3</v>
      </c>
    </row>
    <row r="46" spans="15:31" x14ac:dyDescent="0.25">
      <c r="O46" s="2"/>
      <c r="P46" s="103">
        <v>1.04</v>
      </c>
      <c r="Q46" s="103">
        <f t="shared" si="2"/>
        <v>50.013600000000004</v>
      </c>
      <c r="R46" s="103"/>
      <c r="T46" s="107" t="s">
        <v>112</v>
      </c>
      <c r="U46" s="109" t="s">
        <v>464</v>
      </c>
      <c r="W46" s="114">
        <v>42354</v>
      </c>
      <c r="X46" s="12">
        <v>55.21</v>
      </c>
      <c r="Y46" s="12">
        <v>56.04</v>
      </c>
      <c r="Z46" s="12">
        <v>54.82</v>
      </c>
      <c r="AA46" s="12">
        <v>55.85</v>
      </c>
      <c r="AB46" s="115">
        <v>21086800</v>
      </c>
      <c r="AC46" s="12">
        <v>55.42</v>
      </c>
      <c r="AD46" s="2">
        <f t="shared" si="0"/>
        <v>1.2199999999999989</v>
      </c>
      <c r="AE46" s="165">
        <f t="shared" si="1"/>
        <v>1.7067351807671161E-2</v>
      </c>
    </row>
    <row r="47" spans="15:31" x14ac:dyDescent="0.25">
      <c r="O47" s="2"/>
      <c r="P47" s="103">
        <v>1.03</v>
      </c>
      <c r="Q47" s="103">
        <f t="shared" si="2"/>
        <v>49.532700000000006</v>
      </c>
      <c r="R47" s="103"/>
      <c r="T47" s="107"/>
      <c r="U47" s="108"/>
      <c r="W47" s="114">
        <v>42353</v>
      </c>
      <c r="X47" s="12">
        <v>53.83</v>
      </c>
      <c r="Y47" s="12">
        <v>55.12</v>
      </c>
      <c r="Z47" s="12">
        <v>53.81</v>
      </c>
      <c r="AA47" s="12">
        <v>54.91</v>
      </c>
      <c r="AB47" s="115">
        <v>18917600</v>
      </c>
      <c r="AC47" s="12">
        <v>54.49</v>
      </c>
      <c r="AD47" s="2">
        <f t="shared" si="0"/>
        <v>1.3099999999999952</v>
      </c>
      <c r="AE47" s="165">
        <f t="shared" si="1"/>
        <v>3.2203068763023257E-2</v>
      </c>
    </row>
    <row r="48" spans="15:31" x14ac:dyDescent="0.25">
      <c r="O48" s="2"/>
      <c r="P48" s="103">
        <v>1.02</v>
      </c>
      <c r="Q48" s="103">
        <f t="shared" si="2"/>
        <v>49.051800000000007</v>
      </c>
      <c r="R48" s="103"/>
      <c r="T48" s="107" t="s">
        <v>113</v>
      </c>
      <c r="U48" s="108" t="s">
        <v>465</v>
      </c>
      <c r="W48" s="114">
        <v>42352</v>
      </c>
      <c r="X48" s="12">
        <v>53.32</v>
      </c>
      <c r="Y48" s="12">
        <v>53.57</v>
      </c>
      <c r="Z48" s="12">
        <v>52.75</v>
      </c>
      <c r="AA48" s="12">
        <v>53.2</v>
      </c>
      <c r="AB48" s="115">
        <v>22055100</v>
      </c>
      <c r="AC48" s="12">
        <v>52.79</v>
      </c>
      <c r="AD48" s="2">
        <f t="shared" si="0"/>
        <v>0.82000000000000028</v>
      </c>
      <c r="AE48" s="165">
        <f t="shared" si="1"/>
        <v>-2.0793950850661602E-3</v>
      </c>
    </row>
    <row r="49" spans="15:31" x14ac:dyDescent="0.25">
      <c r="O49" s="2"/>
      <c r="P49" s="103">
        <v>1.01</v>
      </c>
      <c r="Q49" s="103">
        <f t="shared" si="2"/>
        <v>48.570900000000002</v>
      </c>
      <c r="R49" s="103"/>
      <c r="T49" s="107" t="s">
        <v>114</v>
      </c>
      <c r="U49" s="108" t="s">
        <v>324</v>
      </c>
      <c r="W49" s="114">
        <v>42349</v>
      </c>
      <c r="X49" s="12">
        <v>53.45</v>
      </c>
      <c r="Y49" s="12">
        <v>53.94</v>
      </c>
      <c r="Z49" s="12">
        <v>52.99</v>
      </c>
      <c r="AA49" s="12">
        <v>53.31</v>
      </c>
      <c r="AB49" s="115">
        <v>17815700</v>
      </c>
      <c r="AC49" s="12">
        <v>52.9</v>
      </c>
      <c r="AD49" s="2">
        <f t="shared" si="0"/>
        <v>0.94999999999999574</v>
      </c>
      <c r="AE49" s="165">
        <f t="shared" si="1"/>
        <v>-1.8916913946587566E-2</v>
      </c>
    </row>
    <row r="50" spans="15:31" x14ac:dyDescent="0.25">
      <c r="O50" s="2"/>
      <c r="P50" s="103">
        <v>1</v>
      </c>
      <c r="Q50" s="103">
        <f t="shared" si="2"/>
        <v>48.09</v>
      </c>
      <c r="R50" s="103"/>
      <c r="T50" s="107" t="s">
        <v>115</v>
      </c>
      <c r="U50" s="110">
        <v>18234852</v>
      </c>
      <c r="W50" s="114">
        <v>42348</v>
      </c>
      <c r="X50" s="12">
        <v>54.25</v>
      </c>
      <c r="Y50" s="12">
        <v>54.99</v>
      </c>
      <c r="Z50" s="12">
        <v>53.88</v>
      </c>
      <c r="AA50" s="12">
        <v>54.34</v>
      </c>
      <c r="AB50" s="115">
        <v>14075300</v>
      </c>
      <c r="AC50" s="12">
        <v>53.92</v>
      </c>
      <c r="AD50" s="2">
        <f t="shared" si="0"/>
        <v>1.1099999999999994</v>
      </c>
      <c r="AE50" s="165">
        <f t="shared" si="1"/>
        <v>4.096834264432081E-3</v>
      </c>
    </row>
    <row r="51" spans="15:31" x14ac:dyDescent="0.25">
      <c r="O51" s="2"/>
      <c r="P51" s="103">
        <v>0.99</v>
      </c>
      <c r="Q51" s="103">
        <f t="shared" si="2"/>
        <v>47.609100000000005</v>
      </c>
      <c r="R51" s="103"/>
      <c r="T51" s="107" t="s">
        <v>118</v>
      </c>
      <c r="U51" s="110">
        <v>20394400</v>
      </c>
      <c r="W51" s="114">
        <v>42347</v>
      </c>
      <c r="X51" s="12">
        <v>54.12</v>
      </c>
      <c r="Y51" s="12">
        <v>54.94</v>
      </c>
      <c r="Z51" s="12">
        <v>53.71</v>
      </c>
      <c r="AA51" s="12">
        <v>54.12</v>
      </c>
      <c r="AB51" s="115">
        <v>18499600</v>
      </c>
      <c r="AC51" s="12">
        <v>53.7</v>
      </c>
      <c r="AD51" s="2">
        <f t="shared" si="0"/>
        <v>1.2299999999999969</v>
      </c>
      <c r="AE51" s="165">
        <f t="shared" si="1"/>
        <v>-5.1871063356797587E-3</v>
      </c>
    </row>
    <row r="52" spans="15:31" x14ac:dyDescent="0.25">
      <c r="O52" s="2"/>
      <c r="P52" s="103">
        <v>0.98</v>
      </c>
      <c r="Q52" s="103">
        <f t="shared" si="2"/>
        <v>47.1282</v>
      </c>
      <c r="R52" s="103"/>
      <c r="T52" s="107" t="s">
        <v>116</v>
      </c>
      <c r="U52" s="108" t="s">
        <v>466</v>
      </c>
      <c r="W52" s="114">
        <v>42346</v>
      </c>
      <c r="X52" s="12">
        <v>54.98</v>
      </c>
      <c r="Y52" s="12">
        <v>55.21</v>
      </c>
      <c r="Z52" s="12">
        <v>54.28</v>
      </c>
      <c r="AA52" s="12">
        <v>54.4</v>
      </c>
      <c r="AB52" s="115">
        <v>19949500</v>
      </c>
      <c r="AC52" s="12">
        <v>53.98</v>
      </c>
      <c r="AD52" s="2">
        <f t="shared" si="0"/>
        <v>0.92999999999999972</v>
      </c>
      <c r="AE52" s="165">
        <f t="shared" si="1"/>
        <v>-1.8366975813784436E-2</v>
      </c>
    </row>
    <row r="53" spans="15:31" x14ac:dyDescent="0.25">
      <c r="O53" s="2"/>
      <c r="P53" s="103">
        <v>0.97</v>
      </c>
      <c r="Q53" s="103">
        <f t="shared" si="2"/>
        <v>46.647300000000001</v>
      </c>
      <c r="R53" s="103"/>
      <c r="T53" s="107" t="s">
        <v>119</v>
      </c>
      <c r="U53" s="108">
        <v>11.59</v>
      </c>
      <c r="W53" s="114">
        <v>42345</v>
      </c>
      <c r="X53" s="12">
        <v>55.45</v>
      </c>
      <c r="Y53" s="12">
        <v>55.56</v>
      </c>
      <c r="Z53" s="12">
        <v>55.02</v>
      </c>
      <c r="AA53" s="12">
        <v>55.42</v>
      </c>
      <c r="AB53" s="115">
        <v>17991600</v>
      </c>
      <c r="AC53" s="12">
        <v>54.99</v>
      </c>
      <c r="AD53" s="2">
        <f t="shared" si="0"/>
        <v>0.53999999999999915</v>
      </c>
      <c r="AE53" s="165">
        <f t="shared" si="1"/>
        <v>-4.5257060101375757E-3</v>
      </c>
    </row>
    <row r="54" spans="15:31" x14ac:dyDescent="0.25">
      <c r="O54" s="2"/>
      <c r="P54" s="103">
        <v>0.96</v>
      </c>
      <c r="Q54" s="103">
        <f t="shared" si="2"/>
        <v>46.166400000000003</v>
      </c>
      <c r="R54" s="103"/>
      <c r="T54" s="107" t="s">
        <v>120</v>
      </c>
      <c r="U54" s="108">
        <v>4.1500000000000004</v>
      </c>
      <c r="W54" s="114">
        <v>42342</v>
      </c>
      <c r="X54" s="12">
        <v>54.48</v>
      </c>
      <c r="Y54" s="12">
        <v>55.88</v>
      </c>
      <c r="Z54" s="12">
        <v>54.31</v>
      </c>
      <c r="AA54" s="12">
        <v>55.67</v>
      </c>
      <c r="AB54" s="115">
        <v>19647700</v>
      </c>
      <c r="AC54" s="12">
        <v>55.24</v>
      </c>
      <c r="AD54" s="2">
        <f t="shared" si="0"/>
        <v>1.5700000000000003</v>
      </c>
      <c r="AE54" s="165">
        <f t="shared" si="1"/>
        <v>2.7147638527333706E-2</v>
      </c>
    </row>
    <row r="55" spans="15:31" x14ac:dyDescent="0.25">
      <c r="O55" s="2"/>
      <c r="P55" s="103">
        <v>0.95</v>
      </c>
      <c r="Q55" s="103">
        <f t="shared" si="2"/>
        <v>45.685499999999998</v>
      </c>
      <c r="R55" s="103"/>
      <c r="T55" s="107" t="s">
        <v>117</v>
      </c>
      <c r="U55" s="108" t="s">
        <v>467</v>
      </c>
      <c r="W55" s="114">
        <v>42341</v>
      </c>
      <c r="X55" s="12">
        <v>55.13</v>
      </c>
      <c r="Y55" s="12">
        <v>55.22</v>
      </c>
      <c r="Z55" s="12">
        <v>54.03</v>
      </c>
      <c r="AA55" s="12">
        <v>54.2</v>
      </c>
      <c r="AB55" s="115">
        <v>15410100</v>
      </c>
      <c r="AC55" s="12">
        <v>53.78</v>
      </c>
      <c r="AD55" s="2">
        <f t="shared" si="0"/>
        <v>1.1899999999999977</v>
      </c>
      <c r="AE55" s="165">
        <f>AC55/AC56-1</f>
        <v>-1.6099524332235604E-2</v>
      </c>
    </row>
    <row r="56" spans="15:31" x14ac:dyDescent="0.25">
      <c r="O56" s="2"/>
      <c r="P56" s="103">
        <v>0.94</v>
      </c>
      <c r="Q56" s="103">
        <f t="shared" si="2"/>
        <v>45.204599999999999</v>
      </c>
      <c r="R56" s="103"/>
      <c r="W56" s="114">
        <v>42340</v>
      </c>
      <c r="X56" s="12">
        <v>55.8</v>
      </c>
      <c r="Y56" s="12">
        <v>55.8</v>
      </c>
      <c r="Z56" s="12">
        <v>55</v>
      </c>
      <c r="AA56" s="12">
        <v>55.08</v>
      </c>
      <c r="AB56" s="115">
        <v>12779900</v>
      </c>
      <c r="AC56" s="12">
        <v>54.66</v>
      </c>
      <c r="AD56" s="2">
        <f t="shared" si="0"/>
        <v>0.79999999999999716</v>
      </c>
      <c r="AE56" s="165">
        <f t="shared" si="1"/>
        <v>-1.1215629522431381E-2</v>
      </c>
    </row>
    <row r="57" spans="15:31" x14ac:dyDescent="0.25">
      <c r="O57" s="2"/>
      <c r="P57" s="103">
        <v>0.93</v>
      </c>
      <c r="Q57" s="103">
        <f t="shared" si="2"/>
        <v>44.723700000000008</v>
      </c>
      <c r="R57" s="103"/>
      <c r="W57" s="114">
        <v>42339</v>
      </c>
      <c r="X57" s="12">
        <v>55.51</v>
      </c>
      <c r="Y57" s="12">
        <v>55.77</v>
      </c>
      <c r="Z57" s="12">
        <v>55.27</v>
      </c>
      <c r="AA57" s="12">
        <v>55.71</v>
      </c>
      <c r="AB57" s="115">
        <v>15543400</v>
      </c>
      <c r="AC57" s="12">
        <v>55.28</v>
      </c>
      <c r="AD57" s="2">
        <f t="shared" si="0"/>
        <v>0.5</v>
      </c>
      <c r="AE57" s="165">
        <f t="shared" si="1"/>
        <v>1.0972933430870579E-2</v>
      </c>
    </row>
    <row r="58" spans="15:31" x14ac:dyDescent="0.25">
      <c r="O58" s="2"/>
      <c r="P58" s="103">
        <v>0.92</v>
      </c>
      <c r="Q58" s="103">
        <f t="shared" si="2"/>
        <v>44.242800000000003</v>
      </c>
      <c r="R58" s="103"/>
      <c r="W58" s="114">
        <v>42338</v>
      </c>
      <c r="X58" s="12">
        <v>55.46</v>
      </c>
      <c r="Y58" s="12">
        <v>55.69</v>
      </c>
      <c r="Z58" s="12">
        <v>55.1</v>
      </c>
      <c r="AA58" s="12">
        <v>55.1</v>
      </c>
      <c r="AB58" s="115">
        <v>15998900</v>
      </c>
      <c r="AC58" s="12">
        <v>54.68</v>
      </c>
      <c r="AD58" s="2">
        <f t="shared" si="0"/>
        <v>0.58999999999999631</v>
      </c>
      <c r="AE58" s="165">
        <f t="shared" si="1"/>
        <v>-5.0946142649199722E-3</v>
      </c>
    </row>
    <row r="59" spans="15:31" x14ac:dyDescent="0.25">
      <c r="O59" s="2"/>
      <c r="P59" s="103">
        <v>0.91</v>
      </c>
      <c r="Q59" s="103">
        <f t="shared" si="2"/>
        <v>43.761900000000004</v>
      </c>
      <c r="R59" s="103"/>
      <c r="W59" s="114">
        <v>42335</v>
      </c>
      <c r="X59" s="12">
        <v>55.34</v>
      </c>
      <c r="Y59" s="12">
        <v>55.47</v>
      </c>
      <c r="Z59" s="12">
        <v>54.98</v>
      </c>
      <c r="AA59" s="12">
        <v>55.39</v>
      </c>
      <c r="AB59" s="115">
        <v>4914000</v>
      </c>
      <c r="AC59" s="12">
        <v>54.96</v>
      </c>
      <c r="AD59" s="2">
        <f t="shared" si="0"/>
        <v>0.49000000000000199</v>
      </c>
      <c r="AE59" s="165">
        <f t="shared" si="1"/>
        <v>2.9197080291971655E-3</v>
      </c>
    </row>
    <row r="60" spans="15:31" x14ac:dyDescent="0.25">
      <c r="O60" s="2"/>
      <c r="P60" s="103">
        <v>0.9</v>
      </c>
      <c r="Q60" s="103">
        <f t="shared" si="2"/>
        <v>43.281000000000006</v>
      </c>
      <c r="R60" s="103"/>
      <c r="W60" s="114">
        <v>42333</v>
      </c>
      <c r="X60" s="12">
        <v>55.46</v>
      </c>
      <c r="Y60" s="12">
        <v>55.52</v>
      </c>
      <c r="Z60" s="12">
        <v>55.1</v>
      </c>
      <c r="AA60" s="12">
        <v>55.22</v>
      </c>
      <c r="AB60" s="115">
        <v>10034400</v>
      </c>
      <c r="AC60" s="12">
        <v>54.8</v>
      </c>
      <c r="AD60" s="2">
        <f t="shared" si="0"/>
        <v>0.42000000000000171</v>
      </c>
      <c r="AE60" s="165">
        <f t="shared" si="1"/>
        <v>-1.0936930368210529E-3</v>
      </c>
    </row>
    <row r="61" spans="15:31" x14ac:dyDescent="0.25">
      <c r="W61" s="114">
        <v>42332</v>
      </c>
      <c r="X61" s="12">
        <v>55.14</v>
      </c>
      <c r="Y61" s="12">
        <v>55.48</v>
      </c>
      <c r="Z61" s="12">
        <v>54.89</v>
      </c>
      <c r="AA61" s="12">
        <v>55.28</v>
      </c>
      <c r="AB61" s="115">
        <v>14156500</v>
      </c>
      <c r="AC61" s="12">
        <v>54.86</v>
      </c>
      <c r="AD61" s="2">
        <f t="shared" si="0"/>
        <v>0.58999999999999631</v>
      </c>
      <c r="AE61" s="165">
        <f t="shared" si="1"/>
        <v>-5.6189958310676191E-3</v>
      </c>
    </row>
    <row r="62" spans="15:31" x14ac:dyDescent="0.25">
      <c r="W62" s="114">
        <v>42331</v>
      </c>
      <c r="X62" s="12">
        <v>55.9</v>
      </c>
      <c r="Y62" s="12">
        <v>56.04</v>
      </c>
      <c r="Z62" s="12">
        <v>55.56</v>
      </c>
      <c r="AA62" s="12">
        <v>55.6</v>
      </c>
      <c r="AB62" s="115">
        <v>9638100</v>
      </c>
      <c r="AC62" s="12">
        <v>55.17</v>
      </c>
      <c r="AD62" s="2">
        <f t="shared" si="0"/>
        <v>0.47999999999999687</v>
      </c>
      <c r="AE62" s="165">
        <f t="shared" si="1"/>
        <v>-3.9718360714929846E-3</v>
      </c>
    </row>
    <row r="63" spans="15:31" x14ac:dyDescent="0.25">
      <c r="W63" s="114">
        <v>42328</v>
      </c>
      <c r="X63" s="12">
        <v>56.26</v>
      </c>
      <c r="Y63" s="12">
        <v>56.26</v>
      </c>
      <c r="Z63" s="12">
        <v>55.72</v>
      </c>
      <c r="AA63" s="12">
        <v>55.82</v>
      </c>
      <c r="AB63" s="115">
        <v>16264100</v>
      </c>
      <c r="AC63" s="12">
        <v>55.39</v>
      </c>
      <c r="AD63" s="2">
        <f t="shared" si="0"/>
        <v>0.53999999999999915</v>
      </c>
      <c r="AE63" s="165">
        <f t="shared" si="1"/>
        <v>-2.7007562117392636E-3</v>
      </c>
    </row>
    <row r="64" spans="15:31" x14ac:dyDescent="0.25">
      <c r="W64" s="114">
        <v>42327</v>
      </c>
      <c r="X64" s="12">
        <v>55.77</v>
      </c>
      <c r="Y64" s="12">
        <v>56.07</v>
      </c>
      <c r="Z64" s="12">
        <v>55.46</v>
      </c>
      <c r="AA64" s="12">
        <v>55.97</v>
      </c>
      <c r="AB64" s="115">
        <v>12167600</v>
      </c>
      <c r="AC64" s="12">
        <v>55.54</v>
      </c>
      <c r="AD64" s="2">
        <f t="shared" si="0"/>
        <v>0.60999999999999943</v>
      </c>
      <c r="AE64" s="165">
        <f t="shared" si="1"/>
        <v>5.4308472121651352E-3</v>
      </c>
    </row>
    <row r="65" spans="23:31" x14ac:dyDescent="0.25">
      <c r="W65" s="114">
        <v>42326</v>
      </c>
      <c r="X65" s="12">
        <v>55.06</v>
      </c>
      <c r="Y65" s="12">
        <v>55.77</v>
      </c>
      <c r="Z65" s="12">
        <v>54.97</v>
      </c>
      <c r="AA65" s="12">
        <v>55.67</v>
      </c>
      <c r="AB65" s="115">
        <v>16612600</v>
      </c>
      <c r="AC65" s="12">
        <v>55.24</v>
      </c>
      <c r="AD65" s="2">
        <f t="shared" si="0"/>
        <v>0.80000000000000426</v>
      </c>
      <c r="AE65" s="165">
        <f t="shared" si="1"/>
        <v>1.2834616795012854E-2</v>
      </c>
    </row>
    <row r="66" spans="23:31" x14ac:dyDescent="0.25">
      <c r="W66" s="114">
        <v>42325</v>
      </c>
      <c r="X66" s="12">
        <v>55.33</v>
      </c>
      <c r="Y66" s="12">
        <v>55.49</v>
      </c>
      <c r="Z66" s="12">
        <v>54.84</v>
      </c>
      <c r="AA66" s="12">
        <v>54.96</v>
      </c>
      <c r="AB66" s="115">
        <v>11331900</v>
      </c>
      <c r="AC66" s="12">
        <v>54.54</v>
      </c>
      <c r="AD66" s="2">
        <f t="shared" si="0"/>
        <v>0.64999999999999858</v>
      </c>
      <c r="AE66" s="165">
        <f t="shared" si="1"/>
        <v>-5.6517775752051858E-3</v>
      </c>
    </row>
    <row r="67" spans="23:31" x14ac:dyDescent="0.25">
      <c r="W67" s="114">
        <v>42324</v>
      </c>
      <c r="X67" s="12">
        <v>54.48</v>
      </c>
      <c r="Y67" s="12">
        <v>55.27</v>
      </c>
      <c r="Z67" s="12">
        <v>54.4</v>
      </c>
      <c r="AA67" s="12">
        <v>55.27</v>
      </c>
      <c r="AB67" s="115">
        <v>11955400</v>
      </c>
      <c r="AC67" s="12">
        <v>54.85</v>
      </c>
      <c r="AD67" s="2">
        <f t="shared" si="0"/>
        <v>0.87000000000000455</v>
      </c>
      <c r="AE67" s="165">
        <f t="shared" si="1"/>
        <v>1.2927054478301114E-2</v>
      </c>
    </row>
    <row r="68" spans="23:31" x14ac:dyDescent="0.25">
      <c r="W68" s="114">
        <v>42321</v>
      </c>
      <c r="X68" s="12">
        <v>55.02</v>
      </c>
      <c r="Y68" s="12">
        <v>55.36</v>
      </c>
      <c r="Z68" s="12">
        <v>54.33</v>
      </c>
      <c r="AA68" s="12">
        <v>54.57</v>
      </c>
      <c r="AB68" s="115">
        <v>16550200</v>
      </c>
      <c r="AC68" s="12">
        <v>54.15</v>
      </c>
      <c r="AD68" s="2">
        <f>Y68-Z68</f>
        <v>1.0300000000000011</v>
      </c>
      <c r="AE68" s="165" t="e">
        <f>AC68/AC69-1</f>
        <v>#DIV/0!</v>
      </c>
    </row>
    <row r="69" spans="23:31" x14ac:dyDescent="0.25"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69" priority="27">
      <formula>F7&gt;0</formula>
    </cfRule>
    <cfRule type="expression" dxfId="26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7" priority="19">
      <formula>F22&gt;0</formula>
    </cfRule>
    <cfRule type="expression" dxfId="266" priority="20">
      <formula>F22&lt;0</formula>
    </cfRule>
  </conditionalFormatting>
  <conditionalFormatting sqref="F22:F23">
    <cfRule type="expression" dxfId="265" priority="21">
      <formula>F22&gt;0</formula>
    </cfRule>
    <cfRule type="expression" dxfId="264" priority="22">
      <formula>F22&lt;0</formula>
    </cfRule>
  </conditionalFormatting>
  <conditionalFormatting sqref="H17:H23">
    <cfRule type="expression" dxfId="263" priority="17">
      <formula>H17&gt;0</formula>
    </cfRule>
    <cfRule type="expression" dxfId="262" priority="18">
      <formula>H17&lt;0</formula>
    </cfRule>
  </conditionalFormatting>
  <conditionalFormatting sqref="F15:F16">
    <cfRule type="expression" dxfId="261" priority="3">
      <formula>F15&gt;0</formula>
    </cfRule>
    <cfRule type="expression" dxfId="260" priority="4">
      <formula>F15&lt;0</formula>
    </cfRule>
  </conditionalFormatting>
  <conditionalFormatting sqref="H15:H16">
    <cfRule type="expression" dxfId="259" priority="1">
      <formula>H15&gt;0</formula>
    </cfRule>
    <cfRule type="expression" dxfId="25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32" activePane="bottomLeft" state="frozen"/>
      <selection activeCell="A2" sqref="A2"/>
      <selection pane="bottomLeft" activeCell="F65" sqref="F6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10</v>
      </c>
      <c r="B2" s="343"/>
      <c r="C2" s="365"/>
      <c r="D2" s="366"/>
      <c r="E2" s="366"/>
      <c r="F2" s="366"/>
      <c r="G2" s="343"/>
      <c r="H2" s="365"/>
      <c r="I2" s="366"/>
      <c r="J2" s="366"/>
      <c r="K2" s="366"/>
      <c r="L2" s="343"/>
      <c r="M2" s="3"/>
      <c r="O2" s="13" t="s">
        <v>57</v>
      </c>
      <c r="Q2">
        <f>C10-H10</f>
        <v>0</v>
      </c>
      <c r="T2" s="105"/>
      <c r="W2" s="114">
        <v>42419</v>
      </c>
      <c r="X2" s="12">
        <v>8.0299999999999994</v>
      </c>
      <c r="Y2" s="12">
        <v>8.09</v>
      </c>
      <c r="Z2" s="12">
        <v>7.84</v>
      </c>
      <c r="AA2" s="12">
        <v>7.87</v>
      </c>
      <c r="AB2" s="115">
        <v>30882200</v>
      </c>
      <c r="AC2" s="12">
        <v>7.87</v>
      </c>
      <c r="AD2" s="2">
        <f>Y2-Z2</f>
        <v>0.25</v>
      </c>
      <c r="AE2" s="165">
        <f>AC2/AC3-1</f>
        <v>-3.0788177339901357E-2</v>
      </c>
    </row>
    <row r="3" spans="1:40" x14ac:dyDescent="0.25">
      <c r="A3" s="26" t="s">
        <v>71</v>
      </c>
      <c r="B3" s="343"/>
      <c r="C3" s="365"/>
      <c r="D3" s="366"/>
      <c r="E3" s="366"/>
      <c r="F3" s="366"/>
      <c r="G3" s="343"/>
      <c r="H3" s="365"/>
      <c r="I3" s="366"/>
      <c r="J3" s="366"/>
      <c r="K3" s="366"/>
      <c r="L3" s="343"/>
      <c r="M3" s="3"/>
      <c r="O3" s="13" t="s">
        <v>58</v>
      </c>
      <c r="Q3" s="296">
        <f>IF(Q2=0, Q4, (F10-K10-M10)/Q2)</f>
        <v>7.87</v>
      </c>
      <c r="T3" s="148"/>
      <c r="W3" s="114">
        <v>42418</v>
      </c>
      <c r="X3" s="12">
        <v>8.5399999999999991</v>
      </c>
      <c r="Y3" s="12">
        <v>8.56</v>
      </c>
      <c r="Z3" s="12">
        <v>8.08</v>
      </c>
      <c r="AA3" s="12">
        <v>8.1199999999999992</v>
      </c>
      <c r="AB3" s="115">
        <v>29248700</v>
      </c>
      <c r="AC3" s="12">
        <v>8.1199999999999992</v>
      </c>
      <c r="AD3" s="2">
        <f>Y3-Z3</f>
        <v>0.48000000000000043</v>
      </c>
      <c r="AE3" s="165">
        <f>AC3/AC4-1</f>
        <v>-4.6948356807511749E-2</v>
      </c>
      <c r="AN3" s="309"/>
    </row>
    <row r="4" spans="1:40" x14ac:dyDescent="0.25">
      <c r="B4" s="343"/>
      <c r="C4" s="365"/>
      <c r="D4" s="366"/>
      <c r="E4" s="366"/>
      <c r="F4" s="366"/>
      <c r="G4" s="343"/>
      <c r="H4" s="367"/>
      <c r="I4" s="366"/>
      <c r="J4" s="366"/>
      <c r="K4" s="366"/>
      <c r="L4" s="365"/>
      <c r="O4" s="13" t="s">
        <v>66</v>
      </c>
      <c r="Q4" s="258">
        <v>7.87</v>
      </c>
      <c r="T4" s="148"/>
      <c r="W4" s="114">
        <v>42417</v>
      </c>
      <c r="X4" s="12">
        <v>8.23</v>
      </c>
      <c r="Y4" s="12">
        <v>8.6</v>
      </c>
      <c r="Z4" s="12">
        <v>8.1999999999999993</v>
      </c>
      <c r="AA4" s="12">
        <v>8.52</v>
      </c>
      <c r="AB4" s="115">
        <v>29017100</v>
      </c>
      <c r="AC4" s="12">
        <v>8.52</v>
      </c>
      <c r="AD4" s="2">
        <f t="shared" ref="AD4:AD67" si="0">Y4-Z4</f>
        <v>0.40000000000000036</v>
      </c>
      <c r="AE4" s="165">
        <f t="shared" ref="AE4:AE67" si="1">AC4/AC5-1</f>
        <v>4.9261083743842304E-2</v>
      </c>
      <c r="AK4" s="309"/>
      <c r="AN4" s="309"/>
    </row>
    <row r="5" spans="1:40" x14ac:dyDescent="0.25">
      <c r="B5" s="343"/>
      <c r="C5" s="365"/>
      <c r="D5" s="366"/>
      <c r="E5" s="366"/>
      <c r="F5" s="366"/>
      <c r="G5" s="343"/>
      <c r="H5" s="367"/>
      <c r="I5" s="366"/>
      <c r="J5" s="366"/>
      <c r="K5" s="366"/>
      <c r="L5" s="365"/>
      <c r="O5" s="13" t="s">
        <v>67</v>
      </c>
      <c r="Q5" s="3">
        <f>Q4*Q2</f>
        <v>0</v>
      </c>
      <c r="W5" s="114">
        <v>42416</v>
      </c>
      <c r="X5" s="12">
        <v>7.8</v>
      </c>
      <c r="Y5" s="12">
        <v>8.1300000000000008</v>
      </c>
      <c r="Z5" s="12">
        <v>7.68</v>
      </c>
      <c r="AA5" s="12">
        <v>8.1199999999999992</v>
      </c>
      <c r="AB5" s="115">
        <v>21811000</v>
      </c>
      <c r="AC5" s="12">
        <v>8.1199999999999992</v>
      </c>
      <c r="AD5" s="2">
        <f t="shared" si="0"/>
        <v>0.45000000000000107</v>
      </c>
      <c r="AE5" s="165">
        <f t="shared" si="1"/>
        <v>5.591677503250958E-2</v>
      </c>
      <c r="AK5" s="309"/>
      <c r="AN5" s="309"/>
    </row>
    <row r="6" spans="1:40" x14ac:dyDescent="0.25">
      <c r="B6" s="343"/>
      <c r="C6" s="365"/>
      <c r="D6" s="366"/>
      <c r="E6" s="366"/>
      <c r="F6" s="366"/>
      <c r="G6" s="343"/>
      <c r="H6" s="367"/>
      <c r="I6" s="366"/>
      <c r="J6" s="366"/>
      <c r="K6" s="366"/>
      <c r="L6" s="365"/>
      <c r="O6" s="13" t="s">
        <v>64</v>
      </c>
      <c r="Q6" s="2">
        <f>Q3*Q2</f>
        <v>0</v>
      </c>
      <c r="W6" s="114">
        <v>42412</v>
      </c>
      <c r="X6" s="12">
        <v>7.53</v>
      </c>
      <c r="Y6" s="12">
        <v>7.78</v>
      </c>
      <c r="Z6" s="12">
        <v>7.36</v>
      </c>
      <c r="AA6" s="12">
        <v>7.69</v>
      </c>
      <c r="AB6" s="115">
        <v>25980400</v>
      </c>
      <c r="AC6" s="12">
        <v>7.69</v>
      </c>
      <c r="AD6" s="2">
        <f t="shared" si="0"/>
        <v>0.41999999999999993</v>
      </c>
      <c r="AE6" s="165">
        <f t="shared" si="1"/>
        <v>4.9113233287858105E-2</v>
      </c>
    </row>
    <row r="7" spans="1:40" ht="15.75" x14ac:dyDescent="0.25">
      <c r="B7" s="343"/>
      <c r="C7" s="365"/>
      <c r="D7" s="366"/>
      <c r="E7" s="366"/>
      <c r="F7" s="366"/>
      <c r="G7" s="343"/>
      <c r="H7" s="367"/>
      <c r="I7" s="366"/>
      <c r="J7" s="366"/>
      <c r="K7" s="366"/>
      <c r="L7" s="365"/>
      <c r="O7" s="13" t="s">
        <v>325</v>
      </c>
      <c r="Q7" s="2">
        <f>IF(Q2=0, K10+M10-F10,Q5-Q6)+M21</f>
        <v>793.47</v>
      </c>
      <c r="R7" s="244"/>
      <c r="T7" s="105"/>
      <c r="W7" s="114">
        <v>42411</v>
      </c>
      <c r="X7" s="12">
        <v>7.36</v>
      </c>
      <c r="Y7" s="12">
        <v>7.55</v>
      </c>
      <c r="Z7" s="12">
        <v>7.11</v>
      </c>
      <c r="AA7" s="12">
        <v>7.33</v>
      </c>
      <c r="AB7" s="115">
        <v>31846300</v>
      </c>
      <c r="AC7" s="12">
        <v>7.33</v>
      </c>
      <c r="AD7" s="2">
        <f t="shared" si="0"/>
        <v>0.4399999999999995</v>
      </c>
      <c r="AE7" s="165">
        <f t="shared" si="1"/>
        <v>-2.7851458885941649E-2</v>
      </c>
      <c r="AK7" s="309"/>
      <c r="AN7" s="309"/>
    </row>
    <row r="8" spans="1:40" x14ac:dyDescent="0.25">
      <c r="B8" s="343"/>
      <c r="C8" s="365"/>
      <c r="D8" s="366"/>
      <c r="E8" s="366"/>
      <c r="F8" s="366"/>
      <c r="G8" s="343"/>
      <c r="H8" s="367"/>
      <c r="I8" s="366"/>
      <c r="J8" s="366"/>
      <c r="K8" s="366"/>
      <c r="L8" s="365"/>
      <c r="O8" s="13" t="s">
        <v>92</v>
      </c>
      <c r="P8"/>
      <c r="Q8" s="165">
        <f>(Q4-Q3)/Q3</f>
        <v>0</v>
      </c>
      <c r="W8" s="114">
        <v>42410</v>
      </c>
      <c r="X8" s="12">
        <v>7.9</v>
      </c>
      <c r="Y8" s="12">
        <v>7.91</v>
      </c>
      <c r="Z8" s="12">
        <v>7.45</v>
      </c>
      <c r="AA8" s="12">
        <v>7.54</v>
      </c>
      <c r="AB8" s="115">
        <v>27036000</v>
      </c>
      <c r="AC8" s="12">
        <v>7.54</v>
      </c>
      <c r="AD8" s="2">
        <f t="shared" si="0"/>
        <v>0.45999999999999996</v>
      </c>
      <c r="AE8" s="165">
        <f t="shared" si="1"/>
        <v>-3.4571062740076819E-2</v>
      </c>
    </row>
    <row r="9" spans="1:40" x14ac:dyDescent="0.25">
      <c r="O9" s="13" t="s">
        <v>298</v>
      </c>
      <c r="Q9" s="165">
        <f>VALUE(TRIM(CLEAN(MID(U55, FIND("(", U55)+1, 5))))</f>
        <v>1.52E-2</v>
      </c>
      <c r="W9" s="114">
        <v>42409</v>
      </c>
      <c r="X9" s="12">
        <v>7.72</v>
      </c>
      <c r="Y9" s="12">
        <v>7.95</v>
      </c>
      <c r="Z9" s="12">
        <v>7.58</v>
      </c>
      <c r="AA9" s="12">
        <v>7.81</v>
      </c>
      <c r="AB9" s="115">
        <v>26451500</v>
      </c>
      <c r="AC9" s="12">
        <v>7.81</v>
      </c>
      <c r="AD9" s="2">
        <f t="shared" si="0"/>
        <v>0.37000000000000011</v>
      </c>
      <c r="AE9" s="165">
        <f t="shared" si="1"/>
        <v>-1.13924050632912E-2</v>
      </c>
      <c r="AK9" s="309"/>
      <c r="AN9" s="309"/>
    </row>
    <row r="10" spans="1:40" x14ac:dyDescent="0.25">
      <c r="A10" s="4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14">
        <v>42408</v>
      </c>
      <c r="X10" s="12">
        <v>7.73</v>
      </c>
      <c r="Y10" s="12">
        <v>8.42</v>
      </c>
      <c r="Z10" s="12">
        <v>7.71</v>
      </c>
      <c r="AA10" s="12">
        <v>7.9</v>
      </c>
      <c r="AB10" s="115">
        <v>39502400</v>
      </c>
      <c r="AC10" s="12">
        <v>7.9</v>
      </c>
      <c r="AD10" s="2">
        <f t="shared" si="0"/>
        <v>0.71</v>
      </c>
      <c r="AE10" s="165">
        <f t="shared" si="1"/>
        <v>-2.7093596059113212E-2</v>
      </c>
    </row>
    <row r="11" spans="1:40" x14ac:dyDescent="0.25">
      <c r="W11" s="114">
        <v>42405</v>
      </c>
      <c r="X11" s="12">
        <v>8.14</v>
      </c>
      <c r="Y11" s="12">
        <v>8.5</v>
      </c>
      <c r="Z11" s="12">
        <v>7.88</v>
      </c>
      <c r="AA11" s="12">
        <v>8.1199999999999992</v>
      </c>
      <c r="AB11" s="115">
        <v>42783400</v>
      </c>
      <c r="AC11" s="12">
        <v>8.1199999999999992</v>
      </c>
      <c r="AD11" s="2">
        <f t="shared" si="0"/>
        <v>0.62000000000000011</v>
      </c>
      <c r="AE11" s="165">
        <f t="shared" si="1"/>
        <v>-2.2864019253911128E-2</v>
      </c>
      <c r="AK11" s="309"/>
      <c r="AN11" s="309"/>
    </row>
    <row r="12" spans="1:40" x14ac:dyDescent="0.25">
      <c r="W12" s="114">
        <v>42404</v>
      </c>
      <c r="X12" s="12">
        <v>7.64</v>
      </c>
      <c r="Y12" s="12">
        <v>8.4499999999999993</v>
      </c>
      <c r="Z12" s="12">
        <v>7.63</v>
      </c>
      <c r="AA12" s="12">
        <v>8.31</v>
      </c>
      <c r="AB12" s="115">
        <v>53494500</v>
      </c>
      <c r="AC12" s="12">
        <v>8.31</v>
      </c>
      <c r="AD12" s="2">
        <f t="shared" si="0"/>
        <v>0.8199999999999994</v>
      </c>
      <c r="AE12" s="165">
        <f t="shared" si="1"/>
        <v>0.10066225165562925</v>
      </c>
    </row>
    <row r="13" spans="1:40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49" t="s">
        <v>65</v>
      </c>
      <c r="G13" s="294" t="s">
        <v>195</v>
      </c>
      <c r="H13" s="294" t="s">
        <v>92</v>
      </c>
      <c r="I13" s="294" t="s">
        <v>203</v>
      </c>
      <c r="W13" s="114">
        <v>42403</v>
      </c>
      <c r="X13" s="12">
        <v>7.06</v>
      </c>
      <c r="Y13" s="12">
        <v>7.57</v>
      </c>
      <c r="Z13" s="12">
        <v>6.85</v>
      </c>
      <c r="AA13" s="12">
        <v>7.55</v>
      </c>
      <c r="AB13" s="115">
        <v>33790000</v>
      </c>
      <c r="AC13" s="12">
        <v>7.55</v>
      </c>
      <c r="AD13" s="2">
        <f t="shared" si="0"/>
        <v>0.72000000000000064</v>
      </c>
      <c r="AE13" s="165" t="e">
        <f t="shared" si="1"/>
        <v>#DIV/0!</v>
      </c>
      <c r="AK13" s="309"/>
      <c r="AN13" s="309"/>
    </row>
    <row r="14" spans="1:40" x14ac:dyDescent="0.25">
      <c r="B14" s="248"/>
      <c r="C14" s="12"/>
      <c r="D14" s="53"/>
      <c r="E14" s="53"/>
      <c r="F14" s="53"/>
      <c r="G14" s="53"/>
      <c r="H14" s="304"/>
      <c r="I14" s="53"/>
      <c r="T14" s="104"/>
      <c r="U14" s="13"/>
      <c r="W14" s="114">
        <v>42403</v>
      </c>
      <c r="X14" s="12" t="s">
        <v>129</v>
      </c>
      <c r="Y14" s="12"/>
      <c r="Z14" s="12"/>
      <c r="AA14" s="12"/>
      <c r="AB14" s="115"/>
      <c r="AC14" s="12"/>
      <c r="AD14" s="2">
        <f t="shared" si="0"/>
        <v>0</v>
      </c>
      <c r="AE14" s="165">
        <f t="shared" si="1"/>
        <v>-1</v>
      </c>
    </row>
    <row r="15" spans="1:40" x14ac:dyDescent="0.25">
      <c r="B15" s="248"/>
      <c r="C15" s="12"/>
      <c r="D15" s="53"/>
      <c r="E15" s="53"/>
      <c r="F15" s="53"/>
      <c r="G15" s="53"/>
      <c r="H15" s="304"/>
      <c r="I15" s="53"/>
      <c r="W15" s="114">
        <v>42402</v>
      </c>
      <c r="X15" s="12">
        <v>7.02</v>
      </c>
      <c r="Y15" s="12">
        <v>7.07</v>
      </c>
      <c r="Z15" s="12">
        <v>6.91</v>
      </c>
      <c r="AA15" s="12">
        <v>6.97</v>
      </c>
      <c r="AB15" s="115">
        <v>22162900</v>
      </c>
      <c r="AC15" s="12">
        <v>6.94</v>
      </c>
      <c r="AD15" s="2">
        <f t="shared" si="0"/>
        <v>0.16000000000000014</v>
      </c>
      <c r="AE15" s="165">
        <f t="shared" si="1"/>
        <v>-3.3426183844011081E-2</v>
      </c>
      <c r="AK15" s="309"/>
      <c r="AN15" s="309"/>
    </row>
    <row r="16" spans="1:40" x14ac:dyDescent="0.25">
      <c r="B16" s="248"/>
      <c r="C16" s="12"/>
      <c r="D16" s="53"/>
      <c r="E16" s="53"/>
      <c r="F16" s="53"/>
      <c r="G16" s="53"/>
      <c r="H16" s="304"/>
      <c r="I16" s="53"/>
      <c r="W16" s="114">
        <v>42401</v>
      </c>
      <c r="X16" s="12">
        <v>7.38</v>
      </c>
      <c r="Y16" s="12">
        <v>7.38</v>
      </c>
      <c r="Z16" s="12">
        <v>7.11</v>
      </c>
      <c r="AA16" s="12">
        <v>7.21</v>
      </c>
      <c r="AB16" s="115">
        <v>26539500</v>
      </c>
      <c r="AC16" s="12">
        <v>7.18</v>
      </c>
      <c r="AD16" s="2">
        <f t="shared" si="0"/>
        <v>0.26999999999999957</v>
      </c>
      <c r="AE16" s="165">
        <f t="shared" si="1"/>
        <v>-1.1019283746556474E-2</v>
      </c>
    </row>
    <row r="17" spans="1:40" x14ac:dyDescent="0.25">
      <c r="B17" s="248"/>
      <c r="C17" s="12"/>
      <c r="D17" s="53"/>
      <c r="E17" s="53"/>
      <c r="F17" s="53"/>
      <c r="G17" s="53"/>
      <c r="H17" s="304"/>
      <c r="I17" s="53"/>
      <c r="W17" s="114">
        <v>42398</v>
      </c>
      <c r="X17" s="12">
        <v>6.98</v>
      </c>
      <c r="Y17" s="12">
        <v>7.29</v>
      </c>
      <c r="Z17" s="12">
        <v>6.98</v>
      </c>
      <c r="AA17" s="12">
        <v>7.29</v>
      </c>
      <c r="AB17" s="115">
        <v>35772400</v>
      </c>
      <c r="AC17" s="12">
        <v>7.26</v>
      </c>
      <c r="AD17" s="2">
        <f t="shared" si="0"/>
        <v>0.30999999999999961</v>
      </c>
      <c r="AE17" s="165">
        <f t="shared" si="1"/>
        <v>4.1606886657101771E-2</v>
      </c>
      <c r="AK17" s="309"/>
      <c r="AN17" s="309"/>
    </row>
    <row r="18" spans="1:40" x14ac:dyDescent="0.25">
      <c r="B18" s="248"/>
      <c r="C18" s="12"/>
      <c r="D18" s="53"/>
      <c r="E18" s="53"/>
      <c r="F18" s="53"/>
      <c r="G18" s="53"/>
      <c r="H18" s="304"/>
      <c r="I18" s="53"/>
      <c r="W18" s="114">
        <v>42397</v>
      </c>
      <c r="X18" s="12">
        <v>7.17</v>
      </c>
      <c r="Y18" s="12">
        <v>7.19</v>
      </c>
      <c r="Z18" s="12">
        <v>6.82</v>
      </c>
      <c r="AA18" s="12">
        <v>7</v>
      </c>
      <c r="AB18" s="115">
        <v>26887400</v>
      </c>
      <c r="AC18" s="12">
        <v>6.97</v>
      </c>
      <c r="AD18" s="2">
        <f t="shared" si="0"/>
        <v>0.37000000000000011</v>
      </c>
      <c r="AE18" s="165">
        <f t="shared" si="1"/>
        <v>5.7720057720058726E-3</v>
      </c>
    </row>
    <row r="19" spans="1:40" x14ac:dyDescent="0.25">
      <c r="B19" s="343"/>
      <c r="C19" s="367"/>
      <c r="D19" s="366"/>
      <c r="E19" s="366"/>
      <c r="F19" s="366"/>
      <c r="G19" s="343"/>
      <c r="H19" s="367"/>
      <c r="I19" s="366"/>
      <c r="J19" s="366"/>
      <c r="K19" s="366"/>
      <c r="L19" s="365"/>
      <c r="W19" s="114">
        <v>42396</v>
      </c>
      <c r="X19" s="12">
        <v>7.06</v>
      </c>
      <c r="Y19" s="12">
        <v>7.28</v>
      </c>
      <c r="Z19" s="12">
        <v>6.92</v>
      </c>
      <c r="AA19" s="12">
        <v>6.96</v>
      </c>
      <c r="AB19" s="115">
        <v>34547400</v>
      </c>
      <c r="AC19" s="12">
        <v>6.93</v>
      </c>
      <c r="AD19" s="2">
        <f t="shared" si="0"/>
        <v>0.36000000000000032</v>
      </c>
      <c r="AE19" s="165">
        <f t="shared" si="1"/>
        <v>-2.5316455696202667E-2</v>
      </c>
      <c r="AK19" s="309"/>
      <c r="AN19" s="309"/>
    </row>
    <row r="20" spans="1:40" x14ac:dyDescent="0.25">
      <c r="A20" s="4"/>
      <c r="B20" s="94"/>
      <c r="C20" s="4"/>
      <c r="D20" s="3"/>
      <c r="E20" s="3"/>
      <c r="F20" s="3"/>
      <c r="G20" s="3"/>
      <c r="H20" s="368"/>
      <c r="I20" s="3"/>
      <c r="J20" s="3"/>
      <c r="K20" s="3"/>
      <c r="L20" s="4"/>
      <c r="M20" s="4"/>
      <c r="N20" s="4"/>
      <c r="W20" s="114">
        <v>42395</v>
      </c>
      <c r="X20" s="12">
        <v>6.89</v>
      </c>
      <c r="Y20" s="12">
        <v>7.18</v>
      </c>
      <c r="Z20" s="12">
        <v>6.77</v>
      </c>
      <c r="AA20" s="12">
        <v>7.14</v>
      </c>
      <c r="AB20" s="115">
        <v>36559900</v>
      </c>
      <c r="AC20" s="12">
        <v>7.11</v>
      </c>
      <c r="AD20" s="2">
        <f t="shared" si="0"/>
        <v>0.41000000000000014</v>
      </c>
      <c r="AE20" s="165">
        <f t="shared" si="1"/>
        <v>5.0221565731167095E-2</v>
      </c>
    </row>
    <row r="21" spans="1:40" x14ac:dyDescent="0.25">
      <c r="A21" s="349"/>
      <c r="B21" s="349"/>
      <c r="C21" s="349"/>
      <c r="D21" s="350"/>
      <c r="E21" s="350"/>
      <c r="F21" s="350"/>
      <c r="G21" s="349"/>
      <c r="H21" s="349"/>
      <c r="I21" s="350"/>
      <c r="J21" s="350"/>
      <c r="K21" s="351" t="s">
        <v>148</v>
      </c>
      <c r="L21" s="349"/>
      <c r="M21" s="350">
        <f>F91</f>
        <v>793.47</v>
      </c>
      <c r="N21" s="349"/>
      <c r="W21" s="114">
        <v>42394</v>
      </c>
      <c r="X21" s="12">
        <v>6.81</v>
      </c>
      <c r="Y21" s="12">
        <v>7</v>
      </c>
      <c r="Z21" s="12">
        <v>6.76</v>
      </c>
      <c r="AA21" s="12">
        <v>6.8</v>
      </c>
      <c r="AB21" s="115">
        <v>34030400</v>
      </c>
      <c r="AC21" s="12">
        <v>6.77</v>
      </c>
      <c r="AD21" s="2">
        <f t="shared" si="0"/>
        <v>0.24000000000000021</v>
      </c>
      <c r="AE21" s="165">
        <f t="shared" si="1"/>
        <v>-1.023391812865504E-2</v>
      </c>
      <c r="AK21" s="309"/>
      <c r="AN21" s="309"/>
    </row>
    <row r="22" spans="1:40" x14ac:dyDescent="0.25">
      <c r="A22" s="351" t="s">
        <v>1</v>
      </c>
      <c r="B22" s="351" t="s">
        <v>2</v>
      </c>
      <c r="C22" s="351" t="s">
        <v>4</v>
      </c>
      <c r="D22" s="352" t="s">
        <v>5</v>
      </c>
      <c r="E22" s="352" t="s">
        <v>94</v>
      </c>
      <c r="F22" s="352" t="s">
        <v>60</v>
      </c>
      <c r="G22" s="351" t="s">
        <v>3</v>
      </c>
      <c r="H22" s="351" t="s">
        <v>6</v>
      </c>
      <c r="I22" s="352" t="s">
        <v>7</v>
      </c>
      <c r="J22" s="352" t="s">
        <v>93</v>
      </c>
      <c r="K22" s="352" t="s">
        <v>61</v>
      </c>
      <c r="L22" s="351" t="s">
        <v>77</v>
      </c>
      <c r="M22" s="351" t="s">
        <v>38</v>
      </c>
      <c r="N22" s="351"/>
      <c r="W22" s="114">
        <v>42391</v>
      </c>
      <c r="X22" s="12">
        <v>7.29</v>
      </c>
      <c r="Y22" s="12">
        <v>7.42</v>
      </c>
      <c r="Z22" s="12">
        <v>6.83</v>
      </c>
      <c r="AA22" s="12">
        <v>6.87</v>
      </c>
      <c r="AB22" s="115">
        <v>34384300</v>
      </c>
      <c r="AC22" s="12">
        <v>6.84</v>
      </c>
      <c r="AD22" s="2">
        <f t="shared" si="0"/>
        <v>0.58999999999999986</v>
      </c>
      <c r="AE22" s="165">
        <f t="shared" si="1"/>
        <v>-3.1161473087818692E-2</v>
      </c>
    </row>
    <row r="23" spans="1:40" x14ac:dyDescent="0.25">
      <c r="A23" s="353" t="s">
        <v>10</v>
      </c>
      <c r="B23" s="354">
        <v>42146</v>
      </c>
      <c r="C23" s="349">
        <v>100</v>
      </c>
      <c r="D23" s="350">
        <v>13.1</v>
      </c>
      <c r="E23" s="350">
        <v>0</v>
      </c>
      <c r="F23" s="350">
        <f>C23*D23+E23</f>
        <v>1310</v>
      </c>
      <c r="G23" s="354">
        <v>42199</v>
      </c>
      <c r="H23" s="349">
        <v>52</v>
      </c>
      <c r="I23" s="350">
        <v>10.7</v>
      </c>
      <c r="J23" s="350">
        <v>0.01</v>
      </c>
      <c r="K23" s="350">
        <f t="shared" ref="K23:K46" si="2">H23*I23-J23</f>
        <v>556.39</v>
      </c>
      <c r="L23" s="354">
        <v>42241</v>
      </c>
      <c r="M23" s="350">
        <v>12</v>
      </c>
      <c r="N23" s="349"/>
      <c r="W23" s="114">
        <v>42390</v>
      </c>
      <c r="X23" s="12">
        <v>6.74</v>
      </c>
      <c r="Y23" s="12">
        <v>7.26</v>
      </c>
      <c r="Z23" s="12">
        <v>6.71</v>
      </c>
      <c r="AA23" s="12">
        <v>7.09</v>
      </c>
      <c r="AB23" s="115">
        <v>47630200</v>
      </c>
      <c r="AC23" s="12">
        <v>7.06</v>
      </c>
      <c r="AD23" s="2">
        <f t="shared" si="0"/>
        <v>0.54999999999999982</v>
      </c>
      <c r="AE23" s="165">
        <f t="shared" si="1"/>
        <v>5.216095380029806E-2</v>
      </c>
      <c r="AK23" s="309"/>
    </row>
    <row r="24" spans="1:40" x14ac:dyDescent="0.25">
      <c r="A24" s="356" t="s">
        <v>71</v>
      </c>
      <c r="B24" s="354">
        <v>42151</v>
      </c>
      <c r="C24" s="349">
        <v>102</v>
      </c>
      <c r="D24" s="350">
        <v>12.99</v>
      </c>
      <c r="E24" s="350">
        <v>0</v>
      </c>
      <c r="F24" s="350">
        <f t="shared" ref="F24:F58" si="3">C24*D24+E24</f>
        <v>1324.98</v>
      </c>
      <c r="G24" s="354">
        <v>42235</v>
      </c>
      <c r="H24" s="349">
        <v>150</v>
      </c>
      <c r="I24" s="350">
        <v>9.41</v>
      </c>
      <c r="J24" s="350">
        <v>0.03</v>
      </c>
      <c r="K24" s="350">
        <f t="shared" si="2"/>
        <v>1411.47</v>
      </c>
      <c r="L24" s="354">
        <v>42333</v>
      </c>
      <c r="M24" s="350">
        <v>111</v>
      </c>
      <c r="N24" s="349"/>
      <c r="W24" s="114">
        <v>42389</v>
      </c>
      <c r="X24" s="12">
        <v>6.51</v>
      </c>
      <c r="Y24" s="12">
        <v>6.81</v>
      </c>
      <c r="Z24" s="12">
        <v>6.14</v>
      </c>
      <c r="AA24" s="12">
        <v>6.74</v>
      </c>
      <c r="AB24" s="115">
        <v>67550000</v>
      </c>
      <c r="AC24" s="12">
        <v>6.71</v>
      </c>
      <c r="AD24" s="2">
        <f t="shared" si="0"/>
        <v>0.66999999999999993</v>
      </c>
      <c r="AE24" s="165">
        <f t="shared" si="1"/>
        <v>0</v>
      </c>
    </row>
    <row r="25" spans="1:40" x14ac:dyDescent="0.25">
      <c r="A25" s="349"/>
      <c r="B25" s="354">
        <v>42152</v>
      </c>
      <c r="C25" s="349">
        <v>50</v>
      </c>
      <c r="D25" s="350">
        <v>12.94</v>
      </c>
      <c r="E25" s="350">
        <v>0</v>
      </c>
      <c r="F25" s="350">
        <f t="shared" si="3"/>
        <v>647</v>
      </c>
      <c r="G25" s="354">
        <v>42256</v>
      </c>
      <c r="H25" s="355">
        <v>300</v>
      </c>
      <c r="I25" s="350">
        <v>9.6999999999999993</v>
      </c>
      <c r="J25" s="350">
        <v>0.05</v>
      </c>
      <c r="K25" s="350">
        <f t="shared" si="2"/>
        <v>2909.95</v>
      </c>
      <c r="L25" s="349"/>
      <c r="M25" s="349"/>
      <c r="N25" s="349"/>
      <c r="W25" s="114">
        <v>42388</v>
      </c>
      <c r="X25" s="12">
        <v>6.98</v>
      </c>
      <c r="Y25" s="12">
        <v>7.02</v>
      </c>
      <c r="Z25" s="12">
        <v>6.56</v>
      </c>
      <c r="AA25" s="12">
        <v>6.74</v>
      </c>
      <c r="AB25" s="115">
        <v>51940800</v>
      </c>
      <c r="AC25" s="12">
        <v>6.71</v>
      </c>
      <c r="AD25" s="2">
        <f t="shared" si="0"/>
        <v>0.45999999999999996</v>
      </c>
      <c r="AE25" s="165">
        <f t="shared" si="1"/>
        <v>-2.3289665211062571E-2</v>
      </c>
    </row>
    <row r="26" spans="1:40" x14ac:dyDescent="0.25">
      <c r="A26" s="349"/>
      <c r="B26" s="354">
        <v>42166</v>
      </c>
      <c r="C26" s="349">
        <v>48</v>
      </c>
      <c r="D26" s="350">
        <v>12.3</v>
      </c>
      <c r="E26" s="350">
        <v>0</v>
      </c>
      <c r="F26" s="350">
        <f t="shared" si="3"/>
        <v>590.40000000000009</v>
      </c>
      <c r="G26" s="354">
        <v>42285</v>
      </c>
      <c r="H26" s="355">
        <v>300</v>
      </c>
      <c r="I26" s="350">
        <v>9.85</v>
      </c>
      <c r="J26" s="350">
        <v>0.05</v>
      </c>
      <c r="K26" s="350">
        <f t="shared" si="2"/>
        <v>2954.95</v>
      </c>
      <c r="L26" s="349"/>
      <c r="M26" s="349"/>
      <c r="N26" s="349"/>
      <c r="W26" s="114">
        <v>42384</v>
      </c>
      <c r="X26" s="12">
        <v>6.94</v>
      </c>
      <c r="Y26" s="12">
        <v>7.02</v>
      </c>
      <c r="Z26" s="12">
        <v>6.77</v>
      </c>
      <c r="AA26" s="12">
        <v>6.9</v>
      </c>
      <c r="AB26" s="115">
        <v>52299000</v>
      </c>
      <c r="AC26" s="12">
        <v>6.87</v>
      </c>
      <c r="AD26" s="2">
        <f t="shared" si="0"/>
        <v>0.25</v>
      </c>
      <c r="AE26" s="165">
        <f t="shared" si="1"/>
        <v>-4.7156726768377233E-2</v>
      </c>
    </row>
    <row r="27" spans="1:40" x14ac:dyDescent="0.25">
      <c r="A27" s="349"/>
      <c r="B27" s="354">
        <v>42180</v>
      </c>
      <c r="C27" s="349">
        <v>50</v>
      </c>
      <c r="D27" s="350">
        <v>11.7</v>
      </c>
      <c r="E27" s="350">
        <v>0</v>
      </c>
      <c r="F27" s="350">
        <f t="shared" si="3"/>
        <v>585</v>
      </c>
      <c r="G27" s="354">
        <v>42285</v>
      </c>
      <c r="H27" s="355">
        <v>100</v>
      </c>
      <c r="I27" s="350">
        <v>9.98</v>
      </c>
      <c r="J27" s="350">
        <v>0.02</v>
      </c>
      <c r="K27" s="350">
        <f t="shared" si="2"/>
        <v>997.98</v>
      </c>
      <c r="L27" s="349"/>
      <c r="M27" s="349"/>
      <c r="N27" s="349"/>
      <c r="W27" s="114">
        <v>42383</v>
      </c>
      <c r="X27" s="12">
        <v>7.09</v>
      </c>
      <c r="Y27" s="12">
        <v>7.37</v>
      </c>
      <c r="Z27" s="12">
        <v>6.85</v>
      </c>
      <c r="AA27" s="12">
        <v>7.24</v>
      </c>
      <c r="AB27" s="115">
        <v>44292600</v>
      </c>
      <c r="AC27" s="12">
        <v>7.21</v>
      </c>
      <c r="AD27" s="2">
        <f t="shared" si="0"/>
        <v>0.52000000000000046</v>
      </c>
      <c r="AE27" s="165">
        <f t="shared" si="1"/>
        <v>1.5492957746478853E-2</v>
      </c>
    </row>
    <row r="28" spans="1:40" x14ac:dyDescent="0.25">
      <c r="A28" s="349"/>
      <c r="B28" s="354">
        <v>42198</v>
      </c>
      <c r="C28" s="349">
        <v>50</v>
      </c>
      <c r="D28" s="350">
        <v>10.5</v>
      </c>
      <c r="E28" s="350">
        <v>0</v>
      </c>
      <c r="F28" s="350">
        <f t="shared" si="3"/>
        <v>525</v>
      </c>
      <c r="G28" s="354">
        <v>42304</v>
      </c>
      <c r="H28" s="355">
        <v>1400</v>
      </c>
      <c r="I28" s="350">
        <v>9.4600000000000009</v>
      </c>
      <c r="J28" s="350">
        <v>0.24</v>
      </c>
      <c r="K28" s="350">
        <f t="shared" si="2"/>
        <v>13243.760000000002</v>
      </c>
      <c r="L28" s="349"/>
      <c r="M28" s="349"/>
      <c r="N28" s="349"/>
      <c r="W28" s="114">
        <v>42382</v>
      </c>
      <c r="X28" s="12">
        <v>7.32</v>
      </c>
      <c r="Y28" s="12">
        <v>7.44</v>
      </c>
      <c r="Z28" s="12">
        <v>7.08</v>
      </c>
      <c r="AA28" s="12">
        <v>7.13</v>
      </c>
      <c r="AB28" s="115">
        <v>45704300</v>
      </c>
      <c r="AC28" s="12">
        <v>7.1</v>
      </c>
      <c r="AD28" s="2">
        <f t="shared" si="0"/>
        <v>0.36000000000000032</v>
      </c>
      <c r="AE28" s="165">
        <f t="shared" si="1"/>
        <v>-2.0689655172413834E-2</v>
      </c>
    </row>
    <row r="29" spans="1:40" x14ac:dyDescent="0.25">
      <c r="A29" s="349"/>
      <c r="B29" s="354">
        <v>42205</v>
      </c>
      <c r="C29" s="349">
        <v>20</v>
      </c>
      <c r="D29" s="350">
        <v>10.56</v>
      </c>
      <c r="E29" s="350">
        <v>0</v>
      </c>
      <c r="F29" s="350">
        <f t="shared" si="3"/>
        <v>211.20000000000002</v>
      </c>
      <c r="G29" s="354">
        <v>42310</v>
      </c>
      <c r="H29" s="355">
        <v>3400</v>
      </c>
      <c r="I29" s="350">
        <v>9.1199999999999992</v>
      </c>
      <c r="J29" s="350">
        <v>7.52</v>
      </c>
      <c r="K29" s="350">
        <f t="shared" si="2"/>
        <v>31000.479999999996</v>
      </c>
      <c r="L29" s="349"/>
      <c r="M29" s="349"/>
      <c r="N29" s="349"/>
      <c r="W29" s="114">
        <v>42381</v>
      </c>
      <c r="X29" s="12">
        <v>8.01</v>
      </c>
      <c r="Y29" s="12">
        <v>8.02</v>
      </c>
      <c r="Z29" s="12">
        <v>7.1</v>
      </c>
      <c r="AA29" s="12">
        <v>7.28</v>
      </c>
      <c r="AB29" s="115">
        <v>91384000</v>
      </c>
      <c r="AC29" s="12">
        <v>7.25</v>
      </c>
      <c r="AD29" s="2">
        <f t="shared" si="0"/>
        <v>0.91999999999999993</v>
      </c>
      <c r="AE29" s="165">
        <f t="shared" si="1"/>
        <v>-9.0338770388958545E-2</v>
      </c>
    </row>
    <row r="30" spans="1:40" x14ac:dyDescent="0.25">
      <c r="A30" s="349"/>
      <c r="B30" s="354">
        <v>42208</v>
      </c>
      <c r="C30" s="349">
        <v>32</v>
      </c>
      <c r="D30" s="350">
        <v>10.220000000000001</v>
      </c>
      <c r="E30" s="350">
        <v>0</v>
      </c>
      <c r="F30" s="350">
        <f t="shared" si="3"/>
        <v>327.04000000000002</v>
      </c>
      <c r="G30" s="354">
        <v>42314</v>
      </c>
      <c r="H30" s="355">
        <v>1400</v>
      </c>
      <c r="I30" s="350">
        <v>9.42</v>
      </c>
      <c r="J30" s="350">
        <v>0.24</v>
      </c>
      <c r="K30" s="350">
        <f t="shared" si="2"/>
        <v>13187.76</v>
      </c>
      <c r="L30" s="349"/>
      <c r="M30" s="349"/>
      <c r="N30" s="349"/>
      <c r="W30" s="114">
        <v>42380</v>
      </c>
      <c r="X30" s="12">
        <v>8.2899999999999991</v>
      </c>
      <c r="Y30" s="12">
        <v>8.2899999999999991</v>
      </c>
      <c r="Z30" s="12">
        <v>7.9</v>
      </c>
      <c r="AA30" s="12">
        <v>8</v>
      </c>
      <c r="AB30" s="115">
        <v>47942500</v>
      </c>
      <c r="AC30" s="12">
        <v>7.97</v>
      </c>
      <c r="AD30" s="2">
        <f t="shared" si="0"/>
        <v>0.38999999999999879</v>
      </c>
      <c r="AE30" s="165">
        <f t="shared" si="1"/>
        <v>-8.7064676616914749E-3</v>
      </c>
    </row>
    <row r="31" spans="1:40" x14ac:dyDescent="0.25">
      <c r="A31" s="349"/>
      <c r="B31" s="354">
        <v>42230</v>
      </c>
      <c r="C31" s="349">
        <v>100</v>
      </c>
      <c r="D31" s="350">
        <v>9.58</v>
      </c>
      <c r="E31" s="350">
        <v>0</v>
      </c>
      <c r="F31" s="350">
        <f t="shared" si="3"/>
        <v>958</v>
      </c>
      <c r="G31" s="354">
        <v>42331</v>
      </c>
      <c r="H31" s="355">
        <v>1400</v>
      </c>
      <c r="I31" s="350">
        <v>8.41</v>
      </c>
      <c r="J31" s="350">
        <v>0.22</v>
      </c>
      <c r="K31" s="350">
        <f t="shared" si="2"/>
        <v>11773.78</v>
      </c>
      <c r="L31" s="350"/>
      <c r="M31" s="349"/>
      <c r="N31" s="349"/>
      <c r="W31" s="114">
        <v>42377</v>
      </c>
      <c r="X31" s="12">
        <v>8.52</v>
      </c>
      <c r="Y31" s="12">
        <v>8.56</v>
      </c>
      <c r="Z31" s="12">
        <v>8.02</v>
      </c>
      <c r="AA31" s="12">
        <v>8.07</v>
      </c>
      <c r="AB31" s="115">
        <v>41731900</v>
      </c>
      <c r="AC31" s="12">
        <v>8.0399999999999991</v>
      </c>
      <c r="AD31" s="2">
        <f t="shared" si="0"/>
        <v>0.54000000000000092</v>
      </c>
      <c r="AE31" s="165">
        <f t="shared" si="1"/>
        <v>-2.3086269744836074E-2</v>
      </c>
    </row>
    <row r="32" spans="1:40" x14ac:dyDescent="0.25">
      <c r="A32" s="349"/>
      <c r="B32" s="354">
        <v>42233</v>
      </c>
      <c r="C32" s="349">
        <v>150</v>
      </c>
      <c r="D32" s="350">
        <v>9.3000000000000007</v>
      </c>
      <c r="E32" s="350">
        <v>0</v>
      </c>
      <c r="F32" s="350">
        <f t="shared" si="3"/>
        <v>1395</v>
      </c>
      <c r="G32" s="354">
        <v>42331</v>
      </c>
      <c r="H32" s="355">
        <v>65</v>
      </c>
      <c r="I32" s="350">
        <v>8.41</v>
      </c>
      <c r="J32" s="350">
        <v>0.01</v>
      </c>
      <c r="K32" s="350">
        <f t="shared" si="2"/>
        <v>546.64</v>
      </c>
      <c r="L32" s="349"/>
      <c r="M32" s="349"/>
      <c r="N32" s="349"/>
      <c r="W32" s="114">
        <v>42376</v>
      </c>
      <c r="X32" s="12">
        <v>8.39</v>
      </c>
      <c r="Y32" s="12">
        <v>8.51</v>
      </c>
      <c r="Z32" s="12">
        <v>8.23</v>
      </c>
      <c r="AA32" s="12">
        <v>8.27</v>
      </c>
      <c r="AB32" s="115">
        <v>34080800</v>
      </c>
      <c r="AC32" s="12">
        <v>8.23</v>
      </c>
      <c r="AD32" s="2">
        <f t="shared" si="0"/>
        <v>0.27999999999999936</v>
      </c>
      <c r="AE32" s="165">
        <f t="shared" si="1"/>
        <v>-3.9673278879813312E-2</v>
      </c>
    </row>
    <row r="33" spans="1:31" x14ac:dyDescent="0.25">
      <c r="A33" s="349"/>
      <c r="B33" s="354">
        <v>42240</v>
      </c>
      <c r="C33" s="349">
        <v>200</v>
      </c>
      <c r="D33" s="350">
        <v>9.2100000000000009</v>
      </c>
      <c r="E33" s="350">
        <v>0</v>
      </c>
      <c r="F33" s="350">
        <f t="shared" si="3"/>
        <v>1842.0000000000002</v>
      </c>
      <c r="G33" s="354">
        <v>42332</v>
      </c>
      <c r="H33" s="355">
        <v>2235</v>
      </c>
      <c r="I33" s="350">
        <v>8.5</v>
      </c>
      <c r="J33" s="350">
        <v>0.35</v>
      </c>
      <c r="K33" s="350">
        <f t="shared" si="2"/>
        <v>18997.150000000001</v>
      </c>
      <c r="L33" s="349"/>
      <c r="M33" s="349"/>
      <c r="N33" s="349"/>
      <c r="W33" s="114">
        <v>42375</v>
      </c>
      <c r="X33" s="12">
        <v>9</v>
      </c>
      <c r="Y33" s="12">
        <v>9.02</v>
      </c>
      <c r="Z33" s="12">
        <v>8.5500000000000007</v>
      </c>
      <c r="AA33" s="12">
        <v>8.61</v>
      </c>
      <c r="AB33" s="115">
        <v>55199300</v>
      </c>
      <c r="AC33" s="12">
        <v>8.57</v>
      </c>
      <c r="AD33" s="2">
        <f t="shared" si="0"/>
        <v>0.46999999999999886</v>
      </c>
      <c r="AE33" s="165">
        <f t="shared" si="1"/>
        <v>-7.1505958829902516E-2</v>
      </c>
    </row>
    <row r="34" spans="1:31" x14ac:dyDescent="0.25">
      <c r="A34" s="349"/>
      <c r="B34" s="354">
        <v>42272</v>
      </c>
      <c r="C34" s="349">
        <v>100</v>
      </c>
      <c r="D34" s="350">
        <v>9.4499999999999993</v>
      </c>
      <c r="E34" s="350">
        <v>0</v>
      </c>
      <c r="F34" s="350">
        <f t="shared" si="3"/>
        <v>944.99999999999989</v>
      </c>
      <c r="G34" s="354">
        <v>42332</v>
      </c>
      <c r="H34" s="355">
        <v>600</v>
      </c>
      <c r="I34" s="350">
        <v>8.75</v>
      </c>
      <c r="J34" s="350">
        <v>0.1</v>
      </c>
      <c r="K34" s="350">
        <f t="shared" si="2"/>
        <v>5249.9</v>
      </c>
      <c r="L34" s="349"/>
      <c r="M34" s="349"/>
      <c r="N34" s="349"/>
      <c r="W34" s="114">
        <v>42374</v>
      </c>
      <c r="X34" s="12">
        <v>9.7200000000000006</v>
      </c>
      <c r="Y34" s="12">
        <v>9.77</v>
      </c>
      <c r="Z34" s="12">
        <v>9.16</v>
      </c>
      <c r="AA34" s="12">
        <v>9.27</v>
      </c>
      <c r="AB34" s="115">
        <v>39322700</v>
      </c>
      <c r="AC34" s="12">
        <v>9.23</v>
      </c>
      <c r="AD34" s="2">
        <f t="shared" si="0"/>
        <v>0.60999999999999943</v>
      </c>
      <c r="AE34" s="165">
        <f t="shared" si="1"/>
        <v>-4.5501551189245037E-2</v>
      </c>
    </row>
    <row r="35" spans="1:31" x14ac:dyDescent="0.25">
      <c r="A35" s="349"/>
      <c r="B35" s="354">
        <v>42275</v>
      </c>
      <c r="C35" s="349">
        <v>100</v>
      </c>
      <c r="D35" s="350">
        <v>9.3000000000000007</v>
      </c>
      <c r="E35" s="350">
        <v>0</v>
      </c>
      <c r="F35" s="350">
        <f t="shared" si="3"/>
        <v>930.00000000000011</v>
      </c>
      <c r="G35" s="354">
        <v>42335</v>
      </c>
      <c r="H35" s="355">
        <v>500</v>
      </c>
      <c r="I35" s="350">
        <v>9.1</v>
      </c>
      <c r="J35" s="350">
        <v>0.08</v>
      </c>
      <c r="K35" s="350">
        <f t="shared" si="2"/>
        <v>4549.92</v>
      </c>
      <c r="L35" s="349"/>
      <c r="M35" s="349"/>
      <c r="N35" s="349"/>
      <c r="W35" s="114">
        <v>42373</v>
      </c>
      <c r="X35" s="12">
        <v>9.52</v>
      </c>
      <c r="Y35" s="12">
        <v>9.8000000000000007</v>
      </c>
      <c r="Z35" s="12">
        <v>9.4499999999999993</v>
      </c>
      <c r="AA35" s="12">
        <v>9.7100000000000009</v>
      </c>
      <c r="AB35" s="115">
        <v>37919300</v>
      </c>
      <c r="AC35" s="12">
        <v>9.67</v>
      </c>
      <c r="AD35" s="2">
        <f t="shared" si="0"/>
        <v>0.35000000000000142</v>
      </c>
      <c r="AE35" s="165">
        <f t="shared" si="1"/>
        <v>-1.6276703967446626E-2</v>
      </c>
    </row>
    <row r="36" spans="1:31" x14ac:dyDescent="0.25">
      <c r="A36" s="349"/>
      <c r="B36" s="354">
        <v>42290</v>
      </c>
      <c r="C36" s="349">
        <v>400</v>
      </c>
      <c r="D36" s="350">
        <v>10.79</v>
      </c>
      <c r="E36" s="350">
        <v>0</v>
      </c>
      <c r="F36" s="350">
        <f t="shared" si="3"/>
        <v>4316</v>
      </c>
      <c r="G36" s="354">
        <v>42339</v>
      </c>
      <c r="H36" s="355">
        <v>400</v>
      </c>
      <c r="I36" s="350">
        <v>9.35</v>
      </c>
      <c r="J36" s="350">
        <v>7.0000000000000007E-2</v>
      </c>
      <c r="K36" s="350">
        <f t="shared" si="2"/>
        <v>3739.93</v>
      </c>
      <c r="L36" s="349"/>
      <c r="M36" s="349"/>
      <c r="N36" s="349"/>
      <c r="W36" s="114">
        <v>42369</v>
      </c>
      <c r="X36" s="12">
        <v>9.8699999999999992</v>
      </c>
      <c r="Y36" s="12">
        <v>9.98</v>
      </c>
      <c r="Z36" s="12">
        <v>9.81</v>
      </c>
      <c r="AA36" s="12">
        <v>9.8699999999999992</v>
      </c>
      <c r="AB36" s="115">
        <v>13362400</v>
      </c>
      <c r="AC36" s="12">
        <v>9.83</v>
      </c>
      <c r="AD36" s="2">
        <f t="shared" si="0"/>
        <v>0.16999999999999993</v>
      </c>
      <c r="AE36" s="165">
        <f t="shared" si="1"/>
        <v>-9.0725806451612545E-3</v>
      </c>
    </row>
    <row r="37" spans="1:31" x14ac:dyDescent="0.25">
      <c r="A37" s="349"/>
      <c r="B37" s="354">
        <v>42291</v>
      </c>
      <c r="C37" s="349">
        <v>150</v>
      </c>
      <c r="D37" s="350">
        <v>10.46</v>
      </c>
      <c r="E37" s="350">
        <v>0</v>
      </c>
      <c r="F37" s="350">
        <f t="shared" si="3"/>
        <v>1569.0000000000002</v>
      </c>
      <c r="G37" s="354">
        <v>42342</v>
      </c>
      <c r="H37" s="355">
        <v>500</v>
      </c>
      <c r="I37" s="350">
        <v>9.52</v>
      </c>
      <c r="J37" s="350">
        <v>0.09</v>
      </c>
      <c r="K37" s="350">
        <f t="shared" si="2"/>
        <v>4759.91</v>
      </c>
      <c r="L37" s="349"/>
      <c r="M37" s="349"/>
      <c r="N37" s="349"/>
      <c r="W37" s="114">
        <v>42368</v>
      </c>
      <c r="X37" s="12">
        <v>9.94</v>
      </c>
      <c r="Y37" s="12">
        <v>10.029999999999999</v>
      </c>
      <c r="Z37" s="12">
        <v>9.85</v>
      </c>
      <c r="AA37" s="12">
        <v>9.9600000000000009</v>
      </c>
      <c r="AB37" s="115">
        <v>23528300</v>
      </c>
      <c r="AC37" s="12">
        <v>9.92</v>
      </c>
      <c r="AD37" s="2">
        <f t="shared" si="0"/>
        <v>0.17999999999999972</v>
      </c>
      <c r="AE37" s="165">
        <f t="shared" si="1"/>
        <v>-1.6848364717542141E-2</v>
      </c>
    </row>
    <row r="38" spans="1:31" x14ac:dyDescent="0.25">
      <c r="A38" s="349"/>
      <c r="B38" s="354">
        <v>42292</v>
      </c>
      <c r="C38" s="349">
        <v>150</v>
      </c>
      <c r="D38" s="350">
        <v>10.3</v>
      </c>
      <c r="E38" s="350">
        <v>0</v>
      </c>
      <c r="F38" s="350">
        <f t="shared" si="3"/>
        <v>1545</v>
      </c>
      <c r="G38" s="354">
        <v>42347</v>
      </c>
      <c r="H38" s="355">
        <v>1500</v>
      </c>
      <c r="I38" s="350">
        <v>9.31</v>
      </c>
      <c r="J38" s="350">
        <v>0.26</v>
      </c>
      <c r="K38" s="350">
        <f t="shared" si="2"/>
        <v>13964.74</v>
      </c>
      <c r="L38" s="349"/>
      <c r="M38" s="349"/>
      <c r="N38" s="349"/>
      <c r="W38" s="114">
        <v>42367</v>
      </c>
      <c r="X38" s="12">
        <v>10.11</v>
      </c>
      <c r="Y38" s="12">
        <v>10.27</v>
      </c>
      <c r="Z38" s="12">
        <v>10</v>
      </c>
      <c r="AA38" s="12">
        <v>10.130000000000001</v>
      </c>
      <c r="AB38" s="115">
        <v>13436800</v>
      </c>
      <c r="AC38" s="12">
        <v>10.09</v>
      </c>
      <c r="AD38" s="2">
        <f t="shared" si="0"/>
        <v>0.26999999999999957</v>
      </c>
      <c r="AE38" s="165">
        <f t="shared" si="1"/>
        <v>1.5090543259557387E-2</v>
      </c>
    </row>
    <row r="39" spans="1:31" ht="20.25" thickBot="1" x14ac:dyDescent="0.35">
      <c r="A39" s="349"/>
      <c r="B39" s="354">
        <v>42297</v>
      </c>
      <c r="C39" s="355">
        <v>200</v>
      </c>
      <c r="D39" s="350">
        <v>9.8000000000000007</v>
      </c>
      <c r="E39" s="350">
        <v>0</v>
      </c>
      <c r="F39" s="350">
        <f t="shared" si="3"/>
        <v>1960.0000000000002</v>
      </c>
      <c r="G39" s="354">
        <v>42353</v>
      </c>
      <c r="H39" s="355">
        <v>200</v>
      </c>
      <c r="I39" s="350">
        <v>9.2899999999999991</v>
      </c>
      <c r="J39" s="350">
        <v>0.03</v>
      </c>
      <c r="K39" s="350">
        <f t="shared" si="2"/>
        <v>1857.9699999999998</v>
      </c>
      <c r="L39" s="349"/>
      <c r="M39" s="349"/>
      <c r="N39" s="349"/>
      <c r="O39" s="13"/>
      <c r="P39" s="389" t="s">
        <v>78</v>
      </c>
      <c r="Q39" s="389"/>
      <c r="R39" s="47"/>
      <c r="T39" s="111" t="s">
        <v>121</v>
      </c>
      <c r="W39" s="114">
        <v>42366</v>
      </c>
      <c r="X39" s="12">
        <v>10</v>
      </c>
      <c r="Y39" s="12">
        <v>10.01</v>
      </c>
      <c r="Z39" s="12">
        <v>9.81</v>
      </c>
      <c r="AA39" s="12">
        <v>9.98</v>
      </c>
      <c r="AB39" s="115">
        <v>15608600</v>
      </c>
      <c r="AC39" s="12">
        <v>9.94</v>
      </c>
      <c r="AD39" s="2">
        <f t="shared" si="0"/>
        <v>0.19999999999999929</v>
      </c>
      <c r="AE39" s="165">
        <f t="shared" si="1"/>
        <v>-1.3888888888888951E-2</v>
      </c>
    </row>
    <row r="40" spans="1:31" ht="15.75" thickTop="1" x14ac:dyDescent="0.25">
      <c r="A40" s="349"/>
      <c r="B40" s="354">
        <v>42297</v>
      </c>
      <c r="C40" s="355">
        <v>900</v>
      </c>
      <c r="D40" s="350">
        <v>9.74</v>
      </c>
      <c r="E40" s="350">
        <v>0</v>
      </c>
      <c r="F40" s="350">
        <f t="shared" si="3"/>
        <v>8766</v>
      </c>
      <c r="G40" s="354">
        <v>42354</v>
      </c>
      <c r="H40" s="355">
        <v>500</v>
      </c>
      <c r="I40" s="350">
        <v>8.93</v>
      </c>
      <c r="J40" s="350">
        <v>0.08</v>
      </c>
      <c r="K40" s="350">
        <f t="shared" si="2"/>
        <v>4464.92</v>
      </c>
      <c r="L40" s="349"/>
      <c r="M40" s="349"/>
      <c r="N40" s="349"/>
      <c r="O40" s="2"/>
      <c r="P40" s="103">
        <v>1.1000000000000001</v>
      </c>
      <c r="Q40" s="103">
        <f>P40*$Q$4</f>
        <v>8.657</v>
      </c>
      <c r="R40" s="47"/>
      <c r="T40" s="107" t="s">
        <v>106</v>
      </c>
      <c r="U40" s="108">
        <v>8.1199999999999992</v>
      </c>
      <c r="W40" s="114">
        <v>42362</v>
      </c>
      <c r="X40" s="12">
        <v>10.16</v>
      </c>
      <c r="Y40" s="12">
        <v>10.23</v>
      </c>
      <c r="Z40" s="12">
        <v>10.08</v>
      </c>
      <c r="AA40" s="12">
        <v>10.119999999999999</v>
      </c>
      <c r="AB40" s="115">
        <v>11794700</v>
      </c>
      <c r="AC40" s="12">
        <v>10.08</v>
      </c>
      <c r="AD40" s="2">
        <f t="shared" si="0"/>
        <v>0.15000000000000036</v>
      </c>
      <c r="AE40" s="165">
        <f t="shared" si="1"/>
        <v>-6.8965517241379448E-3</v>
      </c>
    </row>
    <row r="41" spans="1:31" x14ac:dyDescent="0.25">
      <c r="A41" s="349"/>
      <c r="B41" s="354">
        <v>42299</v>
      </c>
      <c r="C41" s="349">
        <v>1000</v>
      </c>
      <c r="D41" s="350">
        <v>9.3800000000000008</v>
      </c>
      <c r="E41" s="350">
        <v>0</v>
      </c>
      <c r="F41" s="350">
        <f t="shared" si="3"/>
        <v>9380</v>
      </c>
      <c r="G41" s="354">
        <v>42366</v>
      </c>
      <c r="H41" s="355">
        <v>2000</v>
      </c>
      <c r="I41" s="350">
        <v>9.4499999999999993</v>
      </c>
      <c r="J41" s="350">
        <v>0.35</v>
      </c>
      <c r="K41" s="350">
        <f t="shared" si="2"/>
        <v>18899.650000000001</v>
      </c>
      <c r="L41" s="349"/>
      <c r="M41" s="349"/>
      <c r="N41" s="349"/>
      <c r="O41" s="2"/>
      <c r="P41" s="103">
        <v>1.0900000000000001</v>
      </c>
      <c r="Q41" s="103">
        <f t="shared" ref="Q41:Q60" si="4">P41*$Q$4</f>
        <v>8.5783000000000005</v>
      </c>
      <c r="R41" s="47"/>
      <c r="T41" s="107" t="s">
        <v>107</v>
      </c>
      <c r="U41" s="108">
        <v>8.0299999999999994</v>
      </c>
      <c r="W41" s="114">
        <v>42361</v>
      </c>
      <c r="X41" s="12">
        <v>9.6999999999999993</v>
      </c>
      <c r="Y41" s="12">
        <v>10.220000000000001</v>
      </c>
      <c r="Z41" s="12">
        <v>9.68</v>
      </c>
      <c r="AA41" s="12">
        <v>10.19</v>
      </c>
      <c r="AB41" s="115">
        <v>39077900</v>
      </c>
      <c r="AC41" s="12">
        <v>10.15</v>
      </c>
      <c r="AD41" s="2">
        <f t="shared" si="0"/>
        <v>0.54000000000000092</v>
      </c>
      <c r="AE41" s="165">
        <f t="shared" si="1"/>
        <v>6.6176470588235281E-2</v>
      </c>
    </row>
    <row r="42" spans="1:31" x14ac:dyDescent="0.25">
      <c r="A42" s="349"/>
      <c r="B42" s="354">
        <v>42303</v>
      </c>
      <c r="C42" s="349">
        <v>400</v>
      </c>
      <c r="D42" s="350">
        <v>9.1999999999999993</v>
      </c>
      <c r="E42" s="350">
        <v>0</v>
      </c>
      <c r="F42" s="350">
        <f t="shared" si="3"/>
        <v>3679.9999999999995</v>
      </c>
      <c r="G42" s="354">
        <v>42367</v>
      </c>
      <c r="H42" s="355">
        <v>1000</v>
      </c>
      <c r="I42" s="350">
        <v>9.89</v>
      </c>
      <c r="J42" s="350">
        <v>0.18</v>
      </c>
      <c r="K42" s="350">
        <f t="shared" si="2"/>
        <v>9889.82</v>
      </c>
      <c r="L42" s="349"/>
      <c r="M42" s="349"/>
      <c r="N42" s="349"/>
      <c r="O42" s="2"/>
      <c r="P42" s="103">
        <v>1.08</v>
      </c>
      <c r="Q42" s="103">
        <f t="shared" si="4"/>
        <v>8.4996000000000009</v>
      </c>
      <c r="R42" s="47"/>
      <c r="T42" s="107" t="s">
        <v>108</v>
      </c>
      <c r="U42" s="108" t="s">
        <v>368</v>
      </c>
      <c r="W42" s="114">
        <v>42360</v>
      </c>
      <c r="X42" s="12">
        <v>9.35</v>
      </c>
      <c r="Y42" s="12">
        <v>9.57</v>
      </c>
      <c r="Z42" s="12">
        <v>9.26</v>
      </c>
      <c r="AA42" s="12">
        <v>9.56</v>
      </c>
      <c r="AB42" s="115">
        <v>19475000</v>
      </c>
      <c r="AC42" s="12">
        <v>9.52</v>
      </c>
      <c r="AD42" s="2">
        <f t="shared" si="0"/>
        <v>0.3100000000000005</v>
      </c>
      <c r="AE42" s="165">
        <f t="shared" si="1"/>
        <v>2.5862068965517349E-2</v>
      </c>
    </row>
    <row r="43" spans="1:31" x14ac:dyDescent="0.25">
      <c r="A43" s="349"/>
      <c r="B43" s="369">
        <v>42304</v>
      </c>
      <c r="C43" s="349">
        <v>900</v>
      </c>
      <c r="D43" s="350">
        <v>9.32</v>
      </c>
      <c r="E43" s="350">
        <v>0</v>
      </c>
      <c r="F43" s="350">
        <f t="shared" si="3"/>
        <v>8388</v>
      </c>
      <c r="G43" s="354">
        <v>42398</v>
      </c>
      <c r="H43" s="355">
        <v>100</v>
      </c>
      <c r="I43" s="350">
        <v>7.21</v>
      </c>
      <c r="J43" s="350">
        <v>0.01</v>
      </c>
      <c r="K43" s="350">
        <f t="shared" si="2"/>
        <v>720.99</v>
      </c>
      <c r="L43" s="349"/>
      <c r="M43" s="349"/>
      <c r="N43" s="349"/>
      <c r="O43" s="2"/>
      <c r="P43" s="103">
        <v>1.07</v>
      </c>
      <c r="Q43" s="103">
        <f t="shared" si="4"/>
        <v>8.4209000000000014</v>
      </c>
      <c r="R43" s="103"/>
      <c r="T43" s="107" t="s">
        <v>109</v>
      </c>
      <c r="U43" s="108" t="s">
        <v>369</v>
      </c>
      <c r="W43" s="114">
        <v>42359</v>
      </c>
      <c r="X43" s="12">
        <v>9.35</v>
      </c>
      <c r="Y43" s="12">
        <v>9.43</v>
      </c>
      <c r="Z43" s="12">
        <v>9.23</v>
      </c>
      <c r="AA43" s="12">
        <v>9.32</v>
      </c>
      <c r="AB43" s="115">
        <v>24995300</v>
      </c>
      <c r="AC43" s="12">
        <v>9.2799999999999994</v>
      </c>
      <c r="AD43" s="2">
        <f t="shared" si="0"/>
        <v>0.19999999999999929</v>
      </c>
      <c r="AE43" s="165">
        <f t="shared" si="1"/>
        <v>9.7932535364526618E-3</v>
      </c>
    </row>
    <row r="44" spans="1:31" x14ac:dyDescent="0.25">
      <c r="A44" s="349"/>
      <c r="B44" s="369"/>
      <c r="C44" s="349">
        <v>500</v>
      </c>
      <c r="D44" s="350">
        <v>9.32</v>
      </c>
      <c r="E44" s="350">
        <v>0</v>
      </c>
      <c r="F44" s="350">
        <f t="shared" si="3"/>
        <v>4660</v>
      </c>
      <c r="G44" s="354">
        <v>42403</v>
      </c>
      <c r="H44" s="355">
        <v>100</v>
      </c>
      <c r="I44" s="350">
        <v>7.42</v>
      </c>
      <c r="J44" s="350">
        <v>0.01</v>
      </c>
      <c r="K44" s="350">
        <f t="shared" si="2"/>
        <v>741.99</v>
      </c>
      <c r="L44" s="350"/>
      <c r="M44" s="349"/>
      <c r="N44" s="349"/>
      <c r="O44" s="2"/>
      <c r="P44" s="103">
        <v>1.06</v>
      </c>
      <c r="Q44" s="103">
        <f t="shared" si="4"/>
        <v>8.3422000000000001</v>
      </c>
      <c r="R44" s="103"/>
      <c r="T44" s="107" t="s">
        <v>110</v>
      </c>
      <c r="U44" s="108">
        <v>10.42</v>
      </c>
      <c r="W44" s="114">
        <v>42356</v>
      </c>
      <c r="X44" s="12">
        <v>9.16</v>
      </c>
      <c r="Y44" s="12">
        <v>9.41</v>
      </c>
      <c r="Z44" s="12">
        <v>9.1300000000000008</v>
      </c>
      <c r="AA44" s="12">
        <v>9.23</v>
      </c>
      <c r="AB44" s="115">
        <v>32459700</v>
      </c>
      <c r="AC44" s="12">
        <v>9.19</v>
      </c>
      <c r="AD44" s="2">
        <f t="shared" si="0"/>
        <v>0.27999999999999936</v>
      </c>
      <c r="AE44" s="165">
        <f t="shared" si="1"/>
        <v>8.7815587266739659E-3</v>
      </c>
    </row>
    <row r="45" spans="1:31" x14ac:dyDescent="0.25">
      <c r="A45" s="349"/>
      <c r="B45" s="354">
        <v>42306</v>
      </c>
      <c r="C45" s="349">
        <v>300</v>
      </c>
      <c r="D45" s="350">
        <v>8.7200000000000006</v>
      </c>
      <c r="E45" s="350">
        <v>6.95</v>
      </c>
      <c r="F45" s="350">
        <f t="shared" si="3"/>
        <v>2622.95</v>
      </c>
      <c r="G45" s="354">
        <v>42404</v>
      </c>
      <c r="H45" s="355">
        <v>100</v>
      </c>
      <c r="I45" s="350">
        <v>8.02</v>
      </c>
      <c r="J45" s="350">
        <v>0.01</v>
      </c>
      <c r="K45" s="350">
        <f t="shared" si="2"/>
        <v>801.99</v>
      </c>
      <c r="L45" s="349"/>
      <c r="M45" s="349"/>
      <c r="N45" s="349"/>
      <c r="O45" s="2"/>
      <c r="P45" s="103">
        <v>1.05</v>
      </c>
      <c r="Q45" s="103">
        <f t="shared" si="4"/>
        <v>8.2635000000000005</v>
      </c>
      <c r="R45" s="103"/>
      <c r="T45" s="107" t="s">
        <v>111</v>
      </c>
      <c r="U45" s="108">
        <v>0.70126200000000005</v>
      </c>
      <c r="W45" s="114">
        <v>42355</v>
      </c>
      <c r="X45" s="12">
        <v>9.1999999999999993</v>
      </c>
      <c r="Y45" s="12">
        <v>9.24</v>
      </c>
      <c r="Z45" s="12">
        <v>9.0399999999999991</v>
      </c>
      <c r="AA45" s="12">
        <v>9.15</v>
      </c>
      <c r="AB45" s="115">
        <v>21607600</v>
      </c>
      <c r="AC45" s="12">
        <v>9.11</v>
      </c>
      <c r="AD45" s="2">
        <f t="shared" si="0"/>
        <v>0.20000000000000107</v>
      </c>
      <c r="AE45" s="165">
        <f t="shared" si="1"/>
        <v>-9.7826086956521729E-3</v>
      </c>
    </row>
    <row r="46" spans="1:31" x14ac:dyDescent="0.25">
      <c r="A46" s="349"/>
      <c r="B46" s="354">
        <v>42310</v>
      </c>
      <c r="C46" s="349">
        <v>3400</v>
      </c>
      <c r="D46" s="350">
        <v>9.0299999999999994</v>
      </c>
      <c r="E46" s="350">
        <v>6.95</v>
      </c>
      <c r="F46" s="350">
        <f t="shared" si="3"/>
        <v>30708.949999999997</v>
      </c>
      <c r="G46" s="354">
        <v>42416</v>
      </c>
      <c r="H46" s="355">
        <v>300</v>
      </c>
      <c r="I46" s="350">
        <v>7.98</v>
      </c>
      <c r="J46" s="350">
        <v>0.05</v>
      </c>
      <c r="K46" s="350">
        <f t="shared" si="2"/>
        <v>2393.9499999999998</v>
      </c>
      <c r="L46" s="349"/>
      <c r="M46" s="349"/>
      <c r="N46" s="349"/>
      <c r="O46" s="2"/>
      <c r="P46" s="103">
        <v>1.04</v>
      </c>
      <c r="Q46" s="103">
        <f t="shared" si="4"/>
        <v>8.184800000000001</v>
      </c>
      <c r="R46" s="103"/>
      <c r="T46" s="107" t="s">
        <v>112</v>
      </c>
      <c r="U46" s="109" t="s">
        <v>145</v>
      </c>
      <c r="W46" s="114">
        <v>42354</v>
      </c>
      <c r="X46" s="12">
        <v>9.23</v>
      </c>
      <c r="Y46" s="12">
        <v>9.27</v>
      </c>
      <c r="Z46" s="12">
        <v>9.07</v>
      </c>
      <c r="AA46" s="12">
        <v>9.24</v>
      </c>
      <c r="AB46" s="115">
        <v>25597200</v>
      </c>
      <c r="AC46" s="12">
        <v>9.1999999999999993</v>
      </c>
      <c r="AD46" s="2">
        <f t="shared" si="0"/>
        <v>0.19999999999999929</v>
      </c>
      <c r="AE46" s="165">
        <f t="shared" si="1"/>
        <v>1.3215859030836885E-2</v>
      </c>
    </row>
    <row r="47" spans="1:31" x14ac:dyDescent="0.25">
      <c r="A47" s="349"/>
      <c r="B47" s="354">
        <v>42314</v>
      </c>
      <c r="C47" s="349">
        <v>1400</v>
      </c>
      <c r="D47" s="350">
        <v>9.35</v>
      </c>
      <c r="E47" s="350">
        <v>0</v>
      </c>
      <c r="F47" s="350">
        <f t="shared" si="3"/>
        <v>13090</v>
      </c>
      <c r="G47" s="354"/>
      <c r="H47" s="355"/>
      <c r="I47" s="350"/>
      <c r="J47" s="350"/>
      <c r="K47" s="350"/>
      <c r="L47" s="349"/>
      <c r="M47" s="349"/>
      <c r="N47" s="349"/>
      <c r="O47" s="2"/>
      <c r="P47" s="103">
        <v>1.03</v>
      </c>
      <c r="Q47" s="103">
        <f t="shared" si="4"/>
        <v>8.1060999999999996</v>
      </c>
      <c r="R47" s="103"/>
      <c r="T47" s="107"/>
      <c r="U47" s="108"/>
      <c r="W47" s="114">
        <v>42353</v>
      </c>
      <c r="X47" s="12">
        <v>9.1</v>
      </c>
      <c r="Y47" s="12">
        <v>9.34</v>
      </c>
      <c r="Z47" s="12">
        <v>9.08</v>
      </c>
      <c r="AA47" s="12">
        <v>9.1199999999999992</v>
      </c>
      <c r="AB47" s="115">
        <v>27928900</v>
      </c>
      <c r="AC47" s="12">
        <v>9.08</v>
      </c>
      <c r="AD47" s="2">
        <f t="shared" si="0"/>
        <v>0.25999999999999979</v>
      </c>
      <c r="AE47" s="165">
        <f t="shared" si="1"/>
        <v>1.3392857142856984E-2</v>
      </c>
    </row>
    <row r="48" spans="1:31" x14ac:dyDescent="0.25">
      <c r="A48" s="349"/>
      <c r="B48" s="354">
        <v>42324</v>
      </c>
      <c r="C48" s="363">
        <v>3700</v>
      </c>
      <c r="D48" s="350">
        <v>8.2899999999999991</v>
      </c>
      <c r="E48" s="350">
        <v>0</v>
      </c>
      <c r="F48" s="350">
        <f t="shared" si="3"/>
        <v>30672.999999999996</v>
      </c>
      <c r="G48" s="354"/>
      <c r="H48" s="355"/>
      <c r="I48" s="350"/>
      <c r="J48" s="350"/>
      <c r="K48" s="350"/>
      <c r="L48" s="349"/>
      <c r="M48" s="349"/>
      <c r="N48" s="349"/>
      <c r="O48" s="2"/>
      <c r="P48" s="103">
        <v>1.02</v>
      </c>
      <c r="Q48" s="103">
        <f t="shared" si="4"/>
        <v>8.0274000000000001</v>
      </c>
      <c r="R48" s="103"/>
      <c r="T48" s="107" t="s">
        <v>113</v>
      </c>
      <c r="U48" s="108" t="s">
        <v>370</v>
      </c>
      <c r="W48" s="114">
        <v>42352</v>
      </c>
      <c r="X48" s="12">
        <v>8.84</v>
      </c>
      <c r="Y48" s="12">
        <v>9.0500000000000007</v>
      </c>
      <c r="Z48" s="12">
        <v>8.68</v>
      </c>
      <c r="AA48" s="12">
        <v>9</v>
      </c>
      <c r="AB48" s="115">
        <v>36698700</v>
      </c>
      <c r="AC48" s="12">
        <v>8.9600000000000009</v>
      </c>
      <c r="AD48" s="2">
        <f t="shared" si="0"/>
        <v>0.37000000000000099</v>
      </c>
      <c r="AE48" s="165">
        <f t="shared" si="1"/>
        <v>1.5873015873016039E-2</v>
      </c>
    </row>
    <row r="49" spans="1:31" x14ac:dyDescent="0.25">
      <c r="A49" s="349"/>
      <c r="B49" s="354">
        <v>42324</v>
      </c>
      <c r="C49" s="363">
        <v>600</v>
      </c>
      <c r="D49" s="350">
        <v>8.14</v>
      </c>
      <c r="E49" s="350">
        <v>0</v>
      </c>
      <c r="F49" s="350">
        <f t="shared" si="3"/>
        <v>4884</v>
      </c>
      <c r="G49" s="354"/>
      <c r="H49" s="355"/>
      <c r="I49" s="350"/>
      <c r="J49" s="350"/>
      <c r="K49" s="350"/>
      <c r="L49" s="349"/>
      <c r="M49" s="349"/>
      <c r="N49" s="349"/>
      <c r="O49" s="2"/>
      <c r="P49" s="103">
        <v>1.01</v>
      </c>
      <c r="Q49" s="103">
        <f t="shared" si="4"/>
        <v>7.9487000000000005</v>
      </c>
      <c r="R49" s="103"/>
      <c r="T49" s="107" t="s">
        <v>114</v>
      </c>
      <c r="U49" s="108" t="s">
        <v>371</v>
      </c>
      <c r="W49" s="114">
        <v>42349</v>
      </c>
      <c r="X49" s="12">
        <v>8.98</v>
      </c>
      <c r="Y49" s="12">
        <v>9.02</v>
      </c>
      <c r="Z49" s="12">
        <v>8.75</v>
      </c>
      <c r="AA49" s="12">
        <v>8.86</v>
      </c>
      <c r="AB49" s="115">
        <v>31180200</v>
      </c>
      <c r="AC49" s="12">
        <v>8.82</v>
      </c>
      <c r="AD49" s="2">
        <f t="shared" si="0"/>
        <v>0.26999999999999957</v>
      </c>
      <c r="AE49" s="165">
        <f t="shared" si="1"/>
        <v>-3.3953997809419545E-2</v>
      </c>
    </row>
    <row r="50" spans="1:31" x14ac:dyDescent="0.25">
      <c r="A50" s="349"/>
      <c r="B50" s="354">
        <v>42335</v>
      </c>
      <c r="C50" s="349">
        <v>500</v>
      </c>
      <c r="D50" s="350">
        <v>9.06</v>
      </c>
      <c r="E50" s="350">
        <v>0</v>
      </c>
      <c r="F50" s="350">
        <f t="shared" si="3"/>
        <v>4530</v>
      </c>
      <c r="G50" s="349"/>
      <c r="H50" s="355"/>
      <c r="I50" s="350"/>
      <c r="J50" s="350"/>
      <c r="K50" s="350"/>
      <c r="L50" s="349"/>
      <c r="M50" s="349"/>
      <c r="N50" s="349"/>
      <c r="O50" s="2"/>
      <c r="P50" s="103">
        <v>1</v>
      </c>
      <c r="Q50" s="103">
        <f t="shared" si="4"/>
        <v>7.87</v>
      </c>
      <c r="R50" s="103"/>
      <c r="T50" s="107" t="s">
        <v>115</v>
      </c>
      <c r="U50" s="110">
        <v>30954007</v>
      </c>
      <c r="W50" s="114">
        <v>42348</v>
      </c>
      <c r="X50" s="12">
        <v>8.7899999999999991</v>
      </c>
      <c r="Y50" s="12">
        <v>9.34</v>
      </c>
      <c r="Z50" s="12">
        <v>8.74</v>
      </c>
      <c r="AA50" s="12">
        <v>9.17</v>
      </c>
      <c r="AB50" s="115">
        <v>36478500</v>
      </c>
      <c r="AC50" s="12">
        <v>9.1300000000000008</v>
      </c>
      <c r="AD50" s="2">
        <f t="shared" si="0"/>
        <v>0.59999999999999964</v>
      </c>
      <c r="AE50" s="165">
        <f t="shared" si="1"/>
        <v>4.9425287356322123E-2</v>
      </c>
    </row>
    <row r="51" spans="1:31" x14ac:dyDescent="0.25">
      <c r="A51" s="349"/>
      <c r="B51" s="354">
        <v>42345</v>
      </c>
      <c r="C51" s="349">
        <v>200</v>
      </c>
      <c r="D51" s="350">
        <v>9.35</v>
      </c>
      <c r="E51" s="350">
        <v>0</v>
      </c>
      <c r="F51" s="350">
        <f t="shared" si="3"/>
        <v>1870</v>
      </c>
      <c r="G51" s="349"/>
      <c r="H51" s="355"/>
      <c r="I51" s="350"/>
      <c r="J51" s="350"/>
      <c r="K51" s="350"/>
      <c r="L51" s="349"/>
      <c r="M51" s="349"/>
      <c r="N51" s="349"/>
      <c r="O51" s="2"/>
      <c r="P51" s="103">
        <v>0.99</v>
      </c>
      <c r="Q51" s="103">
        <f t="shared" si="4"/>
        <v>7.7912999999999997</v>
      </c>
      <c r="R51" s="103"/>
      <c r="T51" s="107" t="s">
        <v>118</v>
      </c>
      <c r="U51" s="110">
        <v>33592900</v>
      </c>
      <c r="W51" s="114">
        <v>42347</v>
      </c>
      <c r="X51" s="12">
        <v>8.6300000000000008</v>
      </c>
      <c r="Y51" s="12">
        <v>8.7899999999999991</v>
      </c>
      <c r="Z51" s="12">
        <v>8.5</v>
      </c>
      <c r="AA51" s="12">
        <v>8.74</v>
      </c>
      <c r="AB51" s="115">
        <v>28194200</v>
      </c>
      <c r="AC51" s="12">
        <v>8.6999999999999993</v>
      </c>
      <c r="AD51" s="2">
        <f t="shared" si="0"/>
        <v>0.28999999999999915</v>
      </c>
      <c r="AE51" s="165">
        <f t="shared" si="1"/>
        <v>2.5943396226415061E-2</v>
      </c>
    </row>
    <row r="52" spans="1:31" x14ac:dyDescent="0.25">
      <c r="A52" s="349"/>
      <c r="B52" s="354">
        <v>42347</v>
      </c>
      <c r="C52" s="349">
        <v>1500</v>
      </c>
      <c r="D52" s="350">
        <v>9.2759999999999998</v>
      </c>
      <c r="E52" s="350">
        <v>0</v>
      </c>
      <c r="F52" s="350">
        <f t="shared" si="3"/>
        <v>13914</v>
      </c>
      <c r="G52" s="349"/>
      <c r="H52" s="355"/>
      <c r="I52" s="350"/>
      <c r="J52" s="350"/>
      <c r="K52" s="350"/>
      <c r="L52" s="349"/>
      <c r="M52" s="349"/>
      <c r="N52" s="349"/>
      <c r="O52" s="2"/>
      <c r="P52" s="103">
        <v>0.98</v>
      </c>
      <c r="Q52" s="103">
        <f t="shared" si="4"/>
        <v>7.7126000000000001</v>
      </c>
      <c r="R52" s="103"/>
      <c r="T52" s="107" t="s">
        <v>116</v>
      </c>
      <c r="U52" s="108" t="s">
        <v>372</v>
      </c>
      <c r="W52" s="114">
        <v>42346</v>
      </c>
      <c r="X52" s="12">
        <v>8.81</v>
      </c>
      <c r="Y52" s="12">
        <v>8.82</v>
      </c>
      <c r="Z52" s="12">
        <v>8.5</v>
      </c>
      <c r="AA52" s="12">
        <v>8.52</v>
      </c>
      <c r="AB52" s="115">
        <v>48896600</v>
      </c>
      <c r="AC52" s="12">
        <v>8.48</v>
      </c>
      <c r="AD52" s="2">
        <f t="shared" si="0"/>
        <v>0.32000000000000028</v>
      </c>
      <c r="AE52" s="165">
        <f t="shared" si="1"/>
        <v>-5.7777777777777706E-2</v>
      </c>
    </row>
    <row r="53" spans="1:31" x14ac:dyDescent="0.25">
      <c r="A53" s="349"/>
      <c r="B53" s="354">
        <v>42348</v>
      </c>
      <c r="C53" s="349">
        <v>100</v>
      </c>
      <c r="D53" s="350">
        <v>8.9499999999999993</v>
      </c>
      <c r="E53" s="350">
        <v>0</v>
      </c>
      <c r="F53" s="350">
        <f t="shared" si="3"/>
        <v>894.99999999999989</v>
      </c>
      <c r="G53" s="349"/>
      <c r="H53" s="355"/>
      <c r="I53" s="350"/>
      <c r="J53" s="350"/>
      <c r="K53" s="350"/>
      <c r="L53" s="349"/>
      <c r="M53" s="349"/>
      <c r="N53" s="349"/>
      <c r="O53" s="2"/>
      <c r="P53" s="103">
        <v>0.97</v>
      </c>
      <c r="Q53" s="103">
        <f t="shared" si="4"/>
        <v>7.6338999999999997</v>
      </c>
      <c r="R53" s="103"/>
      <c r="T53" s="107" t="s">
        <v>119</v>
      </c>
      <c r="U53" s="108" t="s">
        <v>145</v>
      </c>
      <c r="W53" s="114">
        <v>42345</v>
      </c>
      <c r="X53" s="12">
        <v>9.4600000000000009</v>
      </c>
      <c r="Y53" s="12">
        <v>9.4700000000000006</v>
      </c>
      <c r="Z53" s="12">
        <v>8.9499999999999993</v>
      </c>
      <c r="AA53" s="12">
        <v>9.0399999999999991</v>
      </c>
      <c r="AB53" s="115">
        <v>37444700</v>
      </c>
      <c r="AC53" s="12">
        <v>9</v>
      </c>
      <c r="AD53" s="2">
        <f t="shared" si="0"/>
        <v>0.52000000000000135</v>
      </c>
      <c r="AE53" s="165">
        <f t="shared" si="1"/>
        <v>-3.2258064516129115E-2</v>
      </c>
    </row>
    <row r="54" spans="1:31" x14ac:dyDescent="0.25">
      <c r="A54" s="349"/>
      <c r="B54" s="354">
        <v>42353</v>
      </c>
      <c r="C54" s="349">
        <v>100</v>
      </c>
      <c r="D54" s="350">
        <v>9.2200000000000006</v>
      </c>
      <c r="E54" s="350">
        <v>0</v>
      </c>
      <c r="F54" s="350">
        <f t="shared" si="3"/>
        <v>922.00000000000011</v>
      </c>
      <c r="G54" s="349"/>
      <c r="H54" s="355"/>
      <c r="I54" s="350"/>
      <c r="J54" s="350"/>
      <c r="K54" s="350"/>
      <c r="L54" s="349"/>
      <c r="M54" s="349"/>
      <c r="N54" s="349"/>
      <c r="O54" s="2"/>
      <c r="P54" s="103">
        <v>0.96</v>
      </c>
      <c r="Q54" s="103">
        <f t="shared" si="4"/>
        <v>7.5552000000000001</v>
      </c>
      <c r="R54" s="103"/>
      <c r="T54" s="107" t="s">
        <v>120</v>
      </c>
      <c r="U54" s="108">
        <v>-0.31</v>
      </c>
      <c r="W54" s="114">
        <v>42342</v>
      </c>
      <c r="X54" s="12">
        <v>9.0299999999999994</v>
      </c>
      <c r="Y54" s="12">
        <v>9.3800000000000008</v>
      </c>
      <c r="Z54" s="12">
        <v>9</v>
      </c>
      <c r="AA54" s="12">
        <v>9.34</v>
      </c>
      <c r="AB54" s="115">
        <v>29518700</v>
      </c>
      <c r="AC54" s="12">
        <v>9.3000000000000007</v>
      </c>
      <c r="AD54" s="2">
        <f t="shared" si="0"/>
        <v>0.38000000000000078</v>
      </c>
      <c r="AE54" s="165">
        <f t="shared" si="1"/>
        <v>3.9106145251396773E-2</v>
      </c>
    </row>
    <row r="55" spans="1:31" x14ac:dyDescent="0.25">
      <c r="A55" s="349"/>
      <c r="B55" s="354">
        <v>42354</v>
      </c>
      <c r="C55" s="349">
        <v>500</v>
      </c>
      <c r="D55" s="350">
        <v>8.85</v>
      </c>
      <c r="E55" s="350">
        <v>0</v>
      </c>
      <c r="F55" s="350">
        <f t="shared" si="3"/>
        <v>4425</v>
      </c>
      <c r="G55" s="349"/>
      <c r="H55" s="355"/>
      <c r="I55" s="350"/>
      <c r="J55" s="350"/>
      <c r="K55" s="350"/>
      <c r="L55" s="349"/>
      <c r="M55" s="349"/>
      <c r="N55" s="349"/>
      <c r="O55" s="2"/>
      <c r="P55" s="103">
        <v>0.95</v>
      </c>
      <c r="Q55" s="103">
        <f t="shared" si="4"/>
        <v>7.4764999999999997</v>
      </c>
      <c r="R55" s="103"/>
      <c r="T55" s="107" t="s">
        <v>117</v>
      </c>
      <c r="U55" s="108" t="s">
        <v>373</v>
      </c>
      <c r="W55" s="114">
        <v>42341</v>
      </c>
      <c r="X55" s="12">
        <v>9.36</v>
      </c>
      <c r="Y55" s="12">
        <v>9.4</v>
      </c>
      <c r="Z55" s="12">
        <v>8.91</v>
      </c>
      <c r="AA55" s="12">
        <v>8.99</v>
      </c>
      <c r="AB55" s="115">
        <v>23322800</v>
      </c>
      <c r="AC55" s="12">
        <v>8.9499999999999993</v>
      </c>
      <c r="AD55" s="2">
        <f t="shared" si="0"/>
        <v>0.49000000000000021</v>
      </c>
      <c r="AE55" s="165">
        <f t="shared" si="1"/>
        <v>-3.8668098818474883E-2</v>
      </c>
    </row>
    <row r="56" spans="1:31" x14ac:dyDescent="0.25">
      <c r="A56" s="349"/>
      <c r="B56" s="354">
        <v>42377</v>
      </c>
      <c r="C56" s="349">
        <v>400</v>
      </c>
      <c r="D56" s="350">
        <v>8.0399999999999991</v>
      </c>
      <c r="E56" s="350">
        <v>0</v>
      </c>
      <c r="F56" s="350">
        <f t="shared" si="3"/>
        <v>3215.9999999999995</v>
      </c>
      <c r="G56" s="349"/>
      <c r="H56" s="349"/>
      <c r="I56" s="350"/>
      <c r="J56" s="350"/>
      <c r="K56" s="350"/>
      <c r="L56" s="349"/>
      <c r="M56" s="349"/>
      <c r="N56" s="349"/>
      <c r="O56" s="2"/>
      <c r="P56" s="103">
        <v>0.94</v>
      </c>
      <c r="Q56" s="103">
        <f t="shared" si="4"/>
        <v>7.3977999999999993</v>
      </c>
      <c r="R56" s="103"/>
      <c r="W56" s="114">
        <v>42340</v>
      </c>
      <c r="X56" s="12">
        <v>9.42</v>
      </c>
      <c r="Y56" s="12">
        <v>9.57</v>
      </c>
      <c r="Z56" s="12">
        <v>9.31</v>
      </c>
      <c r="AA56" s="12">
        <v>9.35</v>
      </c>
      <c r="AB56" s="115">
        <v>25605400</v>
      </c>
      <c r="AC56" s="12">
        <v>9.31</v>
      </c>
      <c r="AD56" s="2">
        <f t="shared" si="0"/>
        <v>0.25999999999999979</v>
      </c>
      <c r="AE56" s="165">
        <f t="shared" si="1"/>
        <v>-1.3771186440677874E-2</v>
      </c>
    </row>
    <row r="57" spans="1:31" x14ac:dyDescent="0.25">
      <c r="A57" s="349"/>
      <c r="B57" s="354">
        <v>42389</v>
      </c>
      <c r="C57" s="349">
        <v>100</v>
      </c>
      <c r="D57" s="350">
        <v>6.45</v>
      </c>
      <c r="E57" s="350">
        <v>0</v>
      </c>
      <c r="F57" s="350">
        <f t="shared" si="3"/>
        <v>645</v>
      </c>
      <c r="G57" s="349"/>
      <c r="H57" s="349"/>
      <c r="I57" s="350"/>
      <c r="J57" s="350"/>
      <c r="K57" s="350"/>
      <c r="L57" s="349"/>
      <c r="M57" s="349"/>
      <c r="N57" s="349"/>
      <c r="O57" s="2"/>
      <c r="P57" s="103">
        <v>0.93</v>
      </c>
      <c r="Q57" s="103">
        <f t="shared" si="4"/>
        <v>7.3191000000000006</v>
      </c>
      <c r="R57" s="103"/>
      <c r="W57" s="114">
        <v>42339</v>
      </c>
      <c r="X57" s="12">
        <v>9.4600000000000009</v>
      </c>
      <c r="Y57" s="12">
        <v>9.6</v>
      </c>
      <c r="Z57" s="12">
        <v>9.41</v>
      </c>
      <c r="AA57" s="12">
        <v>9.48</v>
      </c>
      <c r="AB57" s="115">
        <v>25546900</v>
      </c>
      <c r="AC57" s="12">
        <v>9.44</v>
      </c>
      <c r="AD57" s="2">
        <f t="shared" si="0"/>
        <v>0.1899999999999995</v>
      </c>
      <c r="AE57" s="165">
        <f t="shared" si="1"/>
        <v>1.2875536480686511E-2</v>
      </c>
    </row>
    <row r="58" spans="1:31" x14ac:dyDescent="0.25">
      <c r="A58" s="349"/>
      <c r="B58" s="354">
        <v>42402</v>
      </c>
      <c r="C58" s="349">
        <v>100</v>
      </c>
      <c r="D58" s="350">
        <v>6.95</v>
      </c>
      <c r="E58" s="350">
        <v>0</v>
      </c>
      <c r="F58" s="350">
        <f t="shared" si="3"/>
        <v>695</v>
      </c>
      <c r="G58" s="349"/>
      <c r="H58" s="349"/>
      <c r="I58" s="350"/>
      <c r="J58" s="350"/>
      <c r="K58" s="350"/>
      <c r="L58" s="349"/>
      <c r="M58" s="349"/>
      <c r="N58" s="349"/>
      <c r="O58" s="2"/>
      <c r="P58" s="103">
        <v>0.92</v>
      </c>
      <c r="Q58" s="103">
        <f t="shared" si="4"/>
        <v>7.2404000000000002</v>
      </c>
      <c r="R58" s="103"/>
      <c r="W58" s="114">
        <v>42338</v>
      </c>
      <c r="X58" s="12">
        <v>9.33</v>
      </c>
      <c r="Y58" s="12">
        <v>9.51</v>
      </c>
      <c r="Z58" s="12">
        <v>9.31</v>
      </c>
      <c r="AA58" s="12">
        <v>9.36</v>
      </c>
      <c r="AB58" s="115">
        <v>24074800</v>
      </c>
      <c r="AC58" s="12">
        <v>9.32</v>
      </c>
      <c r="AD58" s="2">
        <f t="shared" si="0"/>
        <v>0.19999999999999929</v>
      </c>
      <c r="AE58" s="165">
        <f t="shared" si="1"/>
        <v>4.3103448275862988E-3</v>
      </c>
    </row>
    <row r="59" spans="1:31" x14ac:dyDescent="0.25">
      <c r="A59" s="349"/>
      <c r="B59" s="349"/>
      <c r="C59" s="349"/>
      <c r="D59" s="350"/>
      <c r="E59" s="350"/>
      <c r="F59" s="350"/>
      <c r="G59" s="349"/>
      <c r="H59" s="349"/>
      <c r="I59" s="350"/>
      <c r="J59" s="350"/>
      <c r="K59" s="350"/>
      <c r="L59" s="349"/>
      <c r="M59" s="349"/>
      <c r="N59" s="349"/>
      <c r="O59" s="2"/>
      <c r="P59" s="103">
        <v>0.91</v>
      </c>
      <c r="Q59" s="103">
        <f t="shared" si="4"/>
        <v>7.1617000000000006</v>
      </c>
      <c r="R59" s="103"/>
      <c r="W59" s="114">
        <v>42335</v>
      </c>
      <c r="X59" s="12">
        <v>9.32</v>
      </c>
      <c r="Y59" s="12">
        <v>9.4600000000000009</v>
      </c>
      <c r="Z59" s="12">
        <v>9.3000000000000007</v>
      </c>
      <c r="AA59" s="12">
        <v>9.32</v>
      </c>
      <c r="AB59" s="115">
        <v>9841100</v>
      </c>
      <c r="AC59" s="12">
        <v>9.2799999999999994</v>
      </c>
      <c r="AD59" s="2">
        <f t="shared" si="0"/>
        <v>0.16000000000000014</v>
      </c>
      <c r="AE59" s="165">
        <f t="shared" si="1"/>
        <v>-9.605122732123772E-3</v>
      </c>
    </row>
    <row r="60" spans="1:31" x14ac:dyDescent="0.25">
      <c r="A60" s="349"/>
      <c r="B60" s="349"/>
      <c r="C60" s="349"/>
      <c r="D60" s="350"/>
      <c r="E60" s="350"/>
      <c r="F60" s="350"/>
      <c r="G60" s="349"/>
      <c r="H60" s="349"/>
      <c r="I60" s="350"/>
      <c r="J60" s="350"/>
      <c r="K60" s="350"/>
      <c r="L60" s="349"/>
      <c r="M60" s="349"/>
      <c r="N60" s="349"/>
      <c r="O60" s="2"/>
      <c r="P60" s="103">
        <v>0.9</v>
      </c>
      <c r="Q60" s="103">
        <f t="shared" si="4"/>
        <v>7.0830000000000002</v>
      </c>
      <c r="R60" s="103"/>
      <c r="W60" s="114">
        <v>42333</v>
      </c>
      <c r="X60" s="12">
        <v>9.0500000000000007</v>
      </c>
      <c r="Y60" s="12">
        <v>9.4499999999999993</v>
      </c>
      <c r="Z60" s="12">
        <v>9.0299999999999994</v>
      </c>
      <c r="AA60" s="12">
        <v>9.41</v>
      </c>
      <c r="AB60" s="115">
        <v>25664100</v>
      </c>
      <c r="AC60" s="12">
        <v>9.3699999999999992</v>
      </c>
      <c r="AD60" s="2">
        <f t="shared" si="0"/>
        <v>0.41999999999999993</v>
      </c>
      <c r="AE60" s="165">
        <f t="shared" si="1"/>
        <v>3.535911602209918E-2</v>
      </c>
    </row>
    <row r="61" spans="1:31" x14ac:dyDescent="0.25">
      <c r="A61" s="4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123</v>
      </c>
      <c r="N61" s="349"/>
      <c r="W61" s="114">
        <v>42332</v>
      </c>
      <c r="X61" s="12">
        <v>9.07</v>
      </c>
      <c r="Y61" s="12">
        <v>9.1999999999999993</v>
      </c>
      <c r="Z61" s="12">
        <v>8.9700000000000006</v>
      </c>
      <c r="AA61" s="12">
        <v>9.09</v>
      </c>
      <c r="AB61" s="115">
        <v>26986300</v>
      </c>
      <c r="AC61" s="12">
        <v>9.0500000000000007</v>
      </c>
      <c r="AD61" s="2">
        <f t="shared" si="0"/>
        <v>0.22999999999999865</v>
      </c>
      <c r="AE61" s="165">
        <f t="shared" si="1"/>
        <v>2.2148394241419123E-3</v>
      </c>
    </row>
    <row r="62" spans="1:31" x14ac:dyDescent="0.25">
      <c r="A62" s="349"/>
      <c r="B62" s="349"/>
      <c r="C62" s="349"/>
      <c r="D62" s="350"/>
      <c r="E62" s="350"/>
      <c r="F62" s="350"/>
      <c r="G62" s="349"/>
      <c r="H62" s="349"/>
      <c r="I62" s="350"/>
      <c r="J62" s="350"/>
      <c r="K62" s="350"/>
      <c r="L62" s="349"/>
      <c r="M62" s="349"/>
      <c r="N62" s="349"/>
      <c r="W62" s="114">
        <v>42331</v>
      </c>
      <c r="X62" s="12">
        <v>9.0500000000000007</v>
      </c>
      <c r="Y62" s="12">
        <v>9.24</v>
      </c>
      <c r="Z62" s="12">
        <v>8.8699999999999992</v>
      </c>
      <c r="AA62" s="12">
        <v>9.07</v>
      </c>
      <c r="AB62" s="115">
        <v>44220900</v>
      </c>
      <c r="AC62" s="12">
        <v>9.0299999999999994</v>
      </c>
      <c r="AD62" s="2">
        <f t="shared" si="0"/>
        <v>0.37000000000000099</v>
      </c>
      <c r="AE62" s="165">
        <f t="shared" si="1"/>
        <v>4.3930635838150156E-2</v>
      </c>
    </row>
    <row r="63" spans="1:31" x14ac:dyDescent="0.25">
      <c r="A63" s="349"/>
      <c r="B63" s="349"/>
      <c r="C63" s="349"/>
      <c r="D63" s="350"/>
      <c r="E63" s="350"/>
      <c r="F63" s="350"/>
      <c r="G63" s="349"/>
      <c r="H63" s="349"/>
      <c r="I63" s="350"/>
      <c r="J63" s="350"/>
      <c r="K63" s="350"/>
      <c r="L63" s="349"/>
      <c r="M63" s="349"/>
      <c r="N63" s="349"/>
      <c r="W63" s="114">
        <v>42328</v>
      </c>
      <c r="X63" s="12">
        <v>8.81</v>
      </c>
      <c r="Y63" s="12">
        <v>8.9</v>
      </c>
      <c r="Z63" s="12">
        <v>8.59</v>
      </c>
      <c r="AA63" s="12">
        <v>8.69</v>
      </c>
      <c r="AB63" s="115">
        <v>24866400</v>
      </c>
      <c r="AC63" s="12">
        <v>8.65</v>
      </c>
      <c r="AD63" s="2">
        <f t="shared" si="0"/>
        <v>0.3100000000000005</v>
      </c>
      <c r="AE63" s="165">
        <f t="shared" si="1"/>
        <v>-8.0275229357797961E-3</v>
      </c>
    </row>
    <row r="64" spans="1:31" x14ac:dyDescent="0.25">
      <c r="A64" s="349"/>
      <c r="B64" s="357" t="s">
        <v>122</v>
      </c>
      <c r="C64" s="357" t="s">
        <v>189</v>
      </c>
      <c r="D64" s="358" t="s">
        <v>188</v>
      </c>
      <c r="E64" s="359" t="s">
        <v>190</v>
      </c>
      <c r="F64" s="359" t="s">
        <v>65</v>
      </c>
      <c r="G64" s="361" t="s">
        <v>195</v>
      </c>
      <c r="H64" s="361" t="s">
        <v>92</v>
      </c>
      <c r="I64" s="361" t="s">
        <v>203</v>
      </c>
      <c r="J64" s="350"/>
      <c r="K64" s="350"/>
      <c r="L64" s="349"/>
      <c r="M64" s="349"/>
      <c r="N64" s="349"/>
      <c r="W64" s="114">
        <v>42327</v>
      </c>
      <c r="X64" s="12">
        <v>8.51</v>
      </c>
      <c r="Y64" s="12">
        <v>8.7799999999999994</v>
      </c>
      <c r="Z64" s="12">
        <v>8.5</v>
      </c>
      <c r="AA64" s="12">
        <v>8.76</v>
      </c>
      <c r="AB64" s="115">
        <v>32517600</v>
      </c>
      <c r="AC64" s="12">
        <v>8.7200000000000006</v>
      </c>
      <c r="AD64" s="2">
        <f t="shared" si="0"/>
        <v>0.27999999999999936</v>
      </c>
      <c r="AE64" s="165">
        <f t="shared" si="1"/>
        <v>4.1816009557945177E-2</v>
      </c>
    </row>
    <row r="65" spans="1:31" x14ac:dyDescent="0.25">
      <c r="A65" s="349"/>
      <c r="B65" s="354">
        <v>42304</v>
      </c>
      <c r="C65" s="349">
        <v>3700</v>
      </c>
      <c r="D65" s="350">
        <v>9.84</v>
      </c>
      <c r="E65" s="350">
        <v>8.73</v>
      </c>
      <c r="F65" s="350">
        <f>C65*(E65-D65)</f>
        <v>-4106.9999999999982</v>
      </c>
      <c r="G65" s="350">
        <f>D65*C65</f>
        <v>36408</v>
      </c>
      <c r="H65" s="364">
        <f>(E65-D65)/D65</f>
        <v>-0.11280487804878044</v>
      </c>
      <c r="I65" s="350"/>
      <c r="J65" s="350"/>
      <c r="K65" s="350"/>
      <c r="L65" s="349"/>
      <c r="M65" s="349"/>
      <c r="N65" s="349"/>
      <c r="W65" s="114">
        <v>42326</v>
      </c>
      <c r="X65" s="12">
        <v>8.31</v>
      </c>
      <c r="Y65" s="12">
        <v>8.41</v>
      </c>
      <c r="Z65" s="12">
        <v>8.2200000000000006</v>
      </c>
      <c r="AA65" s="12">
        <v>8.41</v>
      </c>
      <c r="AB65" s="115">
        <v>23783900</v>
      </c>
      <c r="AC65" s="12">
        <v>8.3699999999999992</v>
      </c>
      <c r="AD65" s="2">
        <f t="shared" si="0"/>
        <v>0.1899999999999995</v>
      </c>
      <c r="AE65" s="165">
        <f t="shared" si="1"/>
        <v>1.7010935601457833E-2</v>
      </c>
    </row>
    <row r="66" spans="1:31" x14ac:dyDescent="0.25">
      <c r="A66" s="349"/>
      <c r="B66" s="354">
        <v>42305</v>
      </c>
      <c r="C66" s="349">
        <v>3700</v>
      </c>
      <c r="D66" s="350">
        <v>9.76</v>
      </c>
      <c r="E66" s="350">
        <v>8.99</v>
      </c>
      <c r="F66" s="350">
        <f t="shared" ref="F66:F83" si="5">C66*(E66-D66)</f>
        <v>-2848.9999999999986</v>
      </c>
      <c r="G66" s="350">
        <f t="shared" ref="G66:G83" si="6">D66*C66</f>
        <v>36112</v>
      </c>
      <c r="H66" s="364">
        <f t="shared" ref="H66:H72" si="7">(E66-D66)/D66</f>
        <v>-7.8893442622950782E-2</v>
      </c>
      <c r="I66" s="350"/>
      <c r="J66" s="350"/>
      <c r="K66" s="350"/>
      <c r="L66" s="349"/>
      <c r="M66" s="349"/>
      <c r="N66" s="349"/>
      <c r="W66" s="114">
        <v>42325</v>
      </c>
      <c r="X66" s="12">
        <v>8.33</v>
      </c>
      <c r="Y66" s="12">
        <v>8.4600000000000009</v>
      </c>
      <c r="Z66" s="12">
        <v>8.24</v>
      </c>
      <c r="AA66" s="12">
        <v>8.27</v>
      </c>
      <c r="AB66" s="115">
        <v>34662800</v>
      </c>
      <c r="AC66" s="12">
        <v>8.23</v>
      </c>
      <c r="AD66" s="2">
        <f t="shared" si="0"/>
        <v>0.22000000000000064</v>
      </c>
      <c r="AE66" s="165">
        <f t="shared" si="1"/>
        <v>-2.4242424242423288E-3</v>
      </c>
    </row>
    <row r="67" spans="1:31" x14ac:dyDescent="0.25">
      <c r="A67" s="349"/>
      <c r="B67" s="354">
        <v>42311</v>
      </c>
      <c r="C67" s="349">
        <v>3700</v>
      </c>
      <c r="D67" s="350">
        <v>9.73</v>
      </c>
      <c r="E67" s="350">
        <v>9.3800000000000008</v>
      </c>
      <c r="F67" s="350">
        <f t="shared" si="5"/>
        <v>-1294.9999999999986</v>
      </c>
      <c r="G67" s="350">
        <f t="shared" si="6"/>
        <v>36001</v>
      </c>
      <c r="H67" s="364">
        <f t="shared" si="7"/>
        <v>-3.5971223021582698E-2</v>
      </c>
      <c r="I67" s="350"/>
      <c r="J67" s="350"/>
      <c r="K67" s="350"/>
      <c r="L67" s="349"/>
      <c r="M67" s="349"/>
      <c r="N67" s="349"/>
      <c r="W67" s="114">
        <v>42324</v>
      </c>
      <c r="X67" s="12">
        <v>7.97</v>
      </c>
      <c r="Y67" s="12">
        <v>8.32</v>
      </c>
      <c r="Z67" s="12">
        <v>7.96</v>
      </c>
      <c r="AA67" s="12">
        <v>8.2899999999999991</v>
      </c>
      <c r="AB67" s="115">
        <v>33738600</v>
      </c>
      <c r="AC67" s="12">
        <v>8.25</v>
      </c>
      <c r="AD67" s="2">
        <f t="shared" si="0"/>
        <v>0.36000000000000032</v>
      </c>
      <c r="AE67" s="165">
        <f t="shared" si="1"/>
        <v>3.6432160804020119E-2</v>
      </c>
    </row>
    <row r="68" spans="1:31" x14ac:dyDescent="0.25">
      <c r="A68" s="349"/>
      <c r="B68" s="354">
        <v>42320</v>
      </c>
      <c r="C68" s="349">
        <v>7400</v>
      </c>
      <c r="D68" s="350">
        <v>9.01</v>
      </c>
      <c r="E68" s="350">
        <v>7.82</v>
      </c>
      <c r="F68" s="350">
        <f t="shared" si="5"/>
        <v>-8805.9999999999964</v>
      </c>
      <c r="G68" s="350">
        <f t="shared" si="6"/>
        <v>66674</v>
      </c>
      <c r="H68" s="364">
        <f t="shared" si="7"/>
        <v>-0.13207547169811315</v>
      </c>
      <c r="I68" s="350"/>
      <c r="J68" s="350"/>
      <c r="K68" s="350"/>
      <c r="L68" s="349"/>
      <c r="M68" s="349"/>
      <c r="N68" s="349"/>
      <c r="W68" s="114">
        <v>42321</v>
      </c>
      <c r="X68" s="12">
        <v>7.85</v>
      </c>
      <c r="Y68" s="12">
        <v>8.06</v>
      </c>
      <c r="Z68" s="12">
        <v>7.82</v>
      </c>
      <c r="AA68" s="12">
        <v>7.99</v>
      </c>
      <c r="AB68" s="115">
        <v>26216900</v>
      </c>
      <c r="AC68" s="12">
        <v>7.96</v>
      </c>
      <c r="AD68" s="2">
        <f>Y68-Z68</f>
        <v>0.24000000000000021</v>
      </c>
      <c r="AE68" s="165" t="e">
        <f>AC68/AC69-1</f>
        <v>#DIV/0!</v>
      </c>
    </row>
    <row r="69" spans="1:31" x14ac:dyDescent="0.25">
      <c r="A69" s="349"/>
      <c r="B69" s="354">
        <v>42320</v>
      </c>
      <c r="C69" s="349">
        <v>8000</v>
      </c>
      <c r="D69" s="350">
        <v>8.94</v>
      </c>
      <c r="E69" s="350">
        <v>7.82</v>
      </c>
      <c r="F69" s="350">
        <f t="shared" si="5"/>
        <v>-8959.9999999999945</v>
      </c>
      <c r="G69" s="350">
        <f t="shared" si="6"/>
        <v>71520</v>
      </c>
      <c r="H69" s="364">
        <f t="shared" si="7"/>
        <v>-0.12527964205816547</v>
      </c>
      <c r="I69" s="350"/>
      <c r="J69" s="350"/>
      <c r="K69" s="350"/>
      <c r="L69" s="349"/>
      <c r="M69" s="349"/>
      <c r="N69" s="349"/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  <row r="70" spans="1:31" x14ac:dyDescent="0.25">
      <c r="A70" s="349"/>
      <c r="B70" s="354">
        <v>42326</v>
      </c>
      <c r="C70" s="349">
        <v>6600</v>
      </c>
      <c r="D70" s="350">
        <v>9.0582999999999991</v>
      </c>
      <c r="E70" s="350">
        <v>8.41</v>
      </c>
      <c r="F70" s="350">
        <f t="shared" si="5"/>
        <v>-4278.7799999999934</v>
      </c>
      <c r="G70" s="350">
        <f t="shared" si="6"/>
        <v>59784.779999999992</v>
      </c>
      <c r="H70" s="364">
        <f t="shared" si="7"/>
        <v>-7.1569720587748145E-2</v>
      </c>
      <c r="I70" s="350"/>
      <c r="J70" s="350"/>
      <c r="K70" s="350"/>
      <c r="L70" s="349"/>
      <c r="M70" s="349"/>
      <c r="N70" s="349"/>
    </row>
    <row r="71" spans="1:31" x14ac:dyDescent="0.25">
      <c r="A71" s="349"/>
      <c r="B71" s="354">
        <v>42326</v>
      </c>
      <c r="C71" s="349">
        <v>6535</v>
      </c>
      <c r="D71" s="350">
        <v>9.0648</v>
      </c>
      <c r="E71" s="350">
        <v>8.41</v>
      </c>
      <c r="F71" s="350">
        <f t="shared" si="5"/>
        <v>-4279.1179999999986</v>
      </c>
      <c r="G71" s="350">
        <f t="shared" si="6"/>
        <v>59238.468000000001</v>
      </c>
      <c r="H71" s="364">
        <f t="shared" si="7"/>
        <v>-7.2235460241814473E-2</v>
      </c>
      <c r="I71" s="350"/>
      <c r="J71" s="350"/>
      <c r="K71" s="350"/>
      <c r="L71" s="349"/>
      <c r="M71" s="349"/>
      <c r="N71" s="349"/>
    </row>
    <row r="72" spans="1:31" x14ac:dyDescent="0.25">
      <c r="A72" s="349"/>
      <c r="B72" s="354">
        <v>42327</v>
      </c>
      <c r="C72" s="349">
        <v>4300</v>
      </c>
      <c r="D72" s="350">
        <v>9.3583999999999996</v>
      </c>
      <c r="E72" s="350">
        <v>8.76</v>
      </c>
      <c r="F72" s="350">
        <f t="shared" si="5"/>
        <v>-2573.1199999999994</v>
      </c>
      <c r="G72" s="350">
        <f t="shared" si="6"/>
        <v>40241.119999999995</v>
      </c>
      <c r="H72" s="364">
        <f t="shared" si="7"/>
        <v>-6.3942554282783365E-2</v>
      </c>
      <c r="I72" s="350"/>
      <c r="J72" s="350"/>
      <c r="K72" s="350"/>
      <c r="L72" s="349"/>
      <c r="M72" s="349"/>
      <c r="N72" s="349"/>
    </row>
    <row r="73" spans="1:31" x14ac:dyDescent="0.25">
      <c r="A73" s="349"/>
      <c r="B73" s="354">
        <v>42327</v>
      </c>
      <c r="C73" s="349">
        <v>3700</v>
      </c>
      <c r="D73" s="350">
        <v>9.4571000000000005</v>
      </c>
      <c r="E73" s="350">
        <v>8.76</v>
      </c>
      <c r="F73" s="350">
        <f t="shared" si="5"/>
        <v>-2579.2700000000027</v>
      </c>
      <c r="G73" s="350">
        <f t="shared" si="6"/>
        <v>34991.270000000004</v>
      </c>
      <c r="H73" s="364">
        <f>(E73-D73)/D73</f>
        <v>-7.371181440399284E-2</v>
      </c>
      <c r="I73" s="350"/>
      <c r="J73" s="350"/>
      <c r="K73" s="350"/>
      <c r="L73" s="349"/>
      <c r="M73" s="349"/>
      <c r="N73" s="349"/>
    </row>
    <row r="74" spans="1:31" x14ac:dyDescent="0.25">
      <c r="A74" s="349"/>
      <c r="B74" s="354">
        <v>42331</v>
      </c>
      <c r="C74" s="349">
        <v>3700</v>
      </c>
      <c r="D74" s="350">
        <v>9.4499999999999993</v>
      </c>
      <c r="E74" s="350">
        <v>9.07</v>
      </c>
      <c r="F74" s="350">
        <f t="shared" si="5"/>
        <v>-1405.9999999999964</v>
      </c>
      <c r="G74" s="350">
        <f t="shared" si="6"/>
        <v>34965</v>
      </c>
      <c r="H74" s="364">
        <f t="shared" ref="H74:H83" si="8">(E74-D74)/D74</f>
        <v>-4.0211640211640108E-2</v>
      </c>
      <c r="I74" s="350"/>
      <c r="J74" s="350"/>
      <c r="K74" s="350"/>
      <c r="L74" s="349"/>
      <c r="M74" s="349"/>
      <c r="N74" s="349"/>
    </row>
    <row r="75" spans="1:31" x14ac:dyDescent="0.25">
      <c r="A75" s="349"/>
      <c r="B75" s="354">
        <v>42333</v>
      </c>
      <c r="C75" s="349">
        <v>3300</v>
      </c>
      <c r="D75" s="350">
        <v>9.4304000000000006</v>
      </c>
      <c r="E75" s="350">
        <v>9.41</v>
      </c>
      <c r="F75" s="350">
        <f t="shared" si="5"/>
        <v>-67.320000000001386</v>
      </c>
      <c r="G75" s="350">
        <f t="shared" si="6"/>
        <v>31120.320000000003</v>
      </c>
      <c r="H75" s="364">
        <f t="shared" si="8"/>
        <v>-2.1632168306753071E-3</v>
      </c>
      <c r="I75" s="350"/>
      <c r="J75" s="350"/>
      <c r="K75" s="350"/>
      <c r="L75" s="349"/>
      <c r="M75" s="349"/>
      <c r="N75" s="349"/>
    </row>
    <row r="76" spans="1:31" x14ac:dyDescent="0.25">
      <c r="A76" s="349"/>
      <c r="B76" s="354">
        <v>42339</v>
      </c>
      <c r="C76" s="349">
        <v>2800</v>
      </c>
      <c r="D76" s="350">
        <v>9.4145000000000003</v>
      </c>
      <c r="E76" s="350">
        <v>9.48</v>
      </c>
      <c r="F76" s="350">
        <f t="shared" si="5"/>
        <v>183.40000000000032</v>
      </c>
      <c r="G76" s="350">
        <f t="shared" si="6"/>
        <v>26360.600000000002</v>
      </c>
      <c r="H76" s="364">
        <f t="shared" si="8"/>
        <v>6.9573530192787838E-3</v>
      </c>
      <c r="I76" s="350"/>
      <c r="J76" s="350"/>
      <c r="K76" s="350"/>
      <c r="L76" s="349"/>
      <c r="M76" s="349"/>
      <c r="N76" s="349"/>
    </row>
    <row r="77" spans="1:31" x14ac:dyDescent="0.25">
      <c r="A77" s="349"/>
      <c r="B77" s="354">
        <v>42340</v>
      </c>
      <c r="C77" s="349">
        <v>3000</v>
      </c>
      <c r="D77" s="350">
        <v>9.41</v>
      </c>
      <c r="E77" s="350">
        <v>9.35</v>
      </c>
      <c r="F77" s="350">
        <f t="shared" si="5"/>
        <v>-180.00000000000148</v>
      </c>
      <c r="G77" s="350">
        <f t="shared" si="6"/>
        <v>28230</v>
      </c>
      <c r="H77" s="364">
        <f t="shared" si="8"/>
        <v>-6.3761955366631769E-3</v>
      </c>
      <c r="I77" s="350"/>
      <c r="J77" s="350"/>
      <c r="K77" s="350"/>
      <c r="L77" s="349"/>
      <c r="M77" s="349"/>
      <c r="N77" s="349"/>
    </row>
    <row r="78" spans="1:31" x14ac:dyDescent="0.25">
      <c r="A78" s="349"/>
      <c r="B78" s="354">
        <v>42342</v>
      </c>
      <c r="C78" s="349">
        <v>1500</v>
      </c>
      <c r="D78" s="350">
        <v>9.51</v>
      </c>
      <c r="E78" s="350">
        <v>9.34</v>
      </c>
      <c r="F78" s="350">
        <f t="shared" si="5"/>
        <v>-254.99999999999989</v>
      </c>
      <c r="G78" s="350">
        <f t="shared" si="6"/>
        <v>14265</v>
      </c>
      <c r="H78" s="364">
        <f t="shared" si="8"/>
        <v>-1.787592008412197E-2</v>
      </c>
      <c r="I78" s="350"/>
      <c r="J78" s="350"/>
      <c r="K78" s="350"/>
      <c r="L78" s="349"/>
      <c r="M78" s="349"/>
      <c r="N78" s="349"/>
    </row>
    <row r="79" spans="1:31" x14ac:dyDescent="0.25">
      <c r="A79" s="349"/>
      <c r="B79" s="354">
        <v>42342</v>
      </c>
      <c r="C79" s="349">
        <v>3000</v>
      </c>
      <c r="D79" s="350">
        <v>9.3933</v>
      </c>
      <c r="E79" s="350">
        <v>9.34</v>
      </c>
      <c r="F79" s="350">
        <f t="shared" si="5"/>
        <v>-159.90000000000038</v>
      </c>
      <c r="G79" s="350">
        <f t="shared" si="6"/>
        <v>28179.9</v>
      </c>
      <c r="H79" s="364">
        <f t="shared" si="8"/>
        <v>-5.6742571833115225E-3</v>
      </c>
      <c r="I79" s="350"/>
      <c r="J79" s="350"/>
      <c r="K79" s="350"/>
      <c r="L79" s="349"/>
      <c r="M79" s="349"/>
      <c r="N79" s="349"/>
    </row>
    <row r="80" spans="1:31" x14ac:dyDescent="0.25">
      <c r="A80" s="349"/>
      <c r="B80" s="354">
        <v>42345</v>
      </c>
      <c r="C80" s="349">
        <v>3100</v>
      </c>
      <c r="D80" s="350">
        <v>9.3789999999999996</v>
      </c>
      <c r="E80" s="350">
        <v>9.0399999999999991</v>
      </c>
      <c r="F80" s="350">
        <f t="shared" si="5"/>
        <v>-1050.9000000000012</v>
      </c>
      <c r="G80" s="350">
        <f t="shared" si="6"/>
        <v>29074.899999999998</v>
      </c>
      <c r="H80" s="364">
        <f t="shared" si="8"/>
        <v>-3.6144578313253059E-2</v>
      </c>
      <c r="I80" s="350"/>
      <c r="J80" s="350"/>
      <c r="K80" s="350"/>
      <c r="L80" s="349"/>
      <c r="M80" s="349"/>
      <c r="N80" s="349"/>
    </row>
    <row r="81" spans="1:14" x14ac:dyDescent="0.25">
      <c r="A81" s="349"/>
      <c r="B81" s="354">
        <v>42348</v>
      </c>
      <c r="C81" s="349">
        <v>3000</v>
      </c>
      <c r="D81" s="350">
        <v>9.3800000000000008</v>
      </c>
      <c r="E81" s="350">
        <v>9.17</v>
      </c>
      <c r="F81" s="350">
        <f t="shared" si="5"/>
        <v>-630.0000000000025</v>
      </c>
      <c r="G81" s="350">
        <f t="shared" si="6"/>
        <v>28140.000000000004</v>
      </c>
      <c r="H81" s="364">
        <f t="shared" si="8"/>
        <v>-2.2388059701492626E-2</v>
      </c>
      <c r="I81" s="350"/>
      <c r="J81" s="350"/>
      <c r="K81" s="350"/>
      <c r="L81" s="349"/>
      <c r="M81" s="349"/>
      <c r="N81" s="349"/>
    </row>
    <row r="82" spans="1:14" x14ac:dyDescent="0.25">
      <c r="A82" s="349"/>
      <c r="B82" s="354">
        <v>42349</v>
      </c>
      <c r="C82" s="349">
        <v>3000</v>
      </c>
      <c r="D82" s="350">
        <v>9.3659999999999997</v>
      </c>
      <c r="E82" s="350">
        <v>8.86</v>
      </c>
      <c r="F82" s="350">
        <f t="shared" si="5"/>
        <v>-1518.0000000000007</v>
      </c>
      <c r="G82" s="350">
        <f t="shared" si="6"/>
        <v>28098</v>
      </c>
      <c r="H82" s="364">
        <f t="shared" si="8"/>
        <v>-5.4025197522955398E-2</v>
      </c>
      <c r="I82" s="350"/>
      <c r="J82" s="350"/>
      <c r="K82" s="350"/>
      <c r="L82" s="349"/>
      <c r="M82" s="349"/>
      <c r="N82" s="349"/>
    </row>
    <row r="83" spans="1:14" x14ac:dyDescent="0.25">
      <c r="A83" s="349"/>
      <c r="B83" s="354">
        <v>42360</v>
      </c>
      <c r="C83" s="349">
        <v>1000</v>
      </c>
      <c r="D83" s="350">
        <v>9.1999999999999993</v>
      </c>
      <c r="E83" s="350">
        <v>9.56</v>
      </c>
      <c r="F83" s="350">
        <f t="shared" si="5"/>
        <v>360.00000000000119</v>
      </c>
      <c r="G83" s="350">
        <f t="shared" si="6"/>
        <v>9200</v>
      </c>
      <c r="H83" s="364">
        <f t="shared" si="8"/>
        <v>3.9130434782608831E-2</v>
      </c>
      <c r="I83" s="350"/>
      <c r="J83" s="350"/>
      <c r="K83" s="350"/>
      <c r="L83" s="349"/>
      <c r="M83" s="349"/>
      <c r="N83" s="349"/>
    </row>
    <row r="84" spans="1:14" x14ac:dyDescent="0.25">
      <c r="A84" s="349"/>
      <c r="B84" s="354">
        <v>42361</v>
      </c>
      <c r="C84" s="349">
        <v>0</v>
      </c>
      <c r="D84" s="350">
        <v>0</v>
      </c>
      <c r="E84" s="350">
        <v>10.19</v>
      </c>
      <c r="F84" s="350">
        <v>360</v>
      </c>
      <c r="G84" s="350"/>
      <c r="H84" s="364"/>
      <c r="I84" s="350"/>
      <c r="J84" s="350"/>
      <c r="K84" s="350"/>
      <c r="L84" s="349"/>
      <c r="M84" s="349"/>
      <c r="N84" s="349"/>
    </row>
    <row r="85" spans="1:14" x14ac:dyDescent="0.25">
      <c r="A85" s="349"/>
      <c r="B85" s="354">
        <v>42377</v>
      </c>
      <c r="C85" s="349">
        <v>400</v>
      </c>
      <c r="D85" s="350">
        <v>6.31</v>
      </c>
      <c r="E85" s="350">
        <v>8.07</v>
      </c>
      <c r="F85" s="350">
        <f t="shared" ref="F85:F90" si="9">C85*(E85-D85)</f>
        <v>704.00000000000023</v>
      </c>
      <c r="G85" s="350">
        <f t="shared" ref="G85:G90" si="10">D85*C85</f>
        <v>2524</v>
      </c>
      <c r="H85" s="364">
        <f t="shared" ref="H85:H90" si="11">(E85-D85)/D85</f>
        <v>0.27892234548335987</v>
      </c>
      <c r="I85" s="350"/>
      <c r="J85" s="350"/>
      <c r="K85" s="350"/>
      <c r="L85" s="349"/>
      <c r="M85" s="349"/>
      <c r="N85" s="349"/>
    </row>
    <row r="86" spans="1:14" x14ac:dyDescent="0.25">
      <c r="A86" s="349"/>
      <c r="B86" s="354">
        <v>42389</v>
      </c>
      <c r="C86" s="349">
        <v>500</v>
      </c>
      <c r="D86" s="350">
        <v>6.34</v>
      </c>
      <c r="E86" s="350">
        <v>6.74</v>
      </c>
      <c r="F86" s="350">
        <f t="shared" si="9"/>
        <v>200.00000000000017</v>
      </c>
      <c r="G86" s="350">
        <f t="shared" si="10"/>
        <v>3170</v>
      </c>
      <c r="H86" s="364">
        <f t="shared" si="11"/>
        <v>6.3091482649842323E-2</v>
      </c>
      <c r="I86" s="350"/>
      <c r="J86" s="350"/>
      <c r="K86" s="350"/>
      <c r="L86" s="349"/>
      <c r="M86" s="349"/>
      <c r="N86" s="349"/>
    </row>
    <row r="87" spans="1:14" x14ac:dyDescent="0.25">
      <c r="A87" s="349"/>
      <c r="B87" s="354">
        <v>42398</v>
      </c>
      <c r="C87" s="349">
        <v>400</v>
      </c>
      <c r="D87" s="350">
        <v>6.12</v>
      </c>
      <c r="E87" s="350">
        <v>7.14</v>
      </c>
      <c r="F87" s="350">
        <f t="shared" si="9"/>
        <v>407.99999999999983</v>
      </c>
      <c r="G87" s="350">
        <f t="shared" si="10"/>
        <v>2448</v>
      </c>
      <c r="H87" s="364">
        <f t="shared" si="11"/>
        <v>0.1666666666666666</v>
      </c>
      <c r="I87" s="350"/>
      <c r="J87" s="350"/>
      <c r="K87" s="350"/>
      <c r="L87" s="349"/>
      <c r="M87" s="349"/>
      <c r="N87" s="349"/>
    </row>
    <row r="88" spans="1:14" x14ac:dyDescent="0.25">
      <c r="A88" s="349"/>
      <c r="B88" s="354">
        <v>42402</v>
      </c>
      <c r="C88" s="349">
        <v>500</v>
      </c>
      <c r="D88" s="350">
        <v>6.2888999999999999</v>
      </c>
      <c r="E88" s="350">
        <v>6.97</v>
      </c>
      <c r="F88" s="350">
        <f t="shared" si="9"/>
        <v>340.5499999999999</v>
      </c>
      <c r="G88" s="350">
        <f t="shared" si="10"/>
        <v>3144.45</v>
      </c>
      <c r="H88" s="364">
        <f t="shared" si="11"/>
        <v>0.10830192879517878</v>
      </c>
      <c r="I88" s="350"/>
      <c r="J88" s="350"/>
      <c r="K88" s="350"/>
      <c r="L88" s="349"/>
      <c r="M88" s="349"/>
      <c r="N88" s="349"/>
    </row>
    <row r="89" spans="1:14" x14ac:dyDescent="0.25">
      <c r="A89" s="349"/>
      <c r="B89" s="354">
        <v>42403</v>
      </c>
      <c r="C89" s="349">
        <v>400</v>
      </c>
      <c r="D89" s="350">
        <v>6.01</v>
      </c>
      <c r="E89" s="350">
        <v>7.55</v>
      </c>
      <c r="F89" s="350">
        <f t="shared" si="9"/>
        <v>616</v>
      </c>
      <c r="G89" s="350">
        <f t="shared" si="10"/>
        <v>2404</v>
      </c>
      <c r="H89" s="364">
        <f t="shared" si="11"/>
        <v>0.2562396006655574</v>
      </c>
      <c r="I89" s="350"/>
      <c r="J89" s="350"/>
      <c r="K89" s="350"/>
      <c r="L89" s="349"/>
      <c r="M89" s="349"/>
      <c r="N89" s="349"/>
    </row>
    <row r="90" spans="1:14" x14ac:dyDescent="0.25">
      <c r="A90" s="349"/>
      <c r="B90" s="354">
        <v>42404</v>
      </c>
      <c r="C90" s="349">
        <v>300</v>
      </c>
      <c r="D90" s="350">
        <v>5.3349000000000002</v>
      </c>
      <c r="E90" s="350">
        <v>8.31</v>
      </c>
      <c r="F90" s="350">
        <f t="shared" si="9"/>
        <v>892.53000000000009</v>
      </c>
      <c r="G90" s="350">
        <f t="shared" si="10"/>
        <v>1600.47</v>
      </c>
      <c r="H90" s="364">
        <f t="shared" si="11"/>
        <v>0.55766743519091266</v>
      </c>
      <c r="I90" s="350"/>
      <c r="J90" s="350"/>
      <c r="K90" s="350"/>
      <c r="L90" s="349"/>
      <c r="M90" s="349"/>
      <c r="N90" s="349"/>
    </row>
    <row r="91" spans="1:14" x14ac:dyDescent="0.25">
      <c r="A91" s="349"/>
      <c r="B91" s="354">
        <v>42416</v>
      </c>
      <c r="C91" s="349">
        <v>0</v>
      </c>
      <c r="D91" s="350">
        <v>0</v>
      </c>
      <c r="E91" s="350">
        <v>0</v>
      </c>
      <c r="F91" s="350">
        <v>793.47</v>
      </c>
      <c r="G91" s="350"/>
      <c r="H91" s="364"/>
      <c r="I91" s="350"/>
      <c r="J91" s="350"/>
      <c r="K91" s="350"/>
      <c r="L91" s="349"/>
      <c r="M91" s="349"/>
      <c r="N91" s="349"/>
    </row>
    <row r="92" spans="1:14" x14ac:dyDescent="0.25">
      <c r="A92" s="349"/>
      <c r="B92" s="354"/>
      <c r="C92" s="349"/>
      <c r="D92" s="350"/>
      <c r="E92" s="350"/>
      <c r="F92" s="350"/>
      <c r="G92" s="350"/>
      <c r="H92" s="364"/>
      <c r="I92" s="350"/>
      <c r="J92" s="350"/>
      <c r="K92" s="350"/>
      <c r="L92" s="349"/>
      <c r="M92" s="349"/>
      <c r="N92" s="349"/>
    </row>
  </sheetData>
  <mergeCells count="1">
    <mergeCell ref="P39:Q39"/>
  </mergeCells>
  <conditionalFormatting sqref="Q7 F14:F18 H14:H18">
    <cfRule type="expression" dxfId="257" priority="54">
      <formula>F7&gt;0</formula>
    </cfRule>
    <cfRule type="expression" dxfId="25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55" priority="41">
      <formula>F20&gt;0</formula>
    </cfRule>
    <cfRule type="expression" dxfId="254" priority="42">
      <formula>F20&lt;0</formula>
    </cfRule>
  </conditionalFormatting>
  <conditionalFormatting sqref="F20">
    <cfRule type="expression" dxfId="253" priority="45">
      <formula>F20&gt;0</formula>
    </cfRule>
    <cfRule type="expression" dxfId="252" priority="46">
      <formula>F20&lt;0</formula>
    </cfRule>
  </conditionalFormatting>
  <conditionalFormatting sqref="H20">
    <cfRule type="expression" dxfId="251" priority="23">
      <formula>H20&gt;0</formula>
    </cfRule>
    <cfRule type="expression" dxfId="250" priority="24">
      <formula>H20&lt;0</formula>
    </cfRule>
  </conditionalFormatting>
  <conditionalFormatting sqref="F65:F71">
    <cfRule type="expression" dxfId="249" priority="17">
      <formula>F65&gt;0</formula>
    </cfRule>
    <cfRule type="expression" dxfId="248" priority="18">
      <formula>F65&lt;0</formula>
    </cfRule>
  </conditionalFormatting>
  <conditionalFormatting sqref="F72:F86">
    <cfRule type="expression" dxfId="247" priority="13">
      <formula>F72&gt;0</formula>
    </cfRule>
    <cfRule type="expression" dxfId="246" priority="14">
      <formula>F72&lt;0</formula>
    </cfRule>
  </conditionalFormatting>
  <conditionalFormatting sqref="F72:F86">
    <cfRule type="expression" dxfId="245" priority="15">
      <formula>F72&gt;0</formula>
    </cfRule>
    <cfRule type="expression" dxfId="244" priority="16">
      <formula>F72&lt;0</formula>
    </cfRule>
  </conditionalFormatting>
  <conditionalFormatting sqref="H65:H76">
    <cfRule type="expression" dxfId="243" priority="11">
      <formula>H65&gt;0</formula>
    </cfRule>
    <cfRule type="expression" dxfId="242" priority="12">
      <formula>H65&lt;0</formula>
    </cfRule>
  </conditionalFormatting>
  <conditionalFormatting sqref="H77">
    <cfRule type="expression" dxfId="241" priority="9">
      <formula>H77&gt;0</formula>
    </cfRule>
    <cfRule type="expression" dxfId="240" priority="10">
      <formula>H77&lt;0</formula>
    </cfRule>
  </conditionalFormatting>
  <conditionalFormatting sqref="F87:F92">
    <cfRule type="expression" dxfId="239" priority="7">
      <formula>F87&gt;0</formula>
    </cfRule>
    <cfRule type="expression" dxfId="238" priority="8">
      <formula>F87&lt;0</formula>
    </cfRule>
  </conditionalFormatting>
  <conditionalFormatting sqref="H79:H92">
    <cfRule type="expression" dxfId="237" priority="5">
      <formula>H79&gt;0</formula>
    </cfRule>
    <cfRule type="expression" dxfId="236" priority="6">
      <formula>H79&lt;0</formula>
    </cfRule>
  </conditionalFormatting>
  <conditionalFormatting sqref="H78">
    <cfRule type="expression" dxfId="235" priority="3">
      <formula>H78&gt;0</formula>
    </cfRule>
    <cfRule type="expression" dxfId="234" priority="4">
      <formula>H78&lt;0</formula>
    </cfRule>
  </conditionalFormatting>
  <conditionalFormatting sqref="M21">
    <cfRule type="expression" dxfId="233" priority="1">
      <formula>M21&gt;0</formula>
    </cfRule>
    <cfRule type="expression" dxfId="23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8" si="0">H2*I2-J2</f>
        <v>3799.4300000000003</v>
      </c>
      <c r="L2" t="s">
        <v>80</v>
      </c>
      <c r="O2" s="13" t="s">
        <v>57</v>
      </c>
      <c r="Q2">
        <f>C19-H19</f>
        <v>60</v>
      </c>
      <c r="T2" s="1">
        <v>42314</v>
      </c>
      <c r="U2" t="s">
        <v>105</v>
      </c>
      <c r="W2" s="160">
        <v>42419</v>
      </c>
      <c r="X2" s="12">
        <v>16.79</v>
      </c>
      <c r="Y2" s="12">
        <v>17.04</v>
      </c>
      <c r="Z2" s="12">
        <v>16.41</v>
      </c>
      <c r="AA2" s="12">
        <v>17.010000000000002</v>
      </c>
      <c r="AB2" s="115">
        <v>1766600</v>
      </c>
      <c r="AC2" s="12">
        <v>17.010000000000002</v>
      </c>
      <c r="AD2" s="2">
        <f>Y2-Z2</f>
        <v>0.62999999999999901</v>
      </c>
      <c r="AE2" s="165">
        <f>AC2/AC3-1</f>
        <v>-5.8754406580485696E-4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15.241333333333296</v>
      </c>
      <c r="W3" s="160">
        <v>42418</v>
      </c>
      <c r="X3" s="12">
        <v>17.260000000000002</v>
      </c>
      <c r="Y3" s="12">
        <v>17.329999999999998</v>
      </c>
      <c r="Z3" s="12">
        <v>16.809999999999999</v>
      </c>
      <c r="AA3" s="12">
        <v>17.02</v>
      </c>
      <c r="AB3" s="115">
        <v>1577000</v>
      </c>
      <c r="AC3" s="12">
        <v>17.02</v>
      </c>
      <c r="AD3" s="2">
        <f t="shared" ref="AD3:AD66" si="2">Y3-Z3</f>
        <v>0.51999999999999957</v>
      </c>
      <c r="AE3" s="165">
        <f t="shared" ref="AE3:AE66" si="3">AC3/AC4-1</f>
        <v>-2.5200458190148933E-2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17.010000000000002</v>
      </c>
      <c r="W4" s="160">
        <v>42417</v>
      </c>
      <c r="X4" s="12">
        <v>16.98</v>
      </c>
      <c r="Y4" s="12">
        <v>17.46</v>
      </c>
      <c r="Z4" s="12">
        <v>16.87</v>
      </c>
      <c r="AA4" s="12">
        <v>17.46</v>
      </c>
      <c r="AB4" s="115">
        <v>2373000</v>
      </c>
      <c r="AC4" s="12">
        <v>17.46</v>
      </c>
      <c r="AD4" s="2">
        <f t="shared" si="2"/>
        <v>0.58999999999999986</v>
      </c>
      <c r="AE4" s="165">
        <f t="shared" si="3"/>
        <v>4.3634190077704638E-2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1020.6000000000001</v>
      </c>
      <c r="W5" s="160">
        <v>42416</v>
      </c>
      <c r="X5" s="12">
        <v>16.39</v>
      </c>
      <c r="Y5" s="12">
        <v>16.84</v>
      </c>
      <c r="Z5" s="12">
        <v>16.149999999999999</v>
      </c>
      <c r="AA5" s="12">
        <v>16.73</v>
      </c>
      <c r="AB5" s="115">
        <v>1301100</v>
      </c>
      <c r="AC5" s="12">
        <v>16.73</v>
      </c>
      <c r="AD5" s="2">
        <f t="shared" si="2"/>
        <v>0.69000000000000128</v>
      </c>
      <c r="AE5" s="165">
        <f t="shared" si="3"/>
        <v>4.0422885572139355E-2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914.47999999999774</v>
      </c>
      <c r="W6" s="160">
        <v>42412</v>
      </c>
      <c r="X6" s="12">
        <v>15.73</v>
      </c>
      <c r="Y6" s="12">
        <v>16.16</v>
      </c>
      <c r="Z6" s="12">
        <v>15.41</v>
      </c>
      <c r="AA6" s="12">
        <v>16.079999999999998</v>
      </c>
      <c r="AB6" s="115">
        <v>1019400</v>
      </c>
      <c r="AC6" s="12">
        <v>16.079999999999998</v>
      </c>
      <c r="AD6" s="2">
        <f t="shared" si="2"/>
        <v>0.75</v>
      </c>
      <c r="AE6" s="165">
        <f t="shared" si="3"/>
        <v>3.7419354838709618E-2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106.12000000000239</v>
      </c>
      <c r="R7" s="275"/>
      <c r="W7" s="160">
        <v>42411</v>
      </c>
      <c r="X7" s="12">
        <v>15.77</v>
      </c>
      <c r="Y7" s="12">
        <v>15.99</v>
      </c>
      <c r="Z7" s="12">
        <v>15.21</v>
      </c>
      <c r="AA7" s="12">
        <v>15.5</v>
      </c>
      <c r="AB7" s="115">
        <v>1553300</v>
      </c>
      <c r="AC7" s="12">
        <v>15.5</v>
      </c>
      <c r="AD7" s="2">
        <f t="shared" si="2"/>
        <v>0.77999999999999936</v>
      </c>
      <c r="AE7" s="165">
        <f t="shared" si="3"/>
        <v>-2.3929471032745675E-2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65">
        <f>(Q4-Q3)/Q3</f>
        <v>0.11604409063074379</v>
      </c>
      <c r="W8" s="160">
        <v>42410</v>
      </c>
      <c r="X8" s="12">
        <v>15.66</v>
      </c>
      <c r="Y8" s="12">
        <v>16.760000000000002</v>
      </c>
      <c r="Z8" s="12">
        <v>15.51</v>
      </c>
      <c r="AA8" s="12">
        <v>15.88</v>
      </c>
      <c r="AB8" s="115">
        <v>2688100</v>
      </c>
      <c r="AC8" s="12">
        <v>15.88</v>
      </c>
      <c r="AD8" s="2">
        <f t="shared" si="2"/>
        <v>1.2500000000000018</v>
      </c>
      <c r="AE8" s="165">
        <f t="shared" si="3"/>
        <v>1.5345268542199531E-2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H9" s="4"/>
      <c r="I9" s="4"/>
      <c r="J9" s="4"/>
      <c r="K9" s="4"/>
      <c r="W9" s="160">
        <v>42409</v>
      </c>
      <c r="X9" s="12">
        <v>16.04</v>
      </c>
      <c r="Y9" s="12">
        <v>16.36</v>
      </c>
      <c r="Z9" s="12">
        <v>15.26</v>
      </c>
      <c r="AA9" s="12">
        <v>15.64</v>
      </c>
      <c r="AB9" s="115">
        <v>2569200</v>
      </c>
      <c r="AC9" s="12">
        <v>15.64</v>
      </c>
      <c r="AD9" s="2">
        <f t="shared" si="2"/>
        <v>1.0999999999999996</v>
      </c>
      <c r="AE9" s="165">
        <f t="shared" si="3"/>
        <v>-3.5163479333744641E-2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42408</v>
      </c>
      <c r="X10" s="12">
        <v>17.170000000000002</v>
      </c>
      <c r="Y10" s="12">
        <v>17.25</v>
      </c>
      <c r="Z10" s="12">
        <v>15.75</v>
      </c>
      <c r="AA10" s="12">
        <v>16.21</v>
      </c>
      <c r="AB10" s="115">
        <v>3227500</v>
      </c>
      <c r="AC10" s="12">
        <v>16.21</v>
      </c>
      <c r="AD10" s="2">
        <f t="shared" si="2"/>
        <v>1.5</v>
      </c>
      <c r="AE10" s="165">
        <f t="shared" si="3"/>
        <v>-6.9460390355912782E-2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42405</v>
      </c>
      <c r="X11" s="12">
        <v>18.36</v>
      </c>
      <c r="Y11" s="12">
        <v>18.36</v>
      </c>
      <c r="Z11" s="12">
        <v>17.41</v>
      </c>
      <c r="AA11" s="12">
        <v>17.420000000000002</v>
      </c>
      <c r="AB11" s="115">
        <v>2180200</v>
      </c>
      <c r="AC11" s="12">
        <v>17.420000000000002</v>
      </c>
      <c r="AD11" s="2">
        <f t="shared" si="2"/>
        <v>0.94999999999999929</v>
      </c>
      <c r="AE11" s="165">
        <f t="shared" si="3"/>
        <v>-5.8887088060507797E-2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42404</v>
      </c>
      <c r="X12" s="12">
        <v>18.25</v>
      </c>
      <c r="Y12" s="12">
        <v>19.170000000000002</v>
      </c>
      <c r="Z12" s="12">
        <v>18.079999999999998</v>
      </c>
      <c r="AA12" s="12">
        <v>18.510000000000002</v>
      </c>
      <c r="AB12" s="115">
        <v>1483600</v>
      </c>
      <c r="AC12" s="12">
        <v>18.510000000000002</v>
      </c>
      <c r="AD12" s="2">
        <f t="shared" si="2"/>
        <v>1.0900000000000034</v>
      </c>
      <c r="AE12" s="165">
        <f t="shared" si="3"/>
        <v>-3.2310177705976439E-3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42403</v>
      </c>
      <c r="X13" s="12">
        <v>18.399999999999999</v>
      </c>
      <c r="Y13" s="12">
        <v>18.75</v>
      </c>
      <c r="Z13" s="12">
        <v>17.760000000000002</v>
      </c>
      <c r="AA13" s="12">
        <v>18.57</v>
      </c>
      <c r="AB13" s="115">
        <v>2737700</v>
      </c>
      <c r="AC13" s="12">
        <v>18.57</v>
      </c>
      <c r="AD13" s="2">
        <f t="shared" si="2"/>
        <v>0.98999999999999844</v>
      </c>
      <c r="AE13" s="165">
        <f t="shared" si="3"/>
        <v>1.1437908496731986E-2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42402</v>
      </c>
      <c r="X14" s="12">
        <v>18.649999999999999</v>
      </c>
      <c r="Y14" s="12">
        <v>18.95</v>
      </c>
      <c r="Z14" s="12">
        <v>18</v>
      </c>
      <c r="AA14" s="12">
        <v>18.36</v>
      </c>
      <c r="AB14" s="115">
        <v>4078900</v>
      </c>
      <c r="AC14" s="12">
        <v>18.36</v>
      </c>
      <c r="AD14" s="2">
        <f t="shared" si="2"/>
        <v>0.94999999999999929</v>
      </c>
      <c r="AE14" s="165">
        <f t="shared" si="3"/>
        <v>2.857142857142847E-2</v>
      </c>
    </row>
    <row r="15" spans="1:31" x14ac:dyDescent="0.25">
      <c r="B15" s="1">
        <v>42362</v>
      </c>
      <c r="C15" s="7">
        <v>120</v>
      </c>
      <c r="D15" s="57">
        <v>17.079999999999998</v>
      </c>
      <c r="E15" s="57">
        <v>0</v>
      </c>
      <c r="F15" s="57">
        <f t="shared" si="1"/>
        <v>2049.6</v>
      </c>
      <c r="W15" s="160">
        <v>42401</v>
      </c>
      <c r="X15" s="12">
        <v>17.63</v>
      </c>
      <c r="Y15" s="12">
        <v>18.04</v>
      </c>
      <c r="Z15" s="12">
        <v>17.350000000000001</v>
      </c>
      <c r="AA15" s="12">
        <v>17.850000000000001</v>
      </c>
      <c r="AB15" s="115">
        <v>2516800</v>
      </c>
      <c r="AC15" s="12">
        <v>17.850000000000001</v>
      </c>
      <c r="AD15" s="2">
        <f t="shared" si="2"/>
        <v>0.68999999999999773</v>
      </c>
      <c r="AE15" s="165">
        <f t="shared" si="3"/>
        <v>2.2459292532286401E-3</v>
      </c>
    </row>
    <row r="16" spans="1:31" x14ac:dyDescent="0.25">
      <c r="B16" s="1">
        <v>42409</v>
      </c>
      <c r="C16" s="4">
        <v>60</v>
      </c>
      <c r="D16" s="3">
        <v>15.45</v>
      </c>
      <c r="E16" s="3">
        <v>0</v>
      </c>
      <c r="F16" s="3">
        <f t="shared" si="1"/>
        <v>927</v>
      </c>
      <c r="W16" s="160">
        <v>42398</v>
      </c>
      <c r="X16" s="12">
        <v>17.13</v>
      </c>
      <c r="Y16" s="12">
        <v>17.82</v>
      </c>
      <c r="Z16" s="12">
        <v>17.09</v>
      </c>
      <c r="AA16" s="12">
        <v>17.809999999999999</v>
      </c>
      <c r="AB16" s="115">
        <v>2127400</v>
      </c>
      <c r="AC16" s="12">
        <v>17.809999999999999</v>
      </c>
      <c r="AD16" s="2">
        <f t="shared" si="2"/>
        <v>0.73000000000000043</v>
      </c>
      <c r="AE16" s="165">
        <f t="shared" si="3"/>
        <v>4.2129900526623798E-2</v>
      </c>
    </row>
    <row r="17" spans="1:31" x14ac:dyDescent="0.25">
      <c r="W17" s="160">
        <v>42397</v>
      </c>
      <c r="X17" s="12">
        <v>17.239999999999998</v>
      </c>
      <c r="Y17" s="12">
        <v>17.29</v>
      </c>
      <c r="Z17" s="12">
        <v>16.84</v>
      </c>
      <c r="AA17" s="12">
        <v>17.09</v>
      </c>
      <c r="AB17" s="115">
        <v>1283600</v>
      </c>
      <c r="AC17" s="12">
        <v>17.09</v>
      </c>
      <c r="AD17" s="2">
        <f t="shared" si="2"/>
        <v>0.44999999999999929</v>
      </c>
      <c r="AE17" s="165">
        <f t="shared" si="3"/>
        <v>5.2941176470588935E-3</v>
      </c>
    </row>
    <row r="18" spans="1:31" x14ac:dyDescent="0.25">
      <c r="W18" s="160">
        <v>42396</v>
      </c>
      <c r="X18" s="12">
        <v>16.850000000000001</v>
      </c>
      <c r="Y18" s="12">
        <v>17.559999999999999</v>
      </c>
      <c r="Z18" s="12">
        <v>16.61</v>
      </c>
      <c r="AA18" s="12">
        <v>17</v>
      </c>
      <c r="AB18" s="115">
        <v>1625400</v>
      </c>
      <c r="AC18" s="12">
        <v>17</v>
      </c>
      <c r="AD18" s="2">
        <f t="shared" si="2"/>
        <v>0.94999999999999929</v>
      </c>
      <c r="AE18" s="165">
        <f t="shared" si="3"/>
        <v>-2.3474178403755097E-3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590</v>
      </c>
      <c r="I19" s="16"/>
      <c r="J19" s="16"/>
      <c r="K19" s="16">
        <f>SUM(K2:K11)</f>
        <v>11750.480000000001</v>
      </c>
      <c r="L19" s="16"/>
      <c r="M19" s="16"/>
      <c r="W19" s="160">
        <v>42395</v>
      </c>
      <c r="X19" s="12">
        <v>16.84</v>
      </c>
      <c r="Y19" s="12">
        <v>17.239999999999998</v>
      </c>
      <c r="Z19" s="12">
        <v>16.37</v>
      </c>
      <c r="AA19" s="12">
        <v>17.04</v>
      </c>
      <c r="AB19" s="115">
        <v>2470900</v>
      </c>
      <c r="AC19" s="12">
        <v>17.04</v>
      </c>
      <c r="AD19" s="2">
        <f t="shared" si="2"/>
        <v>0.86999999999999744</v>
      </c>
      <c r="AE19" s="165">
        <f t="shared" si="3"/>
        <v>2.5270758122743597E-2</v>
      </c>
    </row>
    <row r="20" spans="1:31" x14ac:dyDescent="0.25">
      <c r="W20" s="160">
        <v>42394</v>
      </c>
      <c r="X20" s="12">
        <v>16.2</v>
      </c>
      <c r="Y20" s="12">
        <v>16.93</v>
      </c>
      <c r="Z20" s="12">
        <v>15.97</v>
      </c>
      <c r="AA20" s="12">
        <v>16.62</v>
      </c>
      <c r="AB20" s="115">
        <v>3229800</v>
      </c>
      <c r="AC20" s="12">
        <v>16.62</v>
      </c>
      <c r="AD20" s="2">
        <f t="shared" si="2"/>
        <v>0.95999999999999908</v>
      </c>
      <c r="AE20" s="165">
        <f t="shared" si="3"/>
        <v>3.7453183520599342E-2</v>
      </c>
    </row>
    <row r="21" spans="1:31" x14ac:dyDescent="0.25">
      <c r="B21" s="246" t="s">
        <v>122</v>
      </c>
      <c r="C21" s="246" t="s">
        <v>189</v>
      </c>
      <c r="D21" s="247" t="s">
        <v>188</v>
      </c>
      <c r="E21" s="249" t="s">
        <v>190</v>
      </c>
      <c r="F21" s="249" t="s">
        <v>65</v>
      </c>
      <c r="G21" s="294" t="s">
        <v>195</v>
      </c>
      <c r="H21" s="294" t="s">
        <v>92</v>
      </c>
      <c r="I21" s="294" t="s">
        <v>203</v>
      </c>
      <c r="W21" s="160">
        <v>42391</v>
      </c>
      <c r="X21" s="12">
        <v>16.239999999999998</v>
      </c>
      <c r="Y21" s="12">
        <v>16.48</v>
      </c>
      <c r="Z21" s="12">
        <v>15.78</v>
      </c>
      <c r="AA21" s="12">
        <v>16.02</v>
      </c>
      <c r="AB21" s="115">
        <v>2178400</v>
      </c>
      <c r="AC21" s="12">
        <v>16.02</v>
      </c>
      <c r="AD21" s="2">
        <f t="shared" si="2"/>
        <v>0.70000000000000107</v>
      </c>
      <c r="AE21" s="165">
        <f t="shared" si="3"/>
        <v>8.8161209068009505E-3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42390</v>
      </c>
      <c r="X22" s="12">
        <v>15.73</v>
      </c>
      <c r="Y22" s="12">
        <v>16.350000000000001</v>
      </c>
      <c r="Z22" s="12">
        <v>15.55</v>
      </c>
      <c r="AA22" s="12">
        <v>15.88</v>
      </c>
      <c r="AB22" s="115">
        <v>3821300</v>
      </c>
      <c r="AC22" s="12">
        <v>15.88</v>
      </c>
      <c r="AD22" s="2">
        <f t="shared" si="2"/>
        <v>0.80000000000000071</v>
      </c>
      <c r="AE22" s="165">
        <f t="shared" si="3"/>
        <v>6.3371356147021718E-3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8" si="4">C23*(E23-D23)</f>
        <v>52.200000000000486</v>
      </c>
      <c r="G23" s="53">
        <f t="shared" ref="G23:G28" si="5">D23*C23</f>
        <v>3115.7999999999997</v>
      </c>
      <c r="H23" s="304">
        <f t="shared" ref="H23:H28" si="6">(E23-D23)/D23</f>
        <v>1.6753321779318469E-2</v>
      </c>
      <c r="I23" s="53">
        <v>17.100000000000001</v>
      </c>
      <c r="W23" s="160">
        <v>42389</v>
      </c>
      <c r="X23" s="12">
        <v>15.43</v>
      </c>
      <c r="Y23" s="12">
        <v>16.079999999999998</v>
      </c>
      <c r="Z23" s="12">
        <v>15.1</v>
      </c>
      <c r="AA23" s="12">
        <v>15.78</v>
      </c>
      <c r="AB23" s="115">
        <v>3859700</v>
      </c>
      <c r="AC23" s="12">
        <v>15.78</v>
      </c>
      <c r="AD23" s="2">
        <f t="shared" si="2"/>
        <v>0.97999999999999865</v>
      </c>
      <c r="AE23" s="165">
        <f t="shared" si="3"/>
        <v>5.0955414012738842E-3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42388</v>
      </c>
      <c r="X24" s="12">
        <v>16.260000000000002</v>
      </c>
      <c r="Y24" s="12">
        <v>16.37</v>
      </c>
      <c r="Z24" s="12">
        <v>15.52</v>
      </c>
      <c r="AA24" s="12">
        <v>15.7</v>
      </c>
      <c r="AB24" s="115">
        <v>3086200</v>
      </c>
      <c r="AC24" s="12">
        <v>15.7</v>
      </c>
      <c r="AD24" s="2">
        <f t="shared" si="2"/>
        <v>0.85000000000000142</v>
      </c>
      <c r="AE24" s="165">
        <f t="shared" si="3"/>
        <v>-2.4844720496894568E-2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42384</v>
      </c>
      <c r="X25" s="12">
        <v>15.99</v>
      </c>
      <c r="Y25" s="12">
        <v>16.37</v>
      </c>
      <c r="Z25" s="12">
        <v>15.67</v>
      </c>
      <c r="AA25" s="12">
        <v>16.100000000000001</v>
      </c>
      <c r="AB25" s="115">
        <v>2542700</v>
      </c>
      <c r="AC25" s="12">
        <v>16.100000000000001</v>
      </c>
      <c r="AD25" s="2">
        <f t="shared" si="2"/>
        <v>0.70000000000000107</v>
      </c>
      <c r="AE25" s="165">
        <f t="shared" si="3"/>
        <v>-1.8890920170627545E-2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42383</v>
      </c>
      <c r="X26" s="12">
        <v>16.27</v>
      </c>
      <c r="Y26" s="12">
        <v>16.71</v>
      </c>
      <c r="Z26" s="12">
        <v>15.68</v>
      </c>
      <c r="AA26" s="12">
        <v>16.41</v>
      </c>
      <c r="AB26" s="115">
        <v>1552800</v>
      </c>
      <c r="AC26" s="12">
        <v>16.41</v>
      </c>
      <c r="AD26" s="2">
        <f t="shared" si="2"/>
        <v>1.0300000000000011</v>
      </c>
      <c r="AE26" s="165">
        <f t="shared" si="3"/>
        <v>1.0467980295566504E-2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42382</v>
      </c>
      <c r="X27" s="12">
        <v>16.79</v>
      </c>
      <c r="Y27" s="12">
        <v>17.07</v>
      </c>
      <c r="Z27" s="12">
        <v>16.13</v>
      </c>
      <c r="AA27" s="12">
        <v>16.239999999999998</v>
      </c>
      <c r="AB27" s="115">
        <v>1967700</v>
      </c>
      <c r="AC27" s="12">
        <v>16.239999999999998</v>
      </c>
      <c r="AD27" s="2">
        <f t="shared" si="2"/>
        <v>0.94000000000000128</v>
      </c>
      <c r="AE27" s="165">
        <f t="shared" si="3"/>
        <v>-2.9288702928870425E-2</v>
      </c>
    </row>
    <row r="28" spans="1:31" x14ac:dyDescent="0.25">
      <c r="B28" s="248">
        <v>42416</v>
      </c>
      <c r="C28" s="12">
        <v>60</v>
      </c>
      <c r="D28" s="53">
        <v>15.24</v>
      </c>
      <c r="E28" s="53">
        <v>16.809999999999999</v>
      </c>
      <c r="F28" s="53">
        <f t="shared" si="4"/>
        <v>94.199999999999903</v>
      </c>
      <c r="G28" s="53">
        <f t="shared" si="5"/>
        <v>914.4</v>
      </c>
      <c r="H28" s="304">
        <f t="shared" si="6"/>
        <v>0.10301837270341198</v>
      </c>
      <c r="I28" s="53"/>
      <c r="W28" s="160">
        <v>42381</v>
      </c>
      <c r="X28" s="12">
        <v>16.489999999999998</v>
      </c>
      <c r="Y28" s="12">
        <v>16.91</v>
      </c>
      <c r="Z28" s="12">
        <v>16.399999999999999</v>
      </c>
      <c r="AA28" s="12">
        <v>16.73</v>
      </c>
      <c r="AB28" s="115">
        <v>3124500</v>
      </c>
      <c r="AC28" s="12">
        <v>16.73</v>
      </c>
      <c r="AD28" s="2">
        <f t="shared" si="2"/>
        <v>0.51000000000000156</v>
      </c>
      <c r="AE28" s="165">
        <f t="shared" si="3"/>
        <v>3.2078963602714339E-2</v>
      </c>
    </row>
    <row r="29" spans="1:31" x14ac:dyDescent="0.25">
      <c r="B29" s="248"/>
      <c r="C29" s="12"/>
      <c r="D29" s="53"/>
      <c r="E29" s="53"/>
      <c r="F29" s="53"/>
      <c r="G29" s="53"/>
      <c r="H29" s="304"/>
      <c r="I29" s="53"/>
      <c r="W29" s="160">
        <v>42380</v>
      </c>
      <c r="X29" s="12">
        <v>16.66</v>
      </c>
      <c r="Y29" s="12">
        <v>16.760000000000002</v>
      </c>
      <c r="Z29" s="12">
        <v>16.010000000000002</v>
      </c>
      <c r="AA29" s="12">
        <v>16.21</v>
      </c>
      <c r="AB29" s="115">
        <v>1863500</v>
      </c>
      <c r="AC29" s="12">
        <v>16.21</v>
      </c>
      <c r="AD29" s="2">
        <f t="shared" si="2"/>
        <v>0.75</v>
      </c>
      <c r="AE29" s="165">
        <f t="shared" si="3"/>
        <v>-2.0543806646525664E-2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42377</v>
      </c>
      <c r="X30" s="12">
        <v>17.28</v>
      </c>
      <c r="Y30" s="12">
        <v>17.32</v>
      </c>
      <c r="Z30" s="12">
        <v>16.440000000000001</v>
      </c>
      <c r="AA30" s="12">
        <v>16.55</v>
      </c>
      <c r="AB30" s="115">
        <v>3105300</v>
      </c>
      <c r="AC30" s="12">
        <v>16.55</v>
      </c>
      <c r="AD30" s="2">
        <f t="shared" si="2"/>
        <v>0.87999999999999901</v>
      </c>
      <c r="AE30" s="165">
        <f t="shared" si="3"/>
        <v>-3.7230948225712601E-2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42376</v>
      </c>
      <c r="X31" s="12">
        <v>17.100000000000001</v>
      </c>
      <c r="Y31" s="12">
        <v>17.66</v>
      </c>
      <c r="Z31" s="12">
        <v>17.03</v>
      </c>
      <c r="AA31" s="12">
        <v>17.190000000000001</v>
      </c>
      <c r="AB31" s="115">
        <v>3502700</v>
      </c>
      <c r="AC31" s="12">
        <v>17.190000000000001</v>
      </c>
      <c r="AD31" s="2">
        <f t="shared" si="2"/>
        <v>0.62999999999999901</v>
      </c>
      <c r="AE31" s="165">
        <f t="shared" si="3"/>
        <v>-1.4334862385321112E-2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42375</v>
      </c>
      <c r="X32" s="12">
        <v>17.53</v>
      </c>
      <c r="Y32" s="12">
        <v>17.87</v>
      </c>
      <c r="Z32" s="12">
        <v>17.25</v>
      </c>
      <c r="AA32" s="12">
        <v>17.440000000000001</v>
      </c>
      <c r="AB32" s="115">
        <v>2032800</v>
      </c>
      <c r="AC32" s="12">
        <v>17.440000000000001</v>
      </c>
      <c r="AD32" s="2">
        <f t="shared" si="2"/>
        <v>0.62000000000000099</v>
      </c>
      <c r="AE32" s="165">
        <f t="shared" si="3"/>
        <v>-2.187324733595053E-2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42374</v>
      </c>
      <c r="X33" s="12">
        <v>17.920000000000002</v>
      </c>
      <c r="Y33" s="12">
        <v>18</v>
      </c>
      <c r="Z33" s="12">
        <v>17.260000000000002</v>
      </c>
      <c r="AA33" s="12">
        <v>17.829999999999998</v>
      </c>
      <c r="AB33" s="115">
        <v>2730100</v>
      </c>
      <c r="AC33" s="12">
        <v>17.829999999999998</v>
      </c>
      <c r="AD33" s="2">
        <f t="shared" si="2"/>
        <v>0.73999999999999844</v>
      </c>
      <c r="AE33" s="165">
        <f t="shared" si="3"/>
        <v>-5.0223214285716189E-3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42373</v>
      </c>
      <c r="X34" s="12">
        <v>17.309999999999999</v>
      </c>
      <c r="Y34" s="12">
        <v>17.96</v>
      </c>
      <c r="Z34" s="12">
        <v>17.16</v>
      </c>
      <c r="AA34" s="12">
        <v>17.920000000000002</v>
      </c>
      <c r="AB34" s="115">
        <v>2686600</v>
      </c>
      <c r="AC34" s="12">
        <v>17.920000000000002</v>
      </c>
      <c r="AD34" s="2">
        <f t="shared" si="2"/>
        <v>0.80000000000000071</v>
      </c>
      <c r="AE34" s="165">
        <f t="shared" si="3"/>
        <v>8.4411930219472353E-3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42369</v>
      </c>
      <c r="X35" s="12">
        <v>17.37</v>
      </c>
      <c r="Y35" s="12">
        <v>17.93</v>
      </c>
      <c r="Z35" s="12">
        <v>17.3</v>
      </c>
      <c r="AA35" s="12">
        <v>17.77</v>
      </c>
      <c r="AB35" s="115">
        <v>1930800</v>
      </c>
      <c r="AC35" s="12">
        <v>17.77</v>
      </c>
      <c r="AD35" s="2">
        <f t="shared" si="2"/>
        <v>0.62999999999999901</v>
      </c>
      <c r="AE35" s="165">
        <f t="shared" si="3"/>
        <v>1.8338108882521409E-2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42368</v>
      </c>
      <c r="X36" s="12">
        <v>17.63</v>
      </c>
      <c r="Y36" s="12">
        <v>17.739999999999998</v>
      </c>
      <c r="Z36" s="12">
        <v>17.38</v>
      </c>
      <c r="AA36" s="12">
        <v>17.45</v>
      </c>
      <c r="AB36" s="115">
        <v>1190100</v>
      </c>
      <c r="AC36" s="12">
        <v>17.45</v>
      </c>
      <c r="AD36" s="2">
        <f t="shared" si="2"/>
        <v>0.35999999999999943</v>
      </c>
      <c r="AE36" s="165">
        <f t="shared" si="3"/>
        <v>-1.5792442188381384E-2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42367</v>
      </c>
      <c r="X37" s="12">
        <v>17.29</v>
      </c>
      <c r="Y37" s="12">
        <v>17.79</v>
      </c>
      <c r="Z37" s="12">
        <v>17.29</v>
      </c>
      <c r="AA37" s="12">
        <v>17.73</v>
      </c>
      <c r="AB37" s="115">
        <v>1701200</v>
      </c>
      <c r="AC37" s="12">
        <v>17.73</v>
      </c>
      <c r="AD37" s="2">
        <f t="shared" si="2"/>
        <v>0.5</v>
      </c>
      <c r="AE37" s="165">
        <f t="shared" si="3"/>
        <v>3.3216783216783341E-2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42366</v>
      </c>
      <c r="X38" s="12">
        <v>17.57</v>
      </c>
      <c r="Y38" s="12">
        <v>17.649999999999999</v>
      </c>
      <c r="Z38" s="12">
        <v>17.059999999999999</v>
      </c>
      <c r="AA38" s="12">
        <v>17.16</v>
      </c>
      <c r="AB38" s="115">
        <v>1387600</v>
      </c>
      <c r="AC38" s="12">
        <v>17.16</v>
      </c>
      <c r="AD38" s="2">
        <f t="shared" si="2"/>
        <v>0.58999999999999986</v>
      </c>
      <c r="AE38" s="165">
        <f t="shared" si="3"/>
        <v>-2.5000000000000022E-2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42362</v>
      </c>
      <c r="X39" s="12">
        <v>17.64</v>
      </c>
      <c r="Y39" s="12">
        <v>17.77</v>
      </c>
      <c r="Z39" s="12">
        <v>17.420000000000002</v>
      </c>
      <c r="AA39" s="12">
        <v>17.600000000000001</v>
      </c>
      <c r="AB39" s="115">
        <v>595300</v>
      </c>
      <c r="AC39" s="12">
        <v>17.600000000000001</v>
      </c>
      <c r="AD39" s="2">
        <f t="shared" si="2"/>
        <v>0.34999999999999787</v>
      </c>
      <c r="AE39" s="165">
        <f t="shared" si="3"/>
        <v>-4.5248868778279272E-3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42361</v>
      </c>
      <c r="X40" s="12">
        <v>17.45</v>
      </c>
      <c r="Y40" s="12">
        <v>17.71</v>
      </c>
      <c r="Z40" s="12">
        <v>17.28</v>
      </c>
      <c r="AA40" s="12">
        <v>17.68</v>
      </c>
      <c r="AB40" s="115">
        <v>3721300</v>
      </c>
      <c r="AC40" s="12">
        <v>17.68</v>
      </c>
      <c r="AD40" s="2">
        <f t="shared" si="2"/>
        <v>0.42999999999999972</v>
      </c>
      <c r="AE40" s="165">
        <f t="shared" si="3"/>
        <v>2.1374927787406239E-2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42360</v>
      </c>
      <c r="X41" s="12">
        <v>17.3</v>
      </c>
      <c r="Y41" s="12">
        <v>17.559999999999999</v>
      </c>
      <c r="Z41" s="12">
        <v>16.86</v>
      </c>
      <c r="AA41" s="12">
        <v>17.309999999999999</v>
      </c>
      <c r="AB41" s="115">
        <v>3158300</v>
      </c>
      <c r="AC41" s="12">
        <v>17.309999999999999</v>
      </c>
      <c r="AD41" s="2">
        <f t="shared" si="2"/>
        <v>0.69999999999999929</v>
      </c>
      <c r="AE41" s="165">
        <f t="shared" si="3"/>
        <v>6.9808027923210503E-3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42359</v>
      </c>
      <c r="X42" s="12">
        <v>17.93</v>
      </c>
      <c r="Y42" s="12">
        <v>18</v>
      </c>
      <c r="Z42" s="12">
        <v>17.04</v>
      </c>
      <c r="AA42" s="12">
        <v>17.190000000000001</v>
      </c>
      <c r="AB42" s="115">
        <v>4071700</v>
      </c>
      <c r="AC42" s="12">
        <v>17.190000000000001</v>
      </c>
      <c r="AD42" s="2">
        <f t="shared" si="2"/>
        <v>0.96000000000000085</v>
      </c>
      <c r="AE42" s="165">
        <f t="shared" si="3"/>
        <v>-3.6434977578475247E-2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42356</v>
      </c>
      <c r="X43" s="12">
        <v>17.940000000000001</v>
      </c>
      <c r="Y43" s="12">
        <v>18.190000000000001</v>
      </c>
      <c r="Z43" s="12">
        <v>17.690000000000001</v>
      </c>
      <c r="AA43" s="12">
        <v>17.84</v>
      </c>
      <c r="AB43" s="115">
        <v>4369800</v>
      </c>
      <c r="AC43" s="12">
        <v>17.84</v>
      </c>
      <c r="AD43" s="2">
        <f t="shared" si="2"/>
        <v>0.5</v>
      </c>
      <c r="AE43" s="165">
        <f t="shared" si="3"/>
        <v>-1.0537992235163718E-2</v>
      </c>
    </row>
    <row r="44" spans="2:31" ht="20.25" thickBot="1" x14ac:dyDescent="0.35">
      <c r="O44" s="389" t="s">
        <v>78</v>
      </c>
      <c r="P44" s="389"/>
      <c r="T44" s="111" t="s">
        <v>121</v>
      </c>
      <c r="W44" s="160">
        <v>42355</v>
      </c>
      <c r="X44" s="12">
        <v>18.34</v>
      </c>
      <c r="Y44" s="12">
        <v>18.62</v>
      </c>
      <c r="Z44" s="12">
        <v>17.760000000000002</v>
      </c>
      <c r="AA44" s="12">
        <v>18.03</v>
      </c>
      <c r="AB44" s="115">
        <v>3811900</v>
      </c>
      <c r="AC44" s="12">
        <v>18.03</v>
      </c>
      <c r="AD44" s="2">
        <f t="shared" si="2"/>
        <v>0.85999999999999943</v>
      </c>
      <c r="AE44" s="165">
        <f t="shared" si="3"/>
        <v>-2.6457883369330415E-2</v>
      </c>
    </row>
    <row r="45" spans="2:31" ht="15.75" thickTop="1" x14ac:dyDescent="0.25">
      <c r="O45" s="103">
        <v>1.1000000000000001</v>
      </c>
      <c r="P45" s="103">
        <f>O45*$Q$4</f>
        <v>18.711000000000002</v>
      </c>
      <c r="Q45" s="2"/>
      <c r="T45" s="155" t="s">
        <v>106</v>
      </c>
      <c r="U45" s="118">
        <v>17.02</v>
      </c>
      <c r="W45" s="160">
        <v>42354</v>
      </c>
      <c r="X45" s="12">
        <v>17.95</v>
      </c>
      <c r="Y45" s="12">
        <v>18.63</v>
      </c>
      <c r="Z45" s="12">
        <v>17.84</v>
      </c>
      <c r="AA45" s="12">
        <v>18.52</v>
      </c>
      <c r="AB45" s="115">
        <v>2755800</v>
      </c>
      <c r="AC45" s="12">
        <v>18.52</v>
      </c>
      <c r="AD45" s="2">
        <f t="shared" si="2"/>
        <v>0.78999999999999915</v>
      </c>
      <c r="AE45" s="165">
        <f t="shared" si="3"/>
        <v>3.9281705948372547E-2</v>
      </c>
    </row>
    <row r="46" spans="2:31" x14ac:dyDescent="0.25">
      <c r="O46" s="103">
        <v>1.0900000000000001</v>
      </c>
      <c r="P46" s="103">
        <f t="shared" ref="P46:P65" si="7">O46*$Q$4</f>
        <v>18.540900000000004</v>
      </c>
      <c r="Q46" s="2"/>
      <c r="T46" s="113" t="s">
        <v>107</v>
      </c>
      <c r="U46" s="108">
        <v>16.79</v>
      </c>
      <c r="W46" s="160">
        <v>42353</v>
      </c>
      <c r="X46" s="12">
        <v>17.88</v>
      </c>
      <c r="Y46" s="12">
        <v>18.25</v>
      </c>
      <c r="Z46" s="12">
        <v>17.73</v>
      </c>
      <c r="AA46" s="12">
        <v>17.82</v>
      </c>
      <c r="AB46" s="115">
        <v>2886200</v>
      </c>
      <c r="AC46" s="12">
        <v>17.82</v>
      </c>
      <c r="AD46" s="2">
        <f t="shared" si="2"/>
        <v>0.51999999999999957</v>
      </c>
      <c r="AE46" s="165">
        <f t="shared" si="3"/>
        <v>6.2111801242235032E-3</v>
      </c>
    </row>
    <row r="47" spans="2:31" x14ac:dyDescent="0.25">
      <c r="O47" s="103">
        <v>1.08</v>
      </c>
      <c r="P47" s="103">
        <f t="shared" si="7"/>
        <v>18.370800000000003</v>
      </c>
      <c r="Q47" s="2"/>
      <c r="T47" s="113" t="s">
        <v>108</v>
      </c>
      <c r="U47" s="108" t="s">
        <v>374</v>
      </c>
      <c r="W47" s="160">
        <v>42352</v>
      </c>
      <c r="X47" s="12">
        <v>18.13</v>
      </c>
      <c r="Y47" s="12">
        <v>18.239999999999998</v>
      </c>
      <c r="Z47" s="12">
        <v>17.46</v>
      </c>
      <c r="AA47" s="12">
        <v>17.71</v>
      </c>
      <c r="AB47" s="115">
        <v>2701500</v>
      </c>
      <c r="AC47" s="12">
        <v>17.71</v>
      </c>
      <c r="AD47" s="2">
        <f t="shared" si="2"/>
        <v>0.77999999999999758</v>
      </c>
      <c r="AE47" s="165">
        <f t="shared" si="3"/>
        <v>-1.8292682926829174E-2</v>
      </c>
    </row>
    <row r="48" spans="2:31" x14ac:dyDescent="0.25">
      <c r="O48" s="103">
        <v>1.07</v>
      </c>
      <c r="P48" s="103">
        <f t="shared" si="7"/>
        <v>18.200700000000001</v>
      </c>
      <c r="Q48" s="2"/>
      <c r="T48" s="113" t="s">
        <v>109</v>
      </c>
      <c r="U48" s="108" t="s">
        <v>375</v>
      </c>
      <c r="W48" s="160">
        <v>42349</v>
      </c>
      <c r="X48" s="12">
        <v>18.73</v>
      </c>
      <c r="Y48" s="12">
        <v>18.78</v>
      </c>
      <c r="Z48" s="12">
        <v>17.84</v>
      </c>
      <c r="AA48" s="12">
        <v>18.04</v>
      </c>
      <c r="AB48" s="115">
        <v>2933300</v>
      </c>
      <c r="AC48" s="12">
        <v>18.04</v>
      </c>
      <c r="AD48" s="2">
        <f t="shared" si="2"/>
        <v>0.94000000000000128</v>
      </c>
      <c r="AE48" s="165">
        <f t="shared" si="3"/>
        <v>-4.6511627906976827E-2</v>
      </c>
    </row>
    <row r="49" spans="15:31" x14ac:dyDescent="0.25">
      <c r="O49" s="103">
        <v>1.06</v>
      </c>
      <c r="P49" s="103">
        <f t="shared" si="7"/>
        <v>18.030600000000003</v>
      </c>
      <c r="Q49" s="2"/>
      <c r="T49" s="113" t="s">
        <v>110</v>
      </c>
      <c r="U49" s="108">
        <v>27.06</v>
      </c>
      <c r="W49" s="160">
        <v>42348</v>
      </c>
      <c r="X49" s="12">
        <v>18.88</v>
      </c>
      <c r="Y49" s="12">
        <v>19.25</v>
      </c>
      <c r="Z49" s="12">
        <v>18.72</v>
      </c>
      <c r="AA49" s="12">
        <v>18.920000000000002</v>
      </c>
      <c r="AB49" s="115">
        <v>1128200</v>
      </c>
      <c r="AC49" s="12">
        <v>18.920000000000002</v>
      </c>
      <c r="AD49" s="2">
        <f t="shared" si="2"/>
        <v>0.53000000000000114</v>
      </c>
      <c r="AE49" s="165">
        <f t="shared" si="3"/>
        <v>1.5881418740075759E-3</v>
      </c>
    </row>
    <row r="50" spans="15:31" x14ac:dyDescent="0.25">
      <c r="O50" s="103">
        <v>1.05</v>
      </c>
      <c r="P50" s="103">
        <f t="shared" si="7"/>
        <v>17.860500000000002</v>
      </c>
      <c r="Q50" s="2"/>
      <c r="T50" s="113" t="s">
        <v>111</v>
      </c>
      <c r="U50" s="108">
        <v>1.1091200000000001</v>
      </c>
      <c r="W50" s="160">
        <v>42347</v>
      </c>
      <c r="X50" s="12">
        <v>18.84</v>
      </c>
      <c r="Y50" s="12">
        <v>19.61</v>
      </c>
      <c r="Z50" s="12">
        <v>18.7</v>
      </c>
      <c r="AA50" s="12">
        <v>18.89</v>
      </c>
      <c r="AB50" s="115">
        <v>3443900</v>
      </c>
      <c r="AC50" s="12">
        <v>18.89</v>
      </c>
      <c r="AD50" s="2">
        <f t="shared" si="2"/>
        <v>0.91000000000000014</v>
      </c>
      <c r="AE50" s="165">
        <f t="shared" si="3"/>
        <v>-5.265929436545469E-3</v>
      </c>
    </row>
    <row r="51" spans="15:31" x14ac:dyDescent="0.25">
      <c r="O51" s="103">
        <v>1.04</v>
      </c>
      <c r="P51" s="103">
        <f t="shared" si="7"/>
        <v>17.690400000000004</v>
      </c>
      <c r="Q51" s="2"/>
      <c r="T51" s="113" t="s">
        <v>112</v>
      </c>
      <c r="U51" s="108" t="s">
        <v>315</v>
      </c>
      <c r="W51" s="160">
        <v>42346</v>
      </c>
      <c r="X51" s="12">
        <v>18.89</v>
      </c>
      <c r="Y51" s="12">
        <v>19.190000000000001</v>
      </c>
      <c r="Z51" s="12">
        <v>18.7</v>
      </c>
      <c r="AA51" s="12">
        <v>18.989999999999998</v>
      </c>
      <c r="AB51" s="115">
        <v>2466500</v>
      </c>
      <c r="AC51" s="12">
        <v>18.989999999999998</v>
      </c>
      <c r="AD51" s="2">
        <f t="shared" si="2"/>
        <v>0.49000000000000199</v>
      </c>
      <c r="AE51" s="165">
        <f t="shared" si="3"/>
        <v>-4.1950707918196883E-3</v>
      </c>
    </row>
    <row r="52" spans="15:31" x14ac:dyDescent="0.25">
      <c r="O52" s="103">
        <v>1.03</v>
      </c>
      <c r="P52" s="103">
        <f t="shared" si="7"/>
        <v>17.520300000000002</v>
      </c>
      <c r="Q52" s="2"/>
      <c r="T52" s="113"/>
      <c r="U52" s="108"/>
      <c r="W52" s="160">
        <v>42345</v>
      </c>
      <c r="X52" s="12">
        <v>19.21</v>
      </c>
      <c r="Y52" s="12">
        <v>19.350000000000001</v>
      </c>
      <c r="Z52" s="12">
        <v>18.54</v>
      </c>
      <c r="AA52" s="12">
        <v>19.07</v>
      </c>
      <c r="AB52" s="115">
        <v>2640700</v>
      </c>
      <c r="AC52" s="12">
        <v>19.07</v>
      </c>
      <c r="AD52" s="2">
        <f t="shared" si="2"/>
        <v>0.81000000000000227</v>
      </c>
      <c r="AE52" s="165">
        <f t="shared" si="3"/>
        <v>-8.3203328133125698E-3</v>
      </c>
    </row>
    <row r="53" spans="15:31" x14ac:dyDescent="0.25">
      <c r="O53" s="103">
        <v>1.02</v>
      </c>
      <c r="P53" s="103">
        <f t="shared" si="7"/>
        <v>17.350200000000001</v>
      </c>
      <c r="Q53" s="2"/>
      <c r="T53" s="113" t="s">
        <v>113</v>
      </c>
      <c r="U53" s="108" t="s">
        <v>376</v>
      </c>
      <c r="W53" s="160">
        <v>42342</v>
      </c>
      <c r="X53" s="12">
        <v>19.02</v>
      </c>
      <c r="Y53" s="12">
        <v>19.440000000000001</v>
      </c>
      <c r="Z53" s="12">
        <v>18.91</v>
      </c>
      <c r="AA53" s="12">
        <v>19.23</v>
      </c>
      <c r="AB53" s="115">
        <v>2079800</v>
      </c>
      <c r="AC53" s="12">
        <v>19.23</v>
      </c>
      <c r="AD53" s="2">
        <f t="shared" si="2"/>
        <v>0.53000000000000114</v>
      </c>
      <c r="AE53" s="165">
        <f t="shared" si="3"/>
        <v>1.6384778012684897E-2</v>
      </c>
    </row>
    <row r="54" spans="15:31" x14ac:dyDescent="0.25">
      <c r="O54" s="103">
        <v>1.01</v>
      </c>
      <c r="P54" s="103">
        <f t="shared" si="7"/>
        <v>17.180100000000003</v>
      </c>
      <c r="Q54" s="2"/>
      <c r="T54" s="113" t="s">
        <v>114</v>
      </c>
      <c r="U54" s="108" t="s">
        <v>287</v>
      </c>
      <c r="W54" s="160">
        <v>42341</v>
      </c>
      <c r="X54" s="12">
        <v>19.96</v>
      </c>
      <c r="Y54" s="12">
        <v>20.02</v>
      </c>
      <c r="Z54" s="12">
        <v>18.77</v>
      </c>
      <c r="AA54" s="12">
        <v>18.920000000000002</v>
      </c>
      <c r="AB54" s="115">
        <v>2185300</v>
      </c>
      <c r="AC54" s="12">
        <v>18.920000000000002</v>
      </c>
      <c r="AD54" s="2">
        <f t="shared" si="2"/>
        <v>1.25</v>
      </c>
      <c r="AE54" s="165">
        <f t="shared" si="3"/>
        <v>-5.1153460381143434E-2</v>
      </c>
    </row>
    <row r="55" spans="15:31" x14ac:dyDescent="0.25">
      <c r="O55" s="103">
        <v>1</v>
      </c>
      <c r="P55" s="103">
        <f t="shared" si="7"/>
        <v>17.010000000000002</v>
      </c>
      <c r="Q55" s="2"/>
      <c r="T55" s="113" t="s">
        <v>115</v>
      </c>
      <c r="U55" s="110">
        <v>1766643</v>
      </c>
      <c r="W55" s="160">
        <v>42340</v>
      </c>
      <c r="X55" s="12">
        <v>20.32</v>
      </c>
      <c r="Y55" s="12">
        <v>20.65</v>
      </c>
      <c r="Z55" s="12">
        <v>19.77</v>
      </c>
      <c r="AA55" s="12">
        <v>19.940000000000001</v>
      </c>
      <c r="AB55" s="115">
        <v>1222900</v>
      </c>
      <c r="AC55" s="12">
        <v>19.940000000000001</v>
      </c>
      <c r="AD55" s="2">
        <f t="shared" si="2"/>
        <v>0.87999999999999901</v>
      </c>
      <c r="AE55" s="165">
        <f t="shared" si="3"/>
        <v>-1.6765285996055201E-2</v>
      </c>
    </row>
    <row r="56" spans="15:31" x14ac:dyDescent="0.25">
      <c r="O56" s="103">
        <v>0.99</v>
      </c>
      <c r="P56" s="103">
        <f t="shared" si="7"/>
        <v>16.8399</v>
      </c>
      <c r="Q56" s="2"/>
      <c r="T56" s="113" t="s">
        <v>118</v>
      </c>
      <c r="U56" s="110">
        <v>2387130</v>
      </c>
      <c r="W56" s="160">
        <v>42339</v>
      </c>
      <c r="X56" s="12">
        <v>20.149999999999999</v>
      </c>
      <c r="Y56" s="12">
        <v>20.47</v>
      </c>
      <c r="Z56" s="12">
        <v>20.010000000000002</v>
      </c>
      <c r="AA56" s="12">
        <v>20.28</v>
      </c>
      <c r="AB56" s="115">
        <v>1755000</v>
      </c>
      <c r="AC56" s="12">
        <v>20.28</v>
      </c>
      <c r="AD56" s="2">
        <f t="shared" si="2"/>
        <v>0.4599999999999973</v>
      </c>
      <c r="AE56" s="165">
        <f t="shared" si="3"/>
        <v>1.1976047904191711E-2</v>
      </c>
    </row>
    <row r="57" spans="15:31" x14ac:dyDescent="0.25">
      <c r="O57" s="103">
        <v>0.98</v>
      </c>
      <c r="P57" s="103">
        <f t="shared" si="7"/>
        <v>16.669800000000002</v>
      </c>
      <c r="Q57" s="2"/>
      <c r="T57" s="113" t="s">
        <v>116</v>
      </c>
      <c r="U57" s="108" t="s">
        <v>377</v>
      </c>
      <c r="W57" s="160">
        <v>42338</v>
      </c>
      <c r="X57" s="12">
        <v>20.420000000000002</v>
      </c>
      <c r="Y57" s="12">
        <v>20.54</v>
      </c>
      <c r="Z57" s="12">
        <v>19.84</v>
      </c>
      <c r="AA57" s="12">
        <v>20.04</v>
      </c>
      <c r="AB57" s="115">
        <v>1867900</v>
      </c>
      <c r="AC57" s="12">
        <v>20.04</v>
      </c>
      <c r="AD57" s="2">
        <f t="shared" si="2"/>
        <v>0.69999999999999929</v>
      </c>
      <c r="AE57" s="165">
        <f t="shared" si="3"/>
        <v>-2.052785923753675E-2</v>
      </c>
    </row>
    <row r="58" spans="15:31" x14ac:dyDescent="0.25">
      <c r="O58" s="103">
        <v>0.97</v>
      </c>
      <c r="P58" s="103">
        <f t="shared" si="7"/>
        <v>16.499700000000001</v>
      </c>
      <c r="T58" s="113" t="s">
        <v>119</v>
      </c>
      <c r="U58" s="108">
        <v>26.45</v>
      </c>
      <c r="W58" s="160">
        <v>42335</v>
      </c>
      <c r="X58" s="12">
        <v>20.94</v>
      </c>
      <c r="Y58" s="12">
        <v>20.99</v>
      </c>
      <c r="Z58" s="12">
        <v>20.27</v>
      </c>
      <c r="AA58" s="12">
        <v>20.46</v>
      </c>
      <c r="AB58" s="115">
        <v>755600</v>
      </c>
      <c r="AC58" s="12">
        <v>20.46</v>
      </c>
      <c r="AD58" s="2">
        <f t="shared" si="2"/>
        <v>0.71999999999999886</v>
      </c>
      <c r="AE58" s="165">
        <f t="shared" si="3"/>
        <v>-2.3389021479713556E-2</v>
      </c>
    </row>
    <row r="59" spans="15:31" x14ac:dyDescent="0.25">
      <c r="O59" s="103">
        <v>0.96</v>
      </c>
      <c r="P59" s="103">
        <f t="shared" si="7"/>
        <v>16.329599999999999</v>
      </c>
      <c r="T59" s="113" t="s">
        <v>120</v>
      </c>
      <c r="U59" s="108">
        <v>0.64</v>
      </c>
      <c r="W59" s="160">
        <v>42333</v>
      </c>
      <c r="X59" s="12">
        <v>20.61</v>
      </c>
      <c r="Y59" s="12">
        <v>21.1</v>
      </c>
      <c r="Z59" s="12">
        <v>20.48</v>
      </c>
      <c r="AA59" s="12">
        <v>20.95</v>
      </c>
      <c r="AB59" s="115">
        <v>1964000</v>
      </c>
      <c r="AC59" s="12">
        <v>20.95</v>
      </c>
      <c r="AD59" s="2">
        <f t="shared" si="2"/>
        <v>0.62000000000000099</v>
      </c>
      <c r="AE59" s="165">
        <f t="shared" si="3"/>
        <v>2.1452949780594643E-2</v>
      </c>
    </row>
    <row r="60" spans="15:31" x14ac:dyDescent="0.25">
      <c r="O60" s="103">
        <v>0.95</v>
      </c>
      <c r="P60" s="103">
        <f t="shared" si="7"/>
        <v>16.159500000000001</v>
      </c>
      <c r="T60" s="113" t="s">
        <v>117</v>
      </c>
      <c r="U60" s="108" t="s">
        <v>132</v>
      </c>
      <c r="W60" s="160">
        <v>42332</v>
      </c>
      <c r="X60" s="12">
        <v>19.73</v>
      </c>
      <c r="Y60" s="12">
        <v>20.78</v>
      </c>
      <c r="Z60" s="12">
        <v>19.66</v>
      </c>
      <c r="AA60" s="12">
        <v>20.51</v>
      </c>
      <c r="AB60" s="115">
        <v>2234100</v>
      </c>
      <c r="AC60" s="12">
        <v>20.51</v>
      </c>
      <c r="AD60" s="2">
        <f t="shared" si="2"/>
        <v>1.120000000000001</v>
      </c>
      <c r="AE60" s="165">
        <f t="shared" si="3"/>
        <v>3.117144293614893E-2</v>
      </c>
    </row>
    <row r="61" spans="15:31" x14ac:dyDescent="0.25">
      <c r="O61" s="103">
        <v>0.94</v>
      </c>
      <c r="P61" s="103">
        <f t="shared" si="7"/>
        <v>15.9894</v>
      </c>
      <c r="W61" s="160">
        <v>42331</v>
      </c>
      <c r="X61" s="12">
        <v>19.2</v>
      </c>
      <c r="Y61" s="12">
        <v>19.95</v>
      </c>
      <c r="Z61" s="12">
        <v>19.04</v>
      </c>
      <c r="AA61" s="12">
        <v>19.89</v>
      </c>
      <c r="AB61" s="115">
        <v>2364200</v>
      </c>
      <c r="AC61" s="12">
        <v>19.89</v>
      </c>
      <c r="AD61" s="2">
        <f t="shared" si="2"/>
        <v>0.91000000000000014</v>
      </c>
      <c r="AE61" s="165">
        <f t="shared" si="3"/>
        <v>3.5937500000000178E-2</v>
      </c>
    </row>
    <row r="62" spans="15:31" x14ac:dyDescent="0.25">
      <c r="O62" s="103">
        <v>0.93</v>
      </c>
      <c r="P62" s="103">
        <f t="shared" si="7"/>
        <v>15.819300000000002</v>
      </c>
      <c r="W62" s="160">
        <v>42328</v>
      </c>
      <c r="X62" s="12">
        <v>19.02</v>
      </c>
      <c r="Y62" s="12">
        <v>19.760000000000002</v>
      </c>
      <c r="Z62" s="12">
        <v>19.02</v>
      </c>
      <c r="AA62" s="12">
        <v>19.2</v>
      </c>
      <c r="AB62" s="115">
        <v>2062900</v>
      </c>
      <c r="AC62" s="12">
        <v>19.2</v>
      </c>
      <c r="AD62" s="2">
        <f t="shared" si="2"/>
        <v>0.74000000000000199</v>
      </c>
      <c r="AE62" s="165">
        <f t="shared" si="3"/>
        <v>1.964949548592676E-2</v>
      </c>
    </row>
    <row r="63" spans="15:31" x14ac:dyDescent="0.25">
      <c r="O63" s="103">
        <v>0.92</v>
      </c>
      <c r="P63" s="103">
        <f t="shared" si="7"/>
        <v>15.649200000000002</v>
      </c>
      <c r="W63" s="160">
        <v>42327</v>
      </c>
      <c r="X63" s="12">
        <v>19.16</v>
      </c>
      <c r="Y63" s="12">
        <v>19.25</v>
      </c>
      <c r="Z63" s="12">
        <v>18.73</v>
      </c>
      <c r="AA63" s="12">
        <v>18.829999999999998</v>
      </c>
      <c r="AB63" s="115">
        <v>1813100</v>
      </c>
      <c r="AC63" s="12">
        <v>18.829999999999998</v>
      </c>
      <c r="AD63" s="2">
        <f t="shared" si="2"/>
        <v>0.51999999999999957</v>
      </c>
      <c r="AE63" s="165">
        <f t="shared" si="3"/>
        <v>-2.3846552617936778E-2</v>
      </c>
    </row>
    <row r="64" spans="15:31" x14ac:dyDescent="0.25">
      <c r="O64" s="103">
        <v>0.91</v>
      </c>
      <c r="P64" s="103">
        <f t="shared" si="7"/>
        <v>15.479100000000003</v>
      </c>
      <c r="W64" s="160">
        <v>42326</v>
      </c>
      <c r="X64" s="12">
        <v>18.64</v>
      </c>
      <c r="Y64" s="12">
        <v>19.39</v>
      </c>
      <c r="Z64" s="12">
        <v>18.62</v>
      </c>
      <c r="AA64" s="12">
        <v>19.29</v>
      </c>
      <c r="AB64" s="115">
        <v>2155400</v>
      </c>
      <c r="AC64" s="12">
        <v>19.29</v>
      </c>
      <c r="AD64" s="2">
        <f t="shared" si="2"/>
        <v>0.76999999999999957</v>
      </c>
      <c r="AE64" s="165">
        <f t="shared" si="3"/>
        <v>3.7096774193548177E-2</v>
      </c>
    </row>
    <row r="65" spans="15:31" x14ac:dyDescent="0.25">
      <c r="O65" s="103">
        <v>0.9</v>
      </c>
      <c r="P65" s="103">
        <f t="shared" si="7"/>
        <v>15.309000000000001</v>
      </c>
      <c r="W65" s="160">
        <v>42325</v>
      </c>
      <c r="X65" s="12">
        <v>19.16</v>
      </c>
      <c r="Y65" s="12">
        <v>19.170000000000002</v>
      </c>
      <c r="Z65" s="12">
        <v>18.52</v>
      </c>
      <c r="AA65" s="12">
        <v>18.600000000000001</v>
      </c>
      <c r="AB65" s="115">
        <v>2026900</v>
      </c>
      <c r="AC65" s="12">
        <v>18.600000000000001</v>
      </c>
      <c r="AD65" s="2">
        <f t="shared" si="2"/>
        <v>0.65000000000000213</v>
      </c>
      <c r="AE65" s="165">
        <f t="shared" si="3"/>
        <v>-2.6687598116169386E-2</v>
      </c>
    </row>
    <row r="66" spans="15:31" x14ac:dyDescent="0.25">
      <c r="O66" s="47"/>
      <c r="W66" s="160">
        <v>42324</v>
      </c>
      <c r="X66" s="12">
        <v>19.39</v>
      </c>
      <c r="Y66" s="12">
        <v>19.77</v>
      </c>
      <c r="Z66" s="12">
        <v>18.62</v>
      </c>
      <c r="AA66" s="12">
        <v>19.11</v>
      </c>
      <c r="AB66" s="115">
        <v>2453200</v>
      </c>
      <c r="AC66" s="12">
        <v>19.11</v>
      </c>
      <c r="AD66" s="2">
        <f t="shared" si="2"/>
        <v>1.1499999999999986</v>
      </c>
      <c r="AE66" s="165">
        <f t="shared" si="3"/>
        <v>-2.1004098360655754E-2</v>
      </c>
    </row>
    <row r="67" spans="15:31" x14ac:dyDescent="0.25">
      <c r="W67" s="160">
        <v>42321</v>
      </c>
      <c r="X67" s="12">
        <v>20.5</v>
      </c>
      <c r="Y67" s="12">
        <v>20.5</v>
      </c>
      <c r="Z67" s="12">
        <v>19.350000000000001</v>
      </c>
      <c r="AA67" s="12">
        <v>19.52</v>
      </c>
      <c r="AB67" s="115">
        <v>3780400</v>
      </c>
      <c r="AC67" s="12">
        <v>19.52</v>
      </c>
      <c r="AD67" s="2">
        <f t="shared" ref="AD67:AD68" si="8">Y67-Z67</f>
        <v>1.1499999999999986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31" priority="30">
      <formula>Q7&gt;0</formula>
    </cfRule>
    <cfRule type="expression" dxfId="23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9" priority="23">
      <formula>F27&gt;0</formula>
    </cfRule>
    <cfRule type="expression" dxfId="228" priority="24">
      <formula>F27&lt;0</formula>
    </cfRule>
  </conditionalFormatting>
  <conditionalFormatting sqref="F29:F33">
    <cfRule type="expression" dxfId="227" priority="19">
      <formula>F29&gt;0</formula>
    </cfRule>
    <cfRule type="expression" dxfId="226" priority="20">
      <formula>F29&lt;0</formula>
    </cfRule>
  </conditionalFormatting>
  <conditionalFormatting sqref="F29:F32">
    <cfRule type="expression" dxfId="225" priority="21">
      <formula>F29&gt;0</formula>
    </cfRule>
    <cfRule type="expression" dxfId="224" priority="22">
      <formula>F29&lt;0</formula>
    </cfRule>
  </conditionalFormatting>
  <conditionalFormatting sqref="H27:H33">
    <cfRule type="expression" dxfId="223" priority="17">
      <formula>H27&gt;0</formula>
    </cfRule>
    <cfRule type="expression" dxfId="222" priority="18">
      <formula>H27&lt;0</formula>
    </cfRule>
  </conditionalFormatting>
  <conditionalFormatting sqref="F34">
    <cfRule type="expression" dxfId="221" priority="15">
      <formula>F34&gt;0</formula>
    </cfRule>
    <cfRule type="expression" dxfId="220" priority="16">
      <formula>F34&lt;0</formula>
    </cfRule>
  </conditionalFormatting>
  <conditionalFormatting sqref="H34">
    <cfRule type="expression" dxfId="219" priority="13">
      <formula>H34&gt;0</formula>
    </cfRule>
    <cfRule type="expression" dxfId="218" priority="14">
      <formula>H34&lt;0</formula>
    </cfRule>
  </conditionalFormatting>
  <conditionalFormatting sqref="F36:F43">
    <cfRule type="expression" dxfId="217" priority="11">
      <formula>F36&gt;0</formula>
    </cfRule>
    <cfRule type="expression" dxfId="216" priority="12">
      <formula>F36&lt;0</formula>
    </cfRule>
  </conditionalFormatting>
  <conditionalFormatting sqref="H36:H43">
    <cfRule type="expression" dxfId="215" priority="9">
      <formula>H36&gt;0</formula>
    </cfRule>
    <cfRule type="expression" dxfId="214" priority="10">
      <formula>H36&lt;0</formula>
    </cfRule>
  </conditionalFormatting>
  <conditionalFormatting sqref="F35">
    <cfRule type="expression" dxfId="213" priority="7">
      <formula>F35&gt;0</formula>
    </cfRule>
    <cfRule type="expression" dxfId="212" priority="8">
      <formula>F35&lt;0</formula>
    </cfRule>
  </conditionalFormatting>
  <conditionalFormatting sqref="H35">
    <cfRule type="expression" dxfId="211" priority="5">
      <formula>H35&gt;0</formula>
    </cfRule>
    <cfRule type="expression" dxfId="210" priority="6">
      <formula>H35&lt;0</formula>
    </cfRule>
  </conditionalFormatting>
  <conditionalFormatting sqref="F22:F26">
    <cfRule type="expression" dxfId="209" priority="3">
      <formula>F22&gt;0</formula>
    </cfRule>
    <cfRule type="expression" dxfId="208" priority="4">
      <formula>F22&lt;0</formula>
    </cfRule>
  </conditionalFormatting>
  <conditionalFormatting sqref="H22:H26">
    <cfRule type="expression" dxfId="207" priority="1">
      <formula>H22&gt;0</formula>
    </cfRule>
    <cfRule type="expression" dxfId="20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K14" sqref="K14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1" x14ac:dyDescent="0.25">
      <c r="A2" s="6" t="s">
        <v>278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3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>
        <v>42419</v>
      </c>
      <c r="X2" s="12">
        <v>37.44</v>
      </c>
      <c r="Y2" s="12">
        <v>37.58</v>
      </c>
      <c r="Z2" s="12">
        <v>36.85</v>
      </c>
      <c r="AA2" s="12">
        <v>37.46</v>
      </c>
      <c r="AB2" s="115">
        <v>3501600</v>
      </c>
      <c r="AC2" s="12">
        <v>37.46</v>
      </c>
      <c r="AD2" s="2">
        <f>Y2-Z2</f>
        <v>0.72999999999999687</v>
      </c>
      <c r="AE2" s="165">
        <f>AC2/AC3-1</f>
        <v>-1.0666666666666602E-3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191</v>
      </c>
      <c r="W3" s="160">
        <v>42418</v>
      </c>
      <c r="X3" s="12">
        <v>37.299999999999997</v>
      </c>
      <c r="Y3" s="12">
        <v>37.549999999999997</v>
      </c>
      <c r="Z3" s="12">
        <v>36.89</v>
      </c>
      <c r="AA3" s="12">
        <v>37.5</v>
      </c>
      <c r="AB3" s="115">
        <v>4634700</v>
      </c>
      <c r="AC3" s="12">
        <v>37.5</v>
      </c>
      <c r="AD3" s="2">
        <f t="shared" ref="AD3:AD66" si="0">Y3-Z3</f>
        <v>0.65999999999999659</v>
      </c>
      <c r="AE3" s="165">
        <f t="shared" ref="AE3:AE66" si="1">AC3/AC4-1</f>
        <v>1.8701576275714782E-3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37.46</v>
      </c>
      <c r="W4" s="160">
        <v>42417</v>
      </c>
      <c r="X4" s="12">
        <v>36.130000000000003</v>
      </c>
      <c r="Y4" s="12">
        <v>37.799999999999997</v>
      </c>
      <c r="Z4" s="12">
        <v>36.03</v>
      </c>
      <c r="AA4" s="12">
        <v>37.43</v>
      </c>
      <c r="AB4" s="115">
        <v>6598400</v>
      </c>
      <c r="AC4" s="12">
        <v>37.43</v>
      </c>
      <c r="AD4" s="2">
        <f t="shared" si="0"/>
        <v>1.769999999999996</v>
      </c>
      <c r="AE4" s="165">
        <f t="shared" si="1"/>
        <v>3.9722222222222214E-2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2996.8</v>
      </c>
      <c r="W5" s="160">
        <v>42416</v>
      </c>
      <c r="X5" s="12">
        <v>35.270000000000003</v>
      </c>
      <c r="Y5" s="12">
        <v>36.1</v>
      </c>
      <c r="Z5" s="12">
        <v>34.840000000000003</v>
      </c>
      <c r="AA5" s="12">
        <v>36</v>
      </c>
      <c r="AB5" s="115">
        <v>4744400</v>
      </c>
      <c r="AC5" s="12">
        <v>36</v>
      </c>
      <c r="AD5" s="2">
        <f t="shared" si="0"/>
        <v>1.259999999999998</v>
      </c>
      <c r="AE5" s="165">
        <f t="shared" si="1"/>
        <v>3.4780109226789424E-2</v>
      </c>
    </row>
    <row r="6" spans="1:41" x14ac:dyDescent="0.25">
      <c r="G6" s="2"/>
      <c r="O6" t="s">
        <v>64</v>
      </c>
      <c r="Q6" s="2">
        <f>Q3*Q2</f>
        <v>3170.6</v>
      </c>
      <c r="W6" s="160">
        <v>42412</v>
      </c>
      <c r="X6" s="12">
        <v>33.76</v>
      </c>
      <c r="Y6" s="12">
        <v>34.81</v>
      </c>
      <c r="Z6" s="12">
        <v>33.42</v>
      </c>
      <c r="AA6" s="12">
        <v>34.79</v>
      </c>
      <c r="AB6" s="115">
        <v>3982400</v>
      </c>
      <c r="AC6" s="12">
        <v>34.79</v>
      </c>
      <c r="AD6" s="2">
        <f t="shared" si="0"/>
        <v>1.3900000000000006</v>
      </c>
      <c r="AE6" s="165">
        <f t="shared" si="1"/>
        <v>3.0509478672985813E-2</v>
      </c>
    </row>
    <row r="7" spans="1:41" ht="15.75" x14ac:dyDescent="0.25">
      <c r="B7" s="246" t="s">
        <v>122</v>
      </c>
      <c r="C7" s="246" t="s">
        <v>189</v>
      </c>
      <c r="D7" s="247" t="s">
        <v>188</v>
      </c>
      <c r="E7" s="249" t="s">
        <v>190</v>
      </c>
      <c r="F7" s="250" t="s">
        <v>65</v>
      </c>
      <c r="G7" s="294" t="s">
        <v>195</v>
      </c>
      <c r="H7" s="250" t="s">
        <v>92</v>
      </c>
      <c r="O7" t="s">
        <v>65</v>
      </c>
      <c r="Q7" s="2">
        <f>Q5-Q6</f>
        <v>-173.79999999999973</v>
      </c>
      <c r="R7" s="244"/>
      <c r="W7" s="160">
        <v>42411</v>
      </c>
      <c r="X7" s="12">
        <v>34.020000000000003</v>
      </c>
      <c r="Y7" s="12">
        <v>34.520000000000003</v>
      </c>
      <c r="Z7" s="12">
        <v>33.26</v>
      </c>
      <c r="AA7" s="12">
        <v>33.76</v>
      </c>
      <c r="AB7" s="115">
        <v>4825500</v>
      </c>
      <c r="AC7" s="12">
        <v>33.76</v>
      </c>
      <c r="AD7" s="2">
        <f t="shared" si="0"/>
        <v>1.2600000000000051</v>
      </c>
      <c r="AE7" s="165">
        <f t="shared" si="1"/>
        <v>-3.1832520791511332E-2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f>C8*(E8-D8)</f>
        <v>-40.799999999999983</v>
      </c>
      <c r="G8" s="53">
        <f>D8*C8</f>
        <v>2460.6</v>
      </c>
      <c r="H8" s="304">
        <f>(E8-D8)/D8</f>
        <v>-1.6581321628871E-2</v>
      </c>
      <c r="O8" s="13" t="s">
        <v>92</v>
      </c>
      <c r="Q8" s="165">
        <f>(Q4-Q3)/Q3</f>
        <v>-5.4816123131268518E-2</v>
      </c>
      <c r="W8" s="160">
        <v>42410</v>
      </c>
      <c r="X8" s="12">
        <v>34.549999999999997</v>
      </c>
      <c r="Y8" s="12">
        <v>35.24</v>
      </c>
      <c r="Z8" s="12">
        <v>34.299999999999997</v>
      </c>
      <c r="AA8" s="12">
        <v>34.869999999999997</v>
      </c>
      <c r="AB8" s="115">
        <v>3657400</v>
      </c>
      <c r="AC8" s="12">
        <v>34.869999999999997</v>
      </c>
      <c r="AD8" s="2">
        <f t="shared" si="0"/>
        <v>0.94000000000000483</v>
      </c>
      <c r="AE8" s="165">
        <f t="shared" si="1"/>
        <v>1.7508024511234233E-2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f t="shared" ref="F9:F10" si="2">C9*(E9-D9)</f>
        <v>-272.00000000000045</v>
      </c>
      <c r="G9" s="53">
        <f t="shared" ref="G9:G10" si="3">D9*C9</f>
        <v>3170.4</v>
      </c>
      <c r="H9" s="304">
        <f t="shared" ref="H9:H10" si="4">(E9-D9)/D9</f>
        <v>-8.5793590714105611E-2</v>
      </c>
      <c r="W9" s="160">
        <v>42409</v>
      </c>
      <c r="X9" s="12">
        <v>33.92</v>
      </c>
      <c r="Y9" s="12">
        <v>34.700000000000003</v>
      </c>
      <c r="Z9" s="12">
        <v>33.43</v>
      </c>
      <c r="AA9" s="12">
        <v>34.270000000000003</v>
      </c>
      <c r="AB9" s="115">
        <v>8225300</v>
      </c>
      <c r="AC9" s="12">
        <v>34.270000000000003</v>
      </c>
      <c r="AD9" s="2">
        <f t="shared" si="0"/>
        <v>1.2700000000000031</v>
      </c>
      <c r="AE9" s="165">
        <f t="shared" si="1"/>
        <v>2.9188558085246896E-4</v>
      </c>
    </row>
    <row r="10" spans="1:41" x14ac:dyDescent="0.25">
      <c r="B10" s="248">
        <v>42421</v>
      </c>
      <c r="C10" s="12">
        <v>80</v>
      </c>
      <c r="D10" s="53">
        <v>39.630000000000003</v>
      </c>
      <c r="E10" s="53">
        <v>37.46</v>
      </c>
      <c r="F10" s="53">
        <f t="shared" si="2"/>
        <v>-173.60000000000014</v>
      </c>
      <c r="G10" s="53">
        <f t="shared" si="3"/>
        <v>3170.4</v>
      </c>
      <c r="H10" s="304">
        <f t="shared" si="4"/>
        <v>-5.4756497602826179E-2</v>
      </c>
      <c r="W10" s="160">
        <v>42408</v>
      </c>
      <c r="X10" s="12">
        <v>36.049999999999997</v>
      </c>
      <c r="Y10" s="12">
        <v>36.119999999999997</v>
      </c>
      <c r="Z10" s="12">
        <v>33.770000000000003</v>
      </c>
      <c r="AA10" s="12">
        <v>34.26</v>
      </c>
      <c r="AB10" s="115">
        <v>9635700</v>
      </c>
      <c r="AC10" s="12">
        <v>34.26</v>
      </c>
      <c r="AD10" s="2">
        <f t="shared" si="0"/>
        <v>2.3499999999999943</v>
      </c>
      <c r="AE10" s="165">
        <f t="shared" si="1"/>
        <v>-5.9566291517979764E-2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>
        <v>42405</v>
      </c>
      <c r="X11" s="12">
        <v>37.31</v>
      </c>
      <c r="Y11" s="12">
        <v>37.61</v>
      </c>
      <c r="Z11" s="12">
        <v>36.39</v>
      </c>
      <c r="AA11" s="12">
        <v>36.43</v>
      </c>
      <c r="AB11" s="115">
        <v>7350800</v>
      </c>
      <c r="AC11" s="12">
        <v>36.43</v>
      </c>
      <c r="AD11" s="2">
        <f t="shared" si="0"/>
        <v>1.2199999999999989</v>
      </c>
      <c r="AE11" s="165">
        <f t="shared" si="1"/>
        <v>-2.9051172707889261E-2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>
        <v>42404</v>
      </c>
      <c r="X12" s="12">
        <v>36.21</v>
      </c>
      <c r="Y12" s="12">
        <v>37.57</v>
      </c>
      <c r="Z12" s="12">
        <v>36.049999999999997</v>
      </c>
      <c r="AA12" s="12">
        <v>37.520000000000003</v>
      </c>
      <c r="AB12" s="115">
        <v>6012700</v>
      </c>
      <c r="AC12" s="12">
        <v>37.520000000000003</v>
      </c>
      <c r="AD12" s="2">
        <f t="shared" si="0"/>
        <v>1.5200000000000031</v>
      </c>
      <c r="AE12" s="165">
        <f t="shared" si="1"/>
        <v>3.5605851504278307E-2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>
        <v>42403</v>
      </c>
      <c r="X13" s="12">
        <v>37.65</v>
      </c>
      <c r="Y13" s="12">
        <v>37.71</v>
      </c>
      <c r="Z13" s="12">
        <v>35.47</v>
      </c>
      <c r="AA13" s="12">
        <v>36.229999999999997</v>
      </c>
      <c r="AB13" s="115">
        <v>6550200</v>
      </c>
      <c r="AC13" s="12">
        <v>36.229999999999997</v>
      </c>
      <c r="AD13" s="2">
        <f t="shared" si="0"/>
        <v>2.240000000000002</v>
      </c>
      <c r="AE13" s="165">
        <f t="shared" si="1"/>
        <v>-2.7382550335570577E-2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>
        <v>42402</v>
      </c>
      <c r="X14" s="12">
        <v>38.380000000000003</v>
      </c>
      <c r="Y14" s="12">
        <v>38.51</v>
      </c>
      <c r="Z14" s="12">
        <v>37.06</v>
      </c>
      <c r="AA14" s="12">
        <v>37.25</v>
      </c>
      <c r="AB14" s="115">
        <v>5578900</v>
      </c>
      <c r="AC14" s="12">
        <v>37.25</v>
      </c>
      <c r="AD14" s="2">
        <f t="shared" si="0"/>
        <v>1.4499999999999957</v>
      </c>
      <c r="AE14" s="165">
        <f t="shared" si="1"/>
        <v>-4.5116636759805151E-2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>
        <v>42401</v>
      </c>
      <c r="X15" s="12">
        <v>39.18</v>
      </c>
      <c r="Y15" s="12">
        <v>39.42</v>
      </c>
      <c r="Z15" s="12">
        <v>38.479999999999997</v>
      </c>
      <c r="AA15" s="12">
        <v>39.01</v>
      </c>
      <c r="AB15" s="115">
        <v>8182200</v>
      </c>
      <c r="AC15" s="12">
        <v>39.01</v>
      </c>
      <c r="AD15" s="2">
        <f t="shared" si="0"/>
        <v>0.94000000000000483</v>
      </c>
      <c r="AE15" s="165">
        <f t="shared" si="1"/>
        <v>5.9308922124805541E-3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>
        <v>42398</v>
      </c>
      <c r="X16" s="12">
        <v>37.24</v>
      </c>
      <c r="Y16" s="12">
        <v>38.840000000000003</v>
      </c>
      <c r="Z16" s="12">
        <v>37</v>
      </c>
      <c r="AA16" s="12">
        <v>38.78</v>
      </c>
      <c r="AB16" s="115">
        <v>9677600</v>
      </c>
      <c r="AC16" s="12">
        <v>38.78</v>
      </c>
      <c r="AD16" s="2">
        <f t="shared" si="0"/>
        <v>1.8400000000000034</v>
      </c>
      <c r="AE16" s="165">
        <f t="shared" si="1"/>
        <v>3.3857637963209841E-2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>
        <v>42397</v>
      </c>
      <c r="X17" s="12">
        <v>37.35</v>
      </c>
      <c r="Y17" s="12">
        <v>37.770000000000003</v>
      </c>
      <c r="Z17" s="12">
        <v>36.520000000000003</v>
      </c>
      <c r="AA17" s="12">
        <v>37.51</v>
      </c>
      <c r="AB17" s="115">
        <v>5966900</v>
      </c>
      <c r="AC17" s="12">
        <v>37.51</v>
      </c>
      <c r="AD17" s="2">
        <f t="shared" si="0"/>
        <v>1.25</v>
      </c>
      <c r="AE17" s="165">
        <f t="shared" si="1"/>
        <v>9.6904441453566914E-3</v>
      </c>
    </row>
    <row r="18" spans="2:31" x14ac:dyDescent="0.25">
      <c r="W18" s="160">
        <v>42396</v>
      </c>
      <c r="X18" s="12">
        <v>37.92</v>
      </c>
      <c r="Y18" s="12">
        <v>38.31</v>
      </c>
      <c r="Z18" s="12">
        <v>36.96</v>
      </c>
      <c r="AA18" s="12">
        <v>37.15</v>
      </c>
      <c r="AB18" s="115">
        <v>5121400</v>
      </c>
      <c r="AC18" s="12">
        <v>37.15</v>
      </c>
      <c r="AD18" s="2">
        <f t="shared" si="0"/>
        <v>1.3500000000000014</v>
      </c>
      <c r="AE18" s="165">
        <f t="shared" si="1"/>
        <v>-2.6977475117862748E-2</v>
      </c>
    </row>
    <row r="19" spans="2:31" x14ac:dyDescent="0.25">
      <c r="W19" s="160">
        <v>42395</v>
      </c>
      <c r="X19" s="12">
        <v>37.22</v>
      </c>
      <c r="Y19" s="12">
        <v>38.24</v>
      </c>
      <c r="Z19" s="12">
        <v>37.11</v>
      </c>
      <c r="AA19" s="12">
        <v>38.18</v>
      </c>
      <c r="AB19" s="115">
        <v>5461300</v>
      </c>
      <c r="AC19" s="12">
        <v>38.18</v>
      </c>
      <c r="AD19" s="2">
        <f t="shared" si="0"/>
        <v>1.1300000000000026</v>
      </c>
      <c r="AE19" s="165">
        <f t="shared" si="1"/>
        <v>2.8279019660651716E-2</v>
      </c>
    </row>
    <row r="20" spans="2:31" x14ac:dyDescent="0.25">
      <c r="W20" s="160">
        <v>42394</v>
      </c>
      <c r="X20" s="12">
        <v>36.799999999999997</v>
      </c>
      <c r="Y20" s="12">
        <v>37.479999999999997</v>
      </c>
      <c r="Z20" s="12">
        <v>36.67</v>
      </c>
      <c r="AA20" s="12">
        <v>37.130000000000003</v>
      </c>
      <c r="AB20" s="115">
        <v>5983900</v>
      </c>
      <c r="AC20" s="12">
        <v>37.130000000000003</v>
      </c>
      <c r="AD20" s="2">
        <f t="shared" si="0"/>
        <v>0.80999999999999517</v>
      </c>
      <c r="AE20" s="165">
        <f t="shared" si="1"/>
        <v>4.3278333784151357E-3</v>
      </c>
    </row>
    <row r="21" spans="2:31" x14ac:dyDescent="0.25">
      <c r="W21" s="160">
        <v>42391</v>
      </c>
      <c r="X21" s="12">
        <v>37.39</v>
      </c>
      <c r="Y21" s="12">
        <v>37.799999999999997</v>
      </c>
      <c r="Z21" s="12">
        <v>36.590000000000003</v>
      </c>
      <c r="AA21" s="12">
        <v>36.97</v>
      </c>
      <c r="AB21" s="115">
        <v>3669700</v>
      </c>
      <c r="AC21" s="12">
        <v>36.97</v>
      </c>
      <c r="AD21" s="2">
        <f t="shared" si="0"/>
        <v>1.2099999999999937</v>
      </c>
      <c r="AE21" s="165">
        <f t="shared" si="1"/>
        <v>3.2564450474896756E-3</v>
      </c>
    </row>
    <row r="22" spans="2:31" x14ac:dyDescent="0.25">
      <c r="W22" s="160">
        <v>42390</v>
      </c>
      <c r="X22" s="12">
        <v>36.18</v>
      </c>
      <c r="Y22" s="12">
        <v>37.49</v>
      </c>
      <c r="Z22" s="12">
        <v>35.630000000000003</v>
      </c>
      <c r="AA22" s="12">
        <v>36.85</v>
      </c>
      <c r="AB22" s="115">
        <v>7980800</v>
      </c>
      <c r="AC22" s="12">
        <v>36.85</v>
      </c>
      <c r="AD22" s="2">
        <f t="shared" si="0"/>
        <v>1.8599999999999994</v>
      </c>
      <c r="AE22" s="165">
        <f t="shared" si="1"/>
        <v>2.1624618796784123E-2</v>
      </c>
    </row>
    <row r="23" spans="2:31" x14ac:dyDescent="0.25">
      <c r="W23" s="160">
        <v>42389</v>
      </c>
      <c r="X23" s="12">
        <v>35.58</v>
      </c>
      <c r="Y23" s="12">
        <v>36.43</v>
      </c>
      <c r="Z23" s="12">
        <v>34.5</v>
      </c>
      <c r="AA23" s="12">
        <v>36.07</v>
      </c>
      <c r="AB23" s="115">
        <v>8363900</v>
      </c>
      <c r="AC23" s="12">
        <v>36.07</v>
      </c>
      <c r="AD23" s="2">
        <f t="shared" si="0"/>
        <v>1.9299999999999997</v>
      </c>
      <c r="AE23" s="165">
        <f t="shared" si="1"/>
        <v>-3.5911602209945936E-3</v>
      </c>
    </row>
    <row r="24" spans="2:31" x14ac:dyDescent="0.25">
      <c r="W24" s="160">
        <v>42388</v>
      </c>
      <c r="X24" s="12">
        <v>37.68</v>
      </c>
      <c r="Y24" s="12">
        <v>37.840000000000003</v>
      </c>
      <c r="Z24" s="12">
        <v>35.630000000000003</v>
      </c>
      <c r="AA24" s="12">
        <v>36.200000000000003</v>
      </c>
      <c r="AB24" s="115">
        <v>5970700</v>
      </c>
      <c r="AC24" s="12">
        <v>36.200000000000003</v>
      </c>
      <c r="AD24" s="2">
        <f t="shared" si="0"/>
        <v>2.2100000000000009</v>
      </c>
      <c r="AE24" s="165">
        <f t="shared" si="1"/>
        <v>-2.50471316994344E-2</v>
      </c>
    </row>
    <row r="25" spans="2:31" x14ac:dyDescent="0.25">
      <c r="W25" s="160">
        <v>42384</v>
      </c>
      <c r="X25" s="12">
        <v>36.369999999999997</v>
      </c>
      <c r="Y25" s="12">
        <v>37.19</v>
      </c>
      <c r="Z25" s="12">
        <v>36.1</v>
      </c>
      <c r="AA25" s="12">
        <v>37.130000000000003</v>
      </c>
      <c r="AB25" s="115">
        <v>6534200</v>
      </c>
      <c r="AC25" s="12">
        <v>37.130000000000003</v>
      </c>
      <c r="AD25" s="2">
        <f t="shared" si="0"/>
        <v>1.0899999999999963</v>
      </c>
      <c r="AE25" s="165">
        <f t="shared" si="1"/>
        <v>-9.3383137673423988E-3</v>
      </c>
    </row>
    <row r="26" spans="2:31" x14ac:dyDescent="0.25">
      <c r="W26" s="160">
        <v>42383</v>
      </c>
      <c r="X26" s="12">
        <v>37.61</v>
      </c>
      <c r="Y26" s="12">
        <v>38.04</v>
      </c>
      <c r="Z26" s="12">
        <v>36.880000000000003</v>
      </c>
      <c r="AA26" s="12">
        <v>37.479999999999997</v>
      </c>
      <c r="AB26" s="115">
        <v>8762700</v>
      </c>
      <c r="AC26" s="12">
        <v>37.479999999999997</v>
      </c>
      <c r="AD26" s="2">
        <f t="shared" si="0"/>
        <v>1.1599999999999966</v>
      </c>
      <c r="AE26" s="165">
        <f t="shared" si="1"/>
        <v>-1.290492494074269E-2</v>
      </c>
    </row>
    <row r="27" spans="2:31" x14ac:dyDescent="0.25">
      <c r="W27" s="160">
        <v>42382</v>
      </c>
      <c r="X27" s="12">
        <v>40.15</v>
      </c>
      <c r="Y27" s="12">
        <v>40.78</v>
      </c>
      <c r="Z27" s="12">
        <v>37.93</v>
      </c>
      <c r="AA27" s="12">
        <v>37.97</v>
      </c>
      <c r="AB27" s="115">
        <v>7136800</v>
      </c>
      <c r="AC27" s="12">
        <v>37.97</v>
      </c>
      <c r="AD27" s="2">
        <f t="shared" si="0"/>
        <v>2.8500000000000014</v>
      </c>
      <c r="AE27" s="165">
        <f t="shared" si="1"/>
        <v>-5.0037528146109622E-2</v>
      </c>
    </row>
    <row r="28" spans="2:31" x14ac:dyDescent="0.25">
      <c r="W28" s="160">
        <v>42381</v>
      </c>
      <c r="X28" s="12">
        <v>39.81</v>
      </c>
      <c r="Y28" s="12">
        <v>40.049999999999997</v>
      </c>
      <c r="Z28" s="12">
        <v>38.869999999999997</v>
      </c>
      <c r="AA28" s="12">
        <v>39.97</v>
      </c>
      <c r="AB28" s="115">
        <v>3923000</v>
      </c>
      <c r="AC28" s="12">
        <v>39.97</v>
      </c>
      <c r="AD28" s="2">
        <f t="shared" si="0"/>
        <v>1.1799999999999997</v>
      </c>
      <c r="AE28" s="165">
        <f t="shared" si="1"/>
        <v>1.5756035578144756E-2</v>
      </c>
    </row>
    <row r="29" spans="2:31" x14ac:dyDescent="0.25">
      <c r="W29" s="160">
        <v>42380</v>
      </c>
      <c r="X29" s="12">
        <v>39.409999999999997</v>
      </c>
      <c r="Y29" s="12">
        <v>39.74</v>
      </c>
      <c r="Z29" s="12">
        <v>38.43</v>
      </c>
      <c r="AA29" s="12">
        <v>39.35</v>
      </c>
      <c r="AB29" s="115">
        <v>5387200</v>
      </c>
      <c r="AC29" s="12">
        <v>39.35</v>
      </c>
      <c r="AD29" s="2">
        <f t="shared" si="0"/>
        <v>1.3100000000000023</v>
      </c>
      <c r="AE29" s="165">
        <f t="shared" si="1"/>
        <v>-7.6180802437786355E-4</v>
      </c>
    </row>
    <row r="30" spans="2:31" x14ac:dyDescent="0.25">
      <c r="W30" s="160">
        <v>42377</v>
      </c>
      <c r="X30" s="12">
        <v>40.79</v>
      </c>
      <c r="Y30" s="12">
        <v>40.79</v>
      </c>
      <c r="Z30" s="12">
        <v>39.28</v>
      </c>
      <c r="AA30" s="12">
        <v>39.380000000000003</v>
      </c>
      <c r="AB30" s="115">
        <v>5811000</v>
      </c>
      <c r="AC30" s="12">
        <v>39.380000000000003</v>
      </c>
      <c r="AD30" s="2">
        <f t="shared" si="0"/>
        <v>1.509999999999998</v>
      </c>
      <c r="AE30" s="165">
        <f t="shared" si="1"/>
        <v>-2.3555665757500566E-2</v>
      </c>
    </row>
    <row r="31" spans="2:31" x14ac:dyDescent="0.25">
      <c r="W31" s="160">
        <v>42376</v>
      </c>
      <c r="X31" s="12">
        <v>41.62</v>
      </c>
      <c r="Y31" s="12">
        <v>41.62</v>
      </c>
      <c r="Z31" s="12">
        <v>40.15</v>
      </c>
      <c r="AA31" s="12">
        <v>40.33</v>
      </c>
      <c r="AB31" s="115">
        <v>6066400</v>
      </c>
      <c r="AC31" s="12">
        <v>40.33</v>
      </c>
      <c r="AD31" s="2">
        <f t="shared" si="0"/>
        <v>1.4699999999999989</v>
      </c>
      <c r="AE31" s="165">
        <f t="shared" si="1"/>
        <v>-4.4765513974419746E-2</v>
      </c>
    </row>
    <row r="32" spans="2:31" x14ac:dyDescent="0.25">
      <c r="W32" s="160">
        <v>42375</v>
      </c>
      <c r="X32" s="12">
        <v>42.77</v>
      </c>
      <c r="Y32" s="12">
        <v>42.97</v>
      </c>
      <c r="Z32" s="12">
        <v>41.78</v>
      </c>
      <c r="AA32" s="12">
        <v>42.22</v>
      </c>
      <c r="AB32" s="115">
        <v>5837900</v>
      </c>
      <c r="AC32" s="12">
        <v>42.22</v>
      </c>
      <c r="AD32" s="2">
        <f t="shared" si="0"/>
        <v>1.1899999999999977</v>
      </c>
      <c r="AE32" s="165">
        <f t="shared" si="1"/>
        <v>-2.763703362505765E-2</v>
      </c>
    </row>
    <row r="33" spans="15:31" x14ac:dyDescent="0.25">
      <c r="W33" s="160">
        <v>42374</v>
      </c>
      <c r="X33" s="12">
        <v>43.46</v>
      </c>
      <c r="Y33" s="12">
        <v>43.83</v>
      </c>
      <c r="Z33" s="12">
        <v>43.03</v>
      </c>
      <c r="AA33" s="12">
        <v>43.42</v>
      </c>
      <c r="AB33" s="115">
        <v>3693100</v>
      </c>
      <c r="AC33" s="12">
        <v>43.42</v>
      </c>
      <c r="AD33" s="2">
        <f t="shared" si="0"/>
        <v>0.79999999999999716</v>
      </c>
      <c r="AE33" s="165">
        <f t="shared" si="1"/>
        <v>-4.6040515653766878E-4</v>
      </c>
    </row>
    <row r="34" spans="15:31" x14ac:dyDescent="0.25">
      <c r="W34" s="160">
        <v>42373</v>
      </c>
      <c r="X34" s="12">
        <v>43.31</v>
      </c>
      <c r="Y34" s="12">
        <v>43.57</v>
      </c>
      <c r="Z34" s="12">
        <v>42.47</v>
      </c>
      <c r="AA34" s="12">
        <v>43.44</v>
      </c>
      <c r="AB34" s="115">
        <v>5517400</v>
      </c>
      <c r="AC34" s="12">
        <v>43.44</v>
      </c>
      <c r="AD34" s="2">
        <f t="shared" si="0"/>
        <v>1.1000000000000014</v>
      </c>
      <c r="AE34" s="165">
        <f t="shared" si="1"/>
        <v>-1.4519056261342977E-2</v>
      </c>
    </row>
    <row r="35" spans="15:31" x14ac:dyDescent="0.25">
      <c r="W35" s="160">
        <v>42369</v>
      </c>
      <c r="X35" s="12">
        <v>43.63</v>
      </c>
      <c r="Y35" s="12">
        <v>44.63</v>
      </c>
      <c r="Z35" s="12">
        <v>43.42</v>
      </c>
      <c r="AA35" s="12">
        <v>44.08</v>
      </c>
      <c r="AB35" s="115">
        <v>2136700</v>
      </c>
      <c r="AC35" s="12">
        <v>44.08</v>
      </c>
      <c r="AD35" s="2">
        <f t="shared" si="0"/>
        <v>1.2100000000000009</v>
      </c>
      <c r="AE35" s="165">
        <f t="shared" si="1"/>
        <v>7.5428571428570734E-3</v>
      </c>
    </row>
    <row r="36" spans="15:31" x14ac:dyDescent="0.25">
      <c r="W36" s="160">
        <v>42368</v>
      </c>
      <c r="X36" s="12">
        <v>44.29</v>
      </c>
      <c r="Y36" s="12">
        <v>44.29</v>
      </c>
      <c r="Z36" s="12">
        <v>43.74</v>
      </c>
      <c r="AA36" s="12">
        <v>43.75</v>
      </c>
      <c r="AB36" s="115">
        <v>1787900</v>
      </c>
      <c r="AC36" s="12">
        <v>43.75</v>
      </c>
      <c r="AD36" s="2">
        <f t="shared" si="0"/>
        <v>0.54999999999999716</v>
      </c>
      <c r="AE36" s="165">
        <f t="shared" si="1"/>
        <v>-1.1075949367088667E-2</v>
      </c>
    </row>
    <row r="37" spans="15:31" x14ac:dyDescent="0.25">
      <c r="W37" s="160">
        <v>42367</v>
      </c>
      <c r="X37" s="12">
        <v>44.58</v>
      </c>
      <c r="Y37" s="12">
        <v>44.76</v>
      </c>
      <c r="Z37" s="12">
        <v>43.91</v>
      </c>
      <c r="AA37" s="12">
        <v>44.24</v>
      </c>
      <c r="AB37" s="115">
        <v>3038300</v>
      </c>
      <c r="AC37" s="12">
        <v>44.24</v>
      </c>
      <c r="AD37" s="2">
        <f t="shared" si="0"/>
        <v>0.85000000000000142</v>
      </c>
      <c r="AE37" s="165">
        <f t="shared" si="1"/>
        <v>-2.9299075952219367E-3</v>
      </c>
    </row>
    <row r="38" spans="15:31" x14ac:dyDescent="0.25">
      <c r="W38" s="160">
        <v>42366</v>
      </c>
      <c r="X38" s="12">
        <v>43.61</v>
      </c>
      <c r="Y38" s="12">
        <v>44.4</v>
      </c>
      <c r="Z38" s="12">
        <v>43.17</v>
      </c>
      <c r="AA38" s="12">
        <v>44.37</v>
      </c>
      <c r="AB38" s="115">
        <v>2858700</v>
      </c>
      <c r="AC38" s="12">
        <v>44.37</v>
      </c>
      <c r="AD38" s="2">
        <f t="shared" si="0"/>
        <v>1.2299999999999969</v>
      </c>
      <c r="AE38" s="165">
        <f t="shared" si="1"/>
        <v>1.7427195597339962E-2</v>
      </c>
    </row>
    <row r="39" spans="15:31" x14ac:dyDescent="0.25">
      <c r="W39" s="160">
        <v>42362</v>
      </c>
      <c r="X39" s="12">
        <v>44.15</v>
      </c>
      <c r="Y39" s="12">
        <v>44.31</v>
      </c>
      <c r="Z39" s="12">
        <v>43.53</v>
      </c>
      <c r="AA39" s="12">
        <v>43.61</v>
      </c>
      <c r="AB39" s="115">
        <v>1184500</v>
      </c>
      <c r="AC39" s="12">
        <v>43.61</v>
      </c>
      <c r="AD39" s="2">
        <f t="shared" si="0"/>
        <v>0.78000000000000114</v>
      </c>
      <c r="AE39" s="165">
        <f t="shared" si="1"/>
        <v>-1.490851592500575E-2</v>
      </c>
    </row>
    <row r="40" spans="15:31" x14ac:dyDescent="0.25">
      <c r="W40" s="160">
        <v>42361</v>
      </c>
      <c r="X40" s="12">
        <v>44.67</v>
      </c>
      <c r="Y40" s="12">
        <v>44.76</v>
      </c>
      <c r="Z40" s="12">
        <v>43.68</v>
      </c>
      <c r="AA40" s="12">
        <v>44.27</v>
      </c>
      <c r="AB40" s="115">
        <v>4427900</v>
      </c>
      <c r="AC40" s="12">
        <v>44.27</v>
      </c>
      <c r="AD40" s="2">
        <f t="shared" si="0"/>
        <v>1.0799999999999983</v>
      </c>
      <c r="AE40" s="165">
        <f t="shared" si="1"/>
        <v>-3.6011703803735529E-3</v>
      </c>
    </row>
    <row r="41" spans="15:31" x14ac:dyDescent="0.25">
      <c r="W41" s="160">
        <v>42360</v>
      </c>
      <c r="X41" s="12">
        <v>44.83</v>
      </c>
      <c r="Y41" s="12">
        <v>44.94</v>
      </c>
      <c r="Z41" s="12">
        <v>43.47</v>
      </c>
      <c r="AA41" s="12">
        <v>44.43</v>
      </c>
      <c r="AB41" s="115">
        <v>4633300</v>
      </c>
      <c r="AC41" s="12">
        <v>44.43</v>
      </c>
      <c r="AD41" s="2">
        <f t="shared" si="0"/>
        <v>1.4699999999999989</v>
      </c>
      <c r="AE41" s="165">
        <f t="shared" si="1"/>
        <v>-8.2589285714285143E-3</v>
      </c>
    </row>
    <row r="42" spans="15:31" x14ac:dyDescent="0.25">
      <c r="W42" s="160">
        <v>42359</v>
      </c>
      <c r="X42" s="12">
        <v>44.94</v>
      </c>
      <c r="Y42" s="12">
        <v>45.09</v>
      </c>
      <c r="Z42" s="12">
        <v>44.43</v>
      </c>
      <c r="AA42" s="12">
        <v>44.8</v>
      </c>
      <c r="AB42" s="115">
        <v>2703700</v>
      </c>
      <c r="AC42" s="12">
        <v>44.8</v>
      </c>
      <c r="AD42" s="2">
        <f t="shared" si="0"/>
        <v>0.66000000000000369</v>
      </c>
      <c r="AE42" s="165">
        <f t="shared" si="1"/>
        <v>2.0129724893758194E-3</v>
      </c>
    </row>
    <row r="43" spans="15:31" x14ac:dyDescent="0.25">
      <c r="W43" s="160">
        <v>42356</v>
      </c>
      <c r="X43" s="12">
        <v>44.57</v>
      </c>
      <c r="Y43" s="12">
        <v>45.03</v>
      </c>
      <c r="Z43" s="12">
        <v>44.11</v>
      </c>
      <c r="AA43" s="12">
        <v>44.71</v>
      </c>
      <c r="AB43" s="115">
        <v>5217300</v>
      </c>
      <c r="AC43" s="12">
        <v>44.71</v>
      </c>
      <c r="AD43" s="2">
        <f t="shared" si="0"/>
        <v>0.92000000000000171</v>
      </c>
      <c r="AE43" s="165">
        <f t="shared" si="1"/>
        <v>-2.4542614904060622E-3</v>
      </c>
    </row>
    <row r="44" spans="15:31" x14ac:dyDescent="0.25">
      <c r="W44" s="160">
        <v>42355</v>
      </c>
      <c r="X44" s="12">
        <v>45.33</v>
      </c>
      <c r="Y44" s="12">
        <v>45.43</v>
      </c>
      <c r="Z44" s="12">
        <v>44.04</v>
      </c>
      <c r="AA44" s="12">
        <v>44.82</v>
      </c>
      <c r="AB44" s="115">
        <v>6690400</v>
      </c>
      <c r="AC44" s="12">
        <v>44.82</v>
      </c>
      <c r="AD44" s="2">
        <f t="shared" si="0"/>
        <v>1.3900000000000006</v>
      </c>
      <c r="AE44" s="165">
        <f t="shared" si="1"/>
        <v>-7.9681274900398336E-3</v>
      </c>
    </row>
    <row r="45" spans="15:31" x14ac:dyDescent="0.25">
      <c r="O45" s="47"/>
      <c r="R45" s="47"/>
      <c r="W45" s="160">
        <v>42354</v>
      </c>
      <c r="X45" s="12">
        <v>44.98</v>
      </c>
      <c r="Y45" s="12">
        <v>45.87</v>
      </c>
      <c r="Z45" s="12">
        <v>43.91</v>
      </c>
      <c r="AA45" s="12">
        <v>45.18</v>
      </c>
      <c r="AB45" s="115">
        <v>10628400</v>
      </c>
      <c r="AC45" s="12">
        <v>45.18</v>
      </c>
      <c r="AD45" s="2">
        <f t="shared" si="0"/>
        <v>1.9600000000000009</v>
      </c>
      <c r="AE45" s="165">
        <f t="shared" si="1"/>
        <v>2.3793337865397612E-2</v>
      </c>
    </row>
    <row r="46" spans="15:31" ht="20.25" thickBot="1" x14ac:dyDescent="0.35">
      <c r="O46" s="326" t="s">
        <v>78</v>
      </c>
      <c r="P46" s="326"/>
      <c r="Q46" s="47"/>
      <c r="R46" s="47"/>
      <c r="T46" s="111" t="s">
        <v>121</v>
      </c>
      <c r="W46" s="160">
        <v>42353</v>
      </c>
      <c r="X46" s="12">
        <v>42.61</v>
      </c>
      <c r="Y46" s="12">
        <v>44.48</v>
      </c>
      <c r="Z46" s="12">
        <v>42.4</v>
      </c>
      <c r="AA46" s="12">
        <v>44.13</v>
      </c>
      <c r="AB46" s="115">
        <v>20298600</v>
      </c>
      <c r="AC46" s="12">
        <v>44.13</v>
      </c>
      <c r="AD46" s="2">
        <f t="shared" si="0"/>
        <v>2.0799999999999983</v>
      </c>
      <c r="AE46" s="165">
        <f t="shared" si="1"/>
        <v>4.6975088967971645E-2</v>
      </c>
    </row>
    <row r="47" spans="15:31" ht="15.75" thickTop="1" x14ac:dyDescent="0.25">
      <c r="O47" s="103">
        <v>1.1000000000000001</v>
      </c>
      <c r="P47" s="103">
        <f>O47*$Q$4</f>
        <v>41.206000000000003</v>
      </c>
      <c r="Q47" s="47"/>
      <c r="R47" s="47"/>
      <c r="T47" s="155" t="s">
        <v>106</v>
      </c>
      <c r="U47" s="118">
        <v>37.5</v>
      </c>
      <c r="W47" s="160">
        <v>42352</v>
      </c>
      <c r="X47" s="12">
        <v>41.63</v>
      </c>
      <c r="Y47" s="12">
        <v>43.55</v>
      </c>
      <c r="Z47" s="12">
        <v>40.119999999999997</v>
      </c>
      <c r="AA47" s="12">
        <v>42.15</v>
      </c>
      <c r="AB47" s="115">
        <v>24839400</v>
      </c>
      <c r="AC47" s="12">
        <v>42.15</v>
      </c>
      <c r="AD47" s="2">
        <f t="shared" si="0"/>
        <v>3.4299999999999997</v>
      </c>
      <c r="AE47" s="165">
        <f t="shared" si="1"/>
        <v>-6.9125441696113121E-2</v>
      </c>
    </row>
    <row r="48" spans="15:31" x14ac:dyDescent="0.25">
      <c r="O48" s="103">
        <v>1.0900000000000001</v>
      </c>
      <c r="P48" s="103">
        <f t="shared" ref="P48:P67" si="5">O48*$Q$4</f>
        <v>40.831400000000002</v>
      </c>
      <c r="Q48" s="47"/>
      <c r="R48" s="47"/>
      <c r="T48" s="113" t="s">
        <v>107</v>
      </c>
      <c r="U48" s="108">
        <v>37.44</v>
      </c>
      <c r="W48" s="160">
        <v>42349</v>
      </c>
      <c r="X48" s="12">
        <v>46.69</v>
      </c>
      <c r="Y48" s="12">
        <v>46.69</v>
      </c>
      <c r="Z48" s="12">
        <v>45.08</v>
      </c>
      <c r="AA48" s="12">
        <v>45.28</v>
      </c>
      <c r="AB48" s="115">
        <v>2242300</v>
      </c>
      <c r="AC48" s="12">
        <v>45.28</v>
      </c>
      <c r="AD48" s="2">
        <f t="shared" si="0"/>
        <v>1.6099999999999994</v>
      </c>
      <c r="AE48" s="165">
        <f t="shared" si="1"/>
        <v>-4.1084286319356123E-2</v>
      </c>
    </row>
    <row r="49" spans="15:31" x14ac:dyDescent="0.25">
      <c r="O49" s="103">
        <v>1.08</v>
      </c>
      <c r="P49" s="103">
        <f t="shared" si="5"/>
        <v>40.456800000000001</v>
      </c>
      <c r="Q49" s="47"/>
      <c r="R49" s="47"/>
      <c r="T49" s="113" t="s">
        <v>108</v>
      </c>
      <c r="U49" s="108" t="s">
        <v>468</v>
      </c>
      <c r="W49" s="160">
        <v>42348</v>
      </c>
      <c r="X49" s="12">
        <v>46.58</v>
      </c>
      <c r="Y49" s="12">
        <v>48.18</v>
      </c>
      <c r="Z49" s="12">
        <v>46.48</v>
      </c>
      <c r="AA49" s="12">
        <v>47.22</v>
      </c>
      <c r="AB49" s="115">
        <v>4560800</v>
      </c>
      <c r="AC49" s="12">
        <v>47.22</v>
      </c>
      <c r="AD49" s="2">
        <f t="shared" si="0"/>
        <v>1.7000000000000028</v>
      </c>
      <c r="AE49" s="165">
        <f t="shared" si="1"/>
        <v>1.5047291487532144E-2</v>
      </c>
    </row>
    <row r="50" spans="15:31" x14ac:dyDescent="0.25">
      <c r="O50" s="103">
        <v>1.07</v>
      </c>
      <c r="P50" s="103">
        <f t="shared" si="5"/>
        <v>40.0822</v>
      </c>
      <c r="Q50" s="103"/>
      <c r="R50" s="47"/>
      <c r="T50" s="113" t="s">
        <v>109</v>
      </c>
      <c r="U50" s="108" t="s">
        <v>469</v>
      </c>
      <c r="W50" s="160">
        <v>42347</v>
      </c>
      <c r="X50" s="12">
        <v>46.57</v>
      </c>
      <c r="Y50" s="12">
        <v>47.54</v>
      </c>
      <c r="Z50" s="12">
        <v>45.8</v>
      </c>
      <c r="AA50" s="12">
        <v>46.52</v>
      </c>
      <c r="AB50" s="115">
        <v>4709000</v>
      </c>
      <c r="AC50" s="12">
        <v>46.52</v>
      </c>
      <c r="AD50" s="2">
        <f t="shared" si="0"/>
        <v>1.740000000000002</v>
      </c>
      <c r="AE50" s="165">
        <f t="shared" si="1"/>
        <v>-9.1586794462193977E-3</v>
      </c>
    </row>
    <row r="51" spans="15:31" x14ac:dyDescent="0.25">
      <c r="O51" s="103">
        <v>1.06</v>
      </c>
      <c r="P51" s="103">
        <f t="shared" si="5"/>
        <v>39.707600000000006</v>
      </c>
      <c r="Q51" s="103"/>
      <c r="R51" s="47"/>
      <c r="T51" s="113" t="s">
        <v>110</v>
      </c>
      <c r="U51" s="108">
        <v>48.33</v>
      </c>
      <c r="W51" s="160">
        <v>42346</v>
      </c>
      <c r="X51" s="12">
        <v>48.24</v>
      </c>
      <c r="Y51" s="12">
        <v>48.38</v>
      </c>
      <c r="Z51" s="12">
        <v>45.53</v>
      </c>
      <c r="AA51" s="12">
        <v>46.95</v>
      </c>
      <c r="AB51" s="115">
        <v>7509100</v>
      </c>
      <c r="AC51" s="12">
        <v>46.95</v>
      </c>
      <c r="AD51" s="2">
        <f t="shared" si="0"/>
        <v>2.8500000000000014</v>
      </c>
      <c r="AE51" s="165">
        <f t="shared" si="1"/>
        <v>-2.5124584717607812E-2</v>
      </c>
    </row>
    <row r="52" spans="15:31" x14ac:dyDescent="0.25">
      <c r="O52" s="103">
        <v>1.05</v>
      </c>
      <c r="P52" s="103">
        <f t="shared" si="5"/>
        <v>39.333000000000006</v>
      </c>
      <c r="Q52" s="103"/>
      <c r="R52" s="47"/>
      <c r="T52" s="113" t="s">
        <v>111</v>
      </c>
      <c r="U52" s="108">
        <v>1.10572</v>
      </c>
      <c r="W52" s="160">
        <v>42345</v>
      </c>
      <c r="X52" s="12">
        <v>44.67</v>
      </c>
      <c r="Y52" s="12">
        <v>50.9</v>
      </c>
      <c r="Z52" s="12">
        <v>43.95</v>
      </c>
      <c r="AA52" s="12">
        <v>48.16</v>
      </c>
      <c r="AB52" s="115">
        <v>7264600</v>
      </c>
      <c r="AC52" s="12">
        <v>48.16</v>
      </c>
      <c r="AD52" s="2">
        <f t="shared" si="0"/>
        <v>6.9499999999999957</v>
      </c>
      <c r="AE52" s="165">
        <f t="shared" si="1"/>
        <v>7.428061565915689E-2</v>
      </c>
    </row>
    <row r="53" spans="15:31" x14ac:dyDescent="0.25">
      <c r="O53" s="103">
        <v>1.04</v>
      </c>
      <c r="P53" s="103">
        <f t="shared" si="5"/>
        <v>38.958400000000005</v>
      </c>
      <c r="Q53" s="103"/>
      <c r="R53" s="47"/>
      <c r="T53" s="113" t="s">
        <v>131</v>
      </c>
      <c r="U53" s="108" t="s">
        <v>313</v>
      </c>
      <c r="W53" s="160">
        <v>42342</v>
      </c>
      <c r="X53" s="12">
        <v>43.98</v>
      </c>
      <c r="Y53" s="12">
        <v>44.89</v>
      </c>
      <c r="Z53" s="12">
        <v>43.85</v>
      </c>
      <c r="AA53" s="12">
        <v>44.83</v>
      </c>
      <c r="AB53" s="115">
        <v>1666400</v>
      </c>
      <c r="AC53" s="12">
        <v>44.83</v>
      </c>
      <c r="AD53" s="2">
        <f t="shared" si="0"/>
        <v>1.0399999999999991</v>
      </c>
      <c r="AE53" s="165">
        <f t="shared" si="1"/>
        <v>2.3515981735159786E-2</v>
      </c>
    </row>
    <row r="54" spans="15:31" x14ac:dyDescent="0.25">
      <c r="O54" s="103">
        <v>1.03</v>
      </c>
      <c r="P54" s="103">
        <f t="shared" si="5"/>
        <v>38.583800000000004</v>
      </c>
      <c r="Q54" s="103"/>
      <c r="R54" s="47"/>
      <c r="T54" s="113"/>
      <c r="U54" s="108"/>
      <c r="W54" s="160">
        <v>42341</v>
      </c>
      <c r="X54" s="12">
        <v>44.9</v>
      </c>
      <c r="Y54" s="12">
        <v>44.9</v>
      </c>
      <c r="Z54" s="12">
        <v>43.52</v>
      </c>
      <c r="AA54" s="12">
        <v>43.8</v>
      </c>
      <c r="AB54" s="115">
        <v>1997500</v>
      </c>
      <c r="AC54" s="12">
        <v>43.8</v>
      </c>
      <c r="AD54" s="2">
        <f t="shared" si="0"/>
        <v>1.3799999999999955</v>
      </c>
      <c r="AE54" s="165">
        <f t="shared" si="1"/>
        <v>-1.8817204301075363E-2</v>
      </c>
    </row>
    <row r="55" spans="15:31" x14ac:dyDescent="0.25">
      <c r="O55" s="103">
        <v>1.02</v>
      </c>
      <c r="P55" s="103">
        <f t="shared" si="5"/>
        <v>38.209200000000003</v>
      </c>
      <c r="Q55" s="103"/>
      <c r="R55" s="47"/>
      <c r="T55" s="113" t="s">
        <v>113</v>
      </c>
      <c r="U55" s="108" t="s">
        <v>470</v>
      </c>
      <c r="W55" s="160">
        <v>42340</v>
      </c>
      <c r="X55" s="12">
        <v>45.5</v>
      </c>
      <c r="Y55" s="12">
        <v>45.58</v>
      </c>
      <c r="Z55" s="12">
        <v>44.45</v>
      </c>
      <c r="AA55" s="12">
        <v>44.64</v>
      </c>
      <c r="AB55" s="115">
        <v>2033700</v>
      </c>
      <c r="AC55" s="12">
        <v>44.64</v>
      </c>
      <c r="AD55" s="2">
        <f t="shared" si="0"/>
        <v>1.1299999999999955</v>
      </c>
      <c r="AE55" s="165">
        <f t="shared" si="1"/>
        <v>-1.911667765326297E-2</v>
      </c>
    </row>
    <row r="56" spans="15:31" x14ac:dyDescent="0.25">
      <c r="O56" s="103">
        <v>1.01</v>
      </c>
      <c r="P56" s="103">
        <f t="shared" si="5"/>
        <v>37.834600000000002</v>
      </c>
      <c r="Q56" s="103"/>
      <c r="R56" s="47"/>
      <c r="T56" s="113" t="s">
        <v>114</v>
      </c>
      <c r="U56" s="108" t="s">
        <v>321</v>
      </c>
      <c r="W56" s="160">
        <v>42339</v>
      </c>
      <c r="X56" s="12">
        <v>44.83</v>
      </c>
      <c r="Y56" s="12">
        <v>45.54</v>
      </c>
      <c r="Z56" s="12">
        <v>44.67</v>
      </c>
      <c r="AA56" s="12">
        <v>45.51</v>
      </c>
      <c r="AB56" s="115">
        <v>1805100</v>
      </c>
      <c r="AC56" s="12">
        <v>45.51</v>
      </c>
      <c r="AD56" s="2">
        <f t="shared" si="0"/>
        <v>0.86999999999999744</v>
      </c>
      <c r="AE56" s="165">
        <f t="shared" si="1"/>
        <v>1.9032691446484673E-2</v>
      </c>
    </row>
    <row r="57" spans="15:31" x14ac:dyDescent="0.25">
      <c r="O57" s="103">
        <v>1</v>
      </c>
      <c r="P57" s="103">
        <f t="shared" si="5"/>
        <v>37.46</v>
      </c>
      <c r="Q57" s="103"/>
      <c r="R57" s="47"/>
      <c r="T57" s="113" t="s">
        <v>115</v>
      </c>
      <c r="U57" s="110">
        <v>3507877</v>
      </c>
      <c r="W57" s="160">
        <v>42338</v>
      </c>
      <c r="X57" s="12">
        <v>44.57</v>
      </c>
      <c r="Y57" s="12">
        <v>44.71</v>
      </c>
      <c r="Z57" s="12">
        <v>44.25</v>
      </c>
      <c r="AA57" s="12">
        <v>44.66</v>
      </c>
      <c r="AB57" s="115">
        <v>1767100</v>
      </c>
      <c r="AC57" s="12">
        <v>44.66</v>
      </c>
      <c r="AD57" s="2">
        <f t="shared" si="0"/>
        <v>0.46000000000000085</v>
      </c>
      <c r="AE57" s="165">
        <f t="shared" si="1"/>
        <v>8.9645898700130289E-4</v>
      </c>
    </row>
    <row r="58" spans="15:31" x14ac:dyDescent="0.25">
      <c r="O58" s="103">
        <v>0.99</v>
      </c>
      <c r="P58" s="103">
        <f t="shared" si="5"/>
        <v>37.0854</v>
      </c>
      <c r="Q58" s="103"/>
      <c r="R58" s="47"/>
      <c r="T58" s="113" t="s">
        <v>118</v>
      </c>
      <c r="U58" s="110">
        <v>5462730</v>
      </c>
      <c r="W58" s="160">
        <v>42335</v>
      </c>
      <c r="X58" s="12">
        <v>44.51</v>
      </c>
      <c r="Y58" s="12">
        <v>44.76</v>
      </c>
      <c r="Z58" s="12">
        <v>44.4</v>
      </c>
      <c r="AA58" s="12">
        <v>44.62</v>
      </c>
      <c r="AB58" s="115">
        <v>401700</v>
      </c>
      <c r="AC58" s="12">
        <v>44.62</v>
      </c>
      <c r="AD58" s="2">
        <f t="shared" si="0"/>
        <v>0.35999999999999943</v>
      </c>
      <c r="AE58" s="165">
        <f t="shared" si="1"/>
        <v>1.7961383026492417E-3</v>
      </c>
    </row>
    <row r="59" spans="15:31" x14ac:dyDescent="0.25">
      <c r="O59" s="103">
        <v>0.98</v>
      </c>
      <c r="P59" s="103">
        <f t="shared" si="5"/>
        <v>36.710799999999999</v>
      </c>
      <c r="Q59" s="103"/>
      <c r="T59" s="113" t="s">
        <v>116</v>
      </c>
      <c r="U59" s="108" t="s">
        <v>471</v>
      </c>
      <c r="W59" s="160">
        <v>42333</v>
      </c>
      <c r="X59" s="12">
        <v>44.57</v>
      </c>
      <c r="Y59" s="12">
        <v>44.84</v>
      </c>
      <c r="Z59" s="12">
        <v>44.28</v>
      </c>
      <c r="AA59" s="12">
        <v>44.54</v>
      </c>
      <c r="AB59" s="115">
        <v>1002000</v>
      </c>
      <c r="AC59" s="12">
        <v>44.54</v>
      </c>
      <c r="AD59" s="2">
        <f t="shared" si="0"/>
        <v>0.56000000000000227</v>
      </c>
      <c r="AE59" s="165" t="e">
        <f t="shared" si="1"/>
        <v>#DIV/0!</v>
      </c>
    </row>
    <row r="60" spans="15:31" x14ac:dyDescent="0.25">
      <c r="O60" s="103">
        <v>0.97</v>
      </c>
      <c r="P60" s="103">
        <f t="shared" si="5"/>
        <v>36.336199999999998</v>
      </c>
      <c r="Q60" s="103"/>
      <c r="T60" s="113" t="s">
        <v>119</v>
      </c>
      <c r="U60" s="108">
        <v>28.95</v>
      </c>
      <c r="W60" s="160">
        <v>42333</v>
      </c>
      <c r="X60" s="12" t="s">
        <v>320</v>
      </c>
      <c r="Y60" s="12"/>
      <c r="Z60" s="12"/>
      <c r="AA60" s="12"/>
      <c r="AB60" s="115"/>
      <c r="AC60" s="12"/>
      <c r="AD60" s="2">
        <f t="shared" si="0"/>
        <v>0</v>
      </c>
      <c r="AE60" s="165">
        <f t="shared" si="1"/>
        <v>-1</v>
      </c>
    </row>
    <row r="61" spans="15:31" x14ac:dyDescent="0.25">
      <c r="O61" s="103">
        <v>0.96</v>
      </c>
      <c r="P61" s="103">
        <f t="shared" si="5"/>
        <v>35.961599999999997</v>
      </c>
      <c r="Q61" s="103"/>
      <c r="T61" s="113" t="s">
        <v>120</v>
      </c>
      <c r="U61" s="108">
        <v>1.29</v>
      </c>
      <c r="W61" s="160">
        <v>42332</v>
      </c>
      <c r="X61" s="12">
        <v>44.39</v>
      </c>
      <c r="Y61" s="12">
        <v>44.81</v>
      </c>
      <c r="Z61" s="12">
        <v>44.31</v>
      </c>
      <c r="AA61" s="12">
        <v>44.69</v>
      </c>
      <c r="AB61" s="115">
        <v>1021800</v>
      </c>
      <c r="AC61" s="12">
        <v>44.5</v>
      </c>
      <c r="AD61" s="2">
        <f t="shared" si="0"/>
        <v>0.5</v>
      </c>
      <c r="AE61" s="165">
        <f t="shared" si="1"/>
        <v>-1.3464991023339756E-3</v>
      </c>
    </row>
    <row r="62" spans="15:31" x14ac:dyDescent="0.25">
      <c r="O62" s="103">
        <v>0.95</v>
      </c>
      <c r="P62" s="103">
        <f t="shared" si="5"/>
        <v>35.586999999999996</v>
      </c>
      <c r="Q62" s="103"/>
      <c r="T62" s="113" t="s">
        <v>117</v>
      </c>
      <c r="U62" s="108" t="s">
        <v>472</v>
      </c>
      <c r="W62" s="160">
        <v>42331</v>
      </c>
      <c r="X62" s="12">
        <v>44.37</v>
      </c>
      <c r="Y62" s="12">
        <v>44.94</v>
      </c>
      <c r="Z62" s="12">
        <v>44.36</v>
      </c>
      <c r="AA62" s="12">
        <v>44.75</v>
      </c>
      <c r="AB62" s="115">
        <v>824000</v>
      </c>
      <c r="AC62" s="12">
        <v>44.56</v>
      </c>
      <c r="AD62" s="2">
        <f t="shared" si="0"/>
        <v>0.57999999999999829</v>
      </c>
      <c r="AE62" s="165">
        <f t="shared" si="1"/>
        <v>7.6888285843510484E-3</v>
      </c>
    </row>
    <row r="63" spans="15:31" x14ac:dyDescent="0.25">
      <c r="O63" s="103">
        <v>0.94</v>
      </c>
      <c r="P63" s="103">
        <f t="shared" si="5"/>
        <v>35.212399999999995</v>
      </c>
      <c r="Q63" s="103"/>
      <c r="W63" s="160">
        <v>42328</v>
      </c>
      <c r="X63" s="12">
        <v>44.2</v>
      </c>
      <c r="Y63" s="12">
        <v>44.42</v>
      </c>
      <c r="Z63" s="12">
        <v>43.97</v>
      </c>
      <c r="AA63" s="12">
        <v>44.41</v>
      </c>
      <c r="AB63" s="115">
        <v>1334800</v>
      </c>
      <c r="AC63" s="12">
        <v>44.22</v>
      </c>
      <c r="AD63" s="2">
        <f t="shared" si="0"/>
        <v>0.45000000000000284</v>
      </c>
      <c r="AE63" s="165">
        <f t="shared" si="1"/>
        <v>1.0973936899862702E-2</v>
      </c>
    </row>
    <row r="64" spans="15:31" x14ac:dyDescent="0.25">
      <c r="O64" s="103">
        <v>0.93</v>
      </c>
      <c r="P64" s="103">
        <f t="shared" si="5"/>
        <v>34.837800000000001</v>
      </c>
      <c r="Q64" s="103"/>
      <c r="W64" s="160">
        <v>42327</v>
      </c>
      <c r="X64" s="12">
        <v>44.2</v>
      </c>
      <c r="Y64" s="12">
        <v>44.37</v>
      </c>
      <c r="Z64" s="12">
        <v>43.74</v>
      </c>
      <c r="AA64" s="12">
        <v>43.93</v>
      </c>
      <c r="AB64" s="115">
        <v>1299500</v>
      </c>
      <c r="AC64" s="12">
        <v>43.74</v>
      </c>
      <c r="AD64" s="2">
        <f t="shared" si="0"/>
        <v>0.62999999999999545</v>
      </c>
      <c r="AE64" s="165">
        <f t="shared" si="1"/>
        <v>-3.8715554543382602E-3</v>
      </c>
    </row>
    <row r="65" spans="15:31" x14ac:dyDescent="0.25">
      <c r="O65" s="103">
        <v>0.92</v>
      </c>
      <c r="P65" s="103">
        <f t="shared" si="5"/>
        <v>34.463200000000001</v>
      </c>
      <c r="Q65" s="103"/>
      <c r="W65" s="160">
        <v>42326</v>
      </c>
      <c r="X65" s="12">
        <v>43.48</v>
      </c>
      <c r="Y65" s="12">
        <v>44.17</v>
      </c>
      <c r="Z65" s="12">
        <v>43.18</v>
      </c>
      <c r="AA65" s="12">
        <v>44.1</v>
      </c>
      <c r="AB65" s="115">
        <v>1187400</v>
      </c>
      <c r="AC65" s="12">
        <v>43.91</v>
      </c>
      <c r="AD65" s="2">
        <f t="shared" si="0"/>
        <v>0.99000000000000199</v>
      </c>
      <c r="AE65" s="165">
        <f t="shared" si="1"/>
        <v>1.5260115606936298E-2</v>
      </c>
    </row>
    <row r="66" spans="15:31" x14ac:dyDescent="0.25">
      <c r="O66" s="103">
        <v>0.91</v>
      </c>
      <c r="P66" s="103">
        <f t="shared" si="5"/>
        <v>34.0886</v>
      </c>
      <c r="Q66" s="103"/>
      <c r="W66" s="160">
        <v>42325</v>
      </c>
      <c r="X66" s="12">
        <v>43.46</v>
      </c>
      <c r="Y66" s="12">
        <v>44.07</v>
      </c>
      <c r="Z66" s="12">
        <v>43.23</v>
      </c>
      <c r="AA66" s="12">
        <v>43.43</v>
      </c>
      <c r="AB66" s="115">
        <v>1523500</v>
      </c>
      <c r="AC66" s="12">
        <v>43.25</v>
      </c>
      <c r="AD66" s="2">
        <f t="shared" si="0"/>
        <v>0.84000000000000341</v>
      </c>
      <c r="AE66" s="165">
        <f t="shared" si="1"/>
        <v>4.4124477473292956E-3</v>
      </c>
    </row>
    <row r="67" spans="15:31" x14ac:dyDescent="0.25">
      <c r="O67" s="103">
        <v>0.9</v>
      </c>
      <c r="P67" s="103">
        <f t="shared" si="5"/>
        <v>33.713999999999999</v>
      </c>
      <c r="Q67" s="103"/>
      <c r="W67" s="160">
        <v>42324</v>
      </c>
      <c r="X67" s="12">
        <v>42.56</v>
      </c>
      <c r="Y67" s="12">
        <v>43.27</v>
      </c>
      <c r="Z67" s="12">
        <v>42.43</v>
      </c>
      <c r="AA67" s="12">
        <v>43.24</v>
      </c>
      <c r="AB67" s="115">
        <v>1609500</v>
      </c>
      <c r="AC67" s="12">
        <v>43.06</v>
      </c>
      <c r="AD67" s="2">
        <f t="shared" ref="AD67:AD68" si="6">Y67-Z67</f>
        <v>0.84000000000000341</v>
      </c>
      <c r="AE67" s="165">
        <f t="shared" ref="AE67:AE68" si="7">AC67/AC68-1</f>
        <v>1.3176470588235345E-2</v>
      </c>
    </row>
    <row r="68" spans="15:31" x14ac:dyDescent="0.25">
      <c r="O68" s="47"/>
      <c r="W68" s="160">
        <v>42321</v>
      </c>
      <c r="X68" s="12">
        <v>44.15</v>
      </c>
      <c r="Y68" s="12">
        <v>44.23</v>
      </c>
      <c r="Z68" s="12">
        <v>42.63</v>
      </c>
      <c r="AA68" s="12">
        <v>42.68</v>
      </c>
      <c r="AB68" s="115">
        <v>2464300</v>
      </c>
      <c r="AC68" s="12">
        <v>42.5</v>
      </c>
      <c r="AD68" s="2">
        <f t="shared" si="6"/>
        <v>1.5999999999999943</v>
      </c>
      <c r="AE68" s="165" t="e">
        <f t="shared" si="7"/>
        <v>#DIV/0!</v>
      </c>
    </row>
    <row r="69" spans="15:31" x14ac:dyDescent="0.25">
      <c r="O69" s="47"/>
      <c r="W69" t="s">
        <v>130</v>
      </c>
    </row>
  </sheetData>
  <conditionalFormatting sqref="Q7">
    <cfRule type="expression" dxfId="205" priority="20">
      <formula>Q7&gt;0</formula>
    </cfRule>
    <cfRule type="expression" dxfId="204" priority="21">
      <formula>Q7&lt;0</formula>
    </cfRule>
  </conditionalFormatting>
  <conditionalFormatting sqref="O47:O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:F16">
    <cfRule type="expression" dxfId="203" priority="13">
      <formula>F11&gt;0</formula>
    </cfRule>
    <cfRule type="expression" dxfId="202" priority="14">
      <formula>F11&lt;0</formula>
    </cfRule>
  </conditionalFormatting>
  <conditionalFormatting sqref="H11:H14">
    <cfRule type="expression" dxfId="201" priority="11">
      <formula>H11&gt;0</formula>
    </cfRule>
    <cfRule type="expression" dxfId="200" priority="12">
      <formula>H11&lt;0</formula>
    </cfRule>
  </conditionalFormatting>
  <conditionalFormatting sqref="H15">
    <cfRule type="expression" dxfId="199" priority="9">
      <formula>H15&gt;0</formula>
    </cfRule>
    <cfRule type="expression" dxfId="198" priority="10">
      <formula>H15&lt;0</formula>
    </cfRule>
  </conditionalFormatting>
  <conditionalFormatting sqref="H16">
    <cfRule type="expression" dxfId="197" priority="7">
      <formula>H16&gt;0</formula>
    </cfRule>
    <cfRule type="expression" dxfId="196" priority="8">
      <formula>H16&lt;0</formula>
    </cfRule>
  </conditionalFormatting>
  <conditionalFormatting sqref="H17">
    <cfRule type="expression" dxfId="195" priority="5">
      <formula>H17&gt;0</formula>
    </cfRule>
    <cfRule type="expression" dxfId="194" priority="6">
      <formula>H17&lt;0</formula>
    </cfRule>
  </conditionalFormatting>
  <conditionalFormatting sqref="F8:F10">
    <cfRule type="expression" dxfId="3" priority="3">
      <formula>F8&gt;0</formula>
    </cfRule>
    <cfRule type="expression" dxfId="2" priority="4">
      <formula>F8&lt;0</formula>
    </cfRule>
  </conditionalFormatting>
  <conditionalFormatting sqref="H8:H10">
    <cfRule type="expression" dxfId="1" priority="1">
      <formula>H8&gt;0</formula>
    </cfRule>
    <cfRule type="expression" dxfId="0" priority="2">
      <formula>H8&lt;0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42419</v>
      </c>
      <c r="X2" s="12">
        <v>52.78</v>
      </c>
      <c r="Y2" s="12">
        <v>53.28</v>
      </c>
      <c r="Z2" s="12">
        <v>51.91</v>
      </c>
      <c r="AA2" s="12">
        <v>52.73</v>
      </c>
      <c r="AB2" s="115">
        <v>2631600</v>
      </c>
      <c r="AC2" s="12">
        <v>52.73</v>
      </c>
      <c r="AD2" s="2">
        <f>Y2-Z2</f>
        <v>1.3700000000000045</v>
      </c>
      <c r="AE2" s="165">
        <f>AC2/AC3-1</f>
        <v>-9.5792637114952006E-3</v>
      </c>
      <c r="AP2" t="s">
        <v>209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52.73</v>
      </c>
      <c r="T3" s="1">
        <v>42312</v>
      </c>
      <c r="U3" t="s">
        <v>191</v>
      </c>
      <c r="W3" s="160">
        <v>42418</v>
      </c>
      <c r="X3" s="12">
        <v>52.54</v>
      </c>
      <c r="Y3" s="12">
        <v>53.93</v>
      </c>
      <c r="Z3" s="12">
        <v>52.07</v>
      </c>
      <c r="AA3" s="12">
        <v>53.24</v>
      </c>
      <c r="AB3" s="115">
        <v>4843200</v>
      </c>
      <c r="AC3" s="12">
        <v>53.24</v>
      </c>
      <c r="AD3" s="2">
        <f t="shared" ref="AD3:AD66" si="1">Y3-Z3</f>
        <v>1.8599999999999994</v>
      </c>
      <c r="AE3" s="165">
        <f t="shared" ref="AE3:AE66" si="2">AC3/AC4-1</f>
        <v>1.4288435892551021E-2</v>
      </c>
      <c r="AI3" t="s">
        <v>211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52.73</v>
      </c>
      <c r="W4" s="160">
        <v>42417</v>
      </c>
      <c r="X4" s="12">
        <v>51.78</v>
      </c>
      <c r="Y4" s="12">
        <v>52.54</v>
      </c>
      <c r="Z4" s="12">
        <v>51.55</v>
      </c>
      <c r="AA4" s="12">
        <v>52.49</v>
      </c>
      <c r="AB4" s="115">
        <v>4791400</v>
      </c>
      <c r="AC4" s="12">
        <v>52.49</v>
      </c>
      <c r="AD4" s="2">
        <f t="shared" si="1"/>
        <v>0.99000000000000199</v>
      </c>
      <c r="AE4" s="165">
        <f t="shared" si="2"/>
        <v>3.4081954294720385E-2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42416</v>
      </c>
      <c r="X5" s="12">
        <v>50.05</v>
      </c>
      <c r="Y5" s="12">
        <v>51.6</v>
      </c>
      <c r="Z5" s="12">
        <v>49.25</v>
      </c>
      <c r="AA5" s="12">
        <v>50.76</v>
      </c>
      <c r="AB5" s="115">
        <v>3891000</v>
      </c>
      <c r="AC5" s="12">
        <v>50.76</v>
      </c>
      <c r="AD5" s="2">
        <f t="shared" si="1"/>
        <v>2.3500000000000014</v>
      </c>
      <c r="AE5" s="165">
        <f t="shared" si="2"/>
        <v>2.4006455517449954E-2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42412</v>
      </c>
      <c r="X6" s="12">
        <v>49.57</v>
      </c>
      <c r="Y6" s="12">
        <v>50</v>
      </c>
      <c r="Z6" s="12">
        <v>48.13</v>
      </c>
      <c r="AA6" s="12">
        <v>49.57</v>
      </c>
      <c r="AB6" s="115">
        <v>4214200</v>
      </c>
      <c r="AC6" s="12">
        <v>49.57</v>
      </c>
      <c r="AD6" s="2">
        <f t="shared" si="1"/>
        <v>1.8699999999999974</v>
      </c>
      <c r="AE6" s="165">
        <f t="shared" si="2"/>
        <v>8.7505087505086454E-3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42411</v>
      </c>
      <c r="X7" s="12">
        <v>49.72</v>
      </c>
      <c r="Y7" s="12">
        <v>50.44</v>
      </c>
      <c r="Z7" s="12">
        <v>48.6</v>
      </c>
      <c r="AA7" s="12">
        <v>49.14</v>
      </c>
      <c r="AB7" s="115">
        <v>4508200</v>
      </c>
      <c r="AC7" s="12">
        <v>49.14</v>
      </c>
      <c r="AD7" s="2">
        <f t="shared" si="1"/>
        <v>1.8399999999999963</v>
      </c>
      <c r="AE7" s="165">
        <f t="shared" si="2"/>
        <v>-2.0334928229664984E-2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42410</v>
      </c>
      <c r="X8" s="12">
        <v>51</v>
      </c>
      <c r="Y8" s="12">
        <v>51.64</v>
      </c>
      <c r="Z8" s="12">
        <v>49.54</v>
      </c>
      <c r="AA8" s="12">
        <v>50.16</v>
      </c>
      <c r="AB8" s="115">
        <v>3698800</v>
      </c>
      <c r="AC8" s="12">
        <v>50.16</v>
      </c>
      <c r="AD8" s="2">
        <f t="shared" si="1"/>
        <v>2.1000000000000014</v>
      </c>
      <c r="AE8" s="165">
        <f t="shared" si="2"/>
        <v>-1.3935894883535527E-3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42409</v>
      </c>
      <c r="X9" s="12">
        <v>48.32</v>
      </c>
      <c r="Y9" s="12">
        <v>50.87</v>
      </c>
      <c r="Z9" s="12">
        <v>48.32</v>
      </c>
      <c r="AA9" s="12">
        <v>50.23</v>
      </c>
      <c r="AB9" s="115">
        <v>4482600</v>
      </c>
      <c r="AC9" s="12">
        <v>50.23</v>
      </c>
      <c r="AD9" s="2">
        <f t="shared" si="1"/>
        <v>2.5499999999999972</v>
      </c>
      <c r="AE9" s="165">
        <f t="shared" si="2"/>
        <v>5.9760956175280988E-4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42408</v>
      </c>
      <c r="X10" s="12">
        <v>51.46</v>
      </c>
      <c r="Y10" s="12">
        <v>52.07</v>
      </c>
      <c r="Z10" s="12">
        <v>49.34</v>
      </c>
      <c r="AA10" s="12">
        <v>50.2</v>
      </c>
      <c r="AB10" s="115">
        <v>5403600</v>
      </c>
      <c r="AC10" s="12">
        <v>50.2</v>
      </c>
      <c r="AD10" s="2">
        <f t="shared" si="1"/>
        <v>2.7299999999999969</v>
      </c>
      <c r="AE10" s="165">
        <f t="shared" si="2"/>
        <v>-3.1635802469135776E-2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42405</v>
      </c>
      <c r="X11" s="12">
        <v>51.38</v>
      </c>
      <c r="Y11" s="12">
        <v>52.47</v>
      </c>
      <c r="Z11" s="12">
        <v>50.73</v>
      </c>
      <c r="AA11" s="12">
        <v>51.84</v>
      </c>
      <c r="AB11" s="115">
        <v>5363000</v>
      </c>
      <c r="AC11" s="12">
        <v>51.84</v>
      </c>
      <c r="AD11" s="2">
        <f t="shared" si="1"/>
        <v>1.740000000000002</v>
      </c>
      <c r="AE11" s="165">
        <f t="shared" si="2"/>
        <v>2.3201856148493682E-3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42404</v>
      </c>
      <c r="X12" s="12">
        <v>51.1</v>
      </c>
      <c r="Y12" s="12">
        <v>52.15</v>
      </c>
      <c r="Z12" s="12">
        <v>50.7</v>
      </c>
      <c r="AA12" s="12">
        <v>51.72</v>
      </c>
      <c r="AB12" s="115">
        <v>6332400</v>
      </c>
      <c r="AC12" s="12">
        <v>51.72</v>
      </c>
      <c r="AD12" s="2">
        <f t="shared" si="1"/>
        <v>1.4499999999999957</v>
      </c>
      <c r="AE12" s="165">
        <f t="shared" si="2"/>
        <v>0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42403</v>
      </c>
      <c r="X13" s="12">
        <v>49.84</v>
      </c>
      <c r="Y13" s="12">
        <v>52.63</v>
      </c>
      <c r="Z13" s="12">
        <v>49.24</v>
      </c>
      <c r="AA13" s="12">
        <v>51.72</v>
      </c>
      <c r="AB13" s="115">
        <v>11622900</v>
      </c>
      <c r="AC13" s="12">
        <v>51.72</v>
      </c>
      <c r="AD13" s="2">
        <f t="shared" si="1"/>
        <v>3.3900000000000006</v>
      </c>
      <c r="AE13" s="165">
        <f t="shared" si="2"/>
        <v>3.2129315505887046E-2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42402</v>
      </c>
      <c r="X14" s="12">
        <v>47.11</v>
      </c>
      <c r="Y14" s="12">
        <v>51.05</v>
      </c>
      <c r="Z14" s="12">
        <v>46.44</v>
      </c>
      <c r="AA14" s="12">
        <v>50.11</v>
      </c>
      <c r="AB14" s="115">
        <v>28498600</v>
      </c>
      <c r="AC14" s="12">
        <v>50.11</v>
      </c>
      <c r="AD14" s="2">
        <f t="shared" si="1"/>
        <v>4.6099999999999994</v>
      </c>
      <c r="AE14" s="165">
        <f t="shared" si="2"/>
        <v>0.23911968348170132</v>
      </c>
    </row>
    <row r="15" spans="1:43" x14ac:dyDescent="0.25">
      <c r="B15" s="1"/>
      <c r="C15" s="4"/>
      <c r="W15" s="160">
        <v>42401</v>
      </c>
      <c r="X15" s="12">
        <v>39.93</v>
      </c>
      <c r="Y15" s="12">
        <v>40.78</v>
      </c>
      <c r="Z15" s="12">
        <v>39.619999999999997</v>
      </c>
      <c r="AA15" s="12">
        <v>40.44</v>
      </c>
      <c r="AB15" s="115">
        <v>4745900</v>
      </c>
      <c r="AC15" s="12">
        <v>40.44</v>
      </c>
      <c r="AD15" s="2">
        <f t="shared" si="1"/>
        <v>1.1600000000000037</v>
      </c>
      <c r="AE15" s="165">
        <f t="shared" si="2"/>
        <v>1.3533834586466176E-2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42398</v>
      </c>
      <c r="X16" s="12">
        <v>38.89</v>
      </c>
      <c r="Y16" s="12">
        <v>40</v>
      </c>
      <c r="Z16" s="12">
        <v>38.69</v>
      </c>
      <c r="AA16" s="12">
        <v>39.9</v>
      </c>
      <c r="AB16" s="115">
        <v>3167800</v>
      </c>
      <c r="AC16" s="12">
        <v>39.9</v>
      </c>
      <c r="AD16" s="2">
        <f t="shared" si="1"/>
        <v>1.3100000000000023</v>
      </c>
      <c r="AE16" s="165">
        <f t="shared" si="2"/>
        <v>3.0209140201394424E-2</v>
      </c>
    </row>
    <row r="17" spans="2:31" x14ac:dyDescent="0.25">
      <c r="G17" s="2"/>
      <c r="W17" s="160">
        <v>42397</v>
      </c>
      <c r="X17" s="12">
        <v>38.700000000000003</v>
      </c>
      <c r="Y17" s="12">
        <v>39.049999999999997</v>
      </c>
      <c r="Z17" s="12">
        <v>37.79</v>
      </c>
      <c r="AA17" s="12">
        <v>38.729999999999997</v>
      </c>
      <c r="AB17" s="115">
        <v>2444700</v>
      </c>
      <c r="AC17" s="12">
        <v>38.729999999999997</v>
      </c>
      <c r="AD17" s="2">
        <f t="shared" si="1"/>
        <v>1.259999999999998</v>
      </c>
      <c r="AE17" s="165">
        <f t="shared" si="2"/>
        <v>1.8406521167499301E-2</v>
      </c>
    </row>
    <row r="18" spans="2:31" x14ac:dyDescent="0.25">
      <c r="B18" s="246" t="s">
        <v>122</v>
      </c>
      <c r="C18" s="246" t="s">
        <v>189</v>
      </c>
      <c r="D18" s="247" t="s">
        <v>188</v>
      </c>
      <c r="E18" s="249" t="s">
        <v>190</v>
      </c>
      <c r="F18" s="250" t="s">
        <v>65</v>
      </c>
      <c r="G18" s="294" t="s">
        <v>195</v>
      </c>
      <c r="H18" s="250" t="s">
        <v>92</v>
      </c>
      <c r="W18" s="160">
        <v>42396</v>
      </c>
      <c r="X18" s="12">
        <v>37.57</v>
      </c>
      <c r="Y18" s="12">
        <v>39.08</v>
      </c>
      <c r="Z18" s="12">
        <v>37.33</v>
      </c>
      <c r="AA18" s="12">
        <v>38.03</v>
      </c>
      <c r="AB18" s="115">
        <v>2869500</v>
      </c>
      <c r="AC18" s="12">
        <v>38.03</v>
      </c>
      <c r="AD18" s="2">
        <f t="shared" si="1"/>
        <v>1.75</v>
      </c>
      <c r="AE18" s="165">
        <f t="shared" si="2"/>
        <v>6.3508864779042717E-3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42395</v>
      </c>
      <c r="X19" s="12">
        <v>37.07</v>
      </c>
      <c r="Y19" s="12">
        <v>38.11</v>
      </c>
      <c r="Z19" s="12">
        <v>36.729999999999997</v>
      </c>
      <c r="AA19" s="12">
        <v>37.79</v>
      </c>
      <c r="AB19" s="115">
        <v>2547000</v>
      </c>
      <c r="AC19" s="12">
        <v>37.79</v>
      </c>
      <c r="AD19" s="2">
        <f t="shared" si="1"/>
        <v>1.3800000000000026</v>
      </c>
      <c r="AE19" s="165">
        <f t="shared" si="2"/>
        <v>2.8859243125510581E-2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42394</v>
      </c>
      <c r="X20" s="12">
        <v>38.119999999999997</v>
      </c>
      <c r="Y20" s="12">
        <v>38.369999999999997</v>
      </c>
      <c r="Z20" s="12">
        <v>36.57</v>
      </c>
      <c r="AA20" s="12">
        <v>36.729999999999997</v>
      </c>
      <c r="AB20" s="115">
        <v>3301500</v>
      </c>
      <c r="AC20" s="12">
        <v>36.729999999999997</v>
      </c>
      <c r="AD20" s="2">
        <f t="shared" si="1"/>
        <v>1.7999999999999972</v>
      </c>
      <c r="AE20" s="165">
        <f t="shared" si="2"/>
        <v>-4.3738609737047685E-2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42391</v>
      </c>
      <c r="X21" s="12">
        <v>38.06</v>
      </c>
      <c r="Y21" s="12">
        <v>38.78</v>
      </c>
      <c r="Z21" s="12">
        <v>37.89</v>
      </c>
      <c r="AA21" s="12">
        <v>38.409999999999997</v>
      </c>
      <c r="AB21" s="115">
        <v>2042100</v>
      </c>
      <c r="AC21" s="12">
        <v>38.409999999999997</v>
      </c>
      <c r="AD21" s="2">
        <f t="shared" si="1"/>
        <v>0.89000000000000057</v>
      </c>
      <c r="AE21" s="165">
        <f t="shared" si="2"/>
        <v>2.3993601706211676E-2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42390</v>
      </c>
      <c r="X22" s="12">
        <v>37</v>
      </c>
      <c r="Y22" s="12">
        <v>38.36</v>
      </c>
      <c r="Z22" s="12">
        <v>36.43</v>
      </c>
      <c r="AA22" s="12">
        <v>37.51</v>
      </c>
      <c r="AB22" s="115">
        <v>3488000</v>
      </c>
      <c r="AC22" s="12">
        <v>37.51</v>
      </c>
      <c r="AD22" s="2">
        <f t="shared" si="1"/>
        <v>1.9299999999999997</v>
      </c>
      <c r="AE22" s="165">
        <f t="shared" si="2"/>
        <v>2.7952863798300864E-2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42389</v>
      </c>
      <c r="X23" s="12">
        <v>35</v>
      </c>
      <c r="Y23" s="12">
        <v>36.89</v>
      </c>
      <c r="Z23" s="12">
        <v>34.83</v>
      </c>
      <c r="AA23" s="12">
        <v>36.49</v>
      </c>
      <c r="AB23" s="115">
        <v>3312100</v>
      </c>
      <c r="AC23" s="12">
        <v>36.49</v>
      </c>
      <c r="AD23" s="2">
        <f t="shared" si="1"/>
        <v>2.0600000000000023</v>
      </c>
      <c r="AE23" s="165">
        <f t="shared" si="2"/>
        <v>2.0413870246085208E-2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42388</v>
      </c>
      <c r="X24" s="12">
        <v>36.15</v>
      </c>
      <c r="Y24" s="12">
        <v>36.369999999999997</v>
      </c>
      <c r="Z24" s="12">
        <v>35.33</v>
      </c>
      <c r="AA24" s="12">
        <v>35.76</v>
      </c>
      <c r="AB24" s="115">
        <v>2950800</v>
      </c>
      <c r="AC24" s="12">
        <v>35.76</v>
      </c>
      <c r="AD24" s="2">
        <f t="shared" si="1"/>
        <v>1.0399999999999991</v>
      </c>
      <c r="AE24" s="165">
        <f t="shared" si="2"/>
        <v>5.3415799831317834E-3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42384</v>
      </c>
      <c r="X25" s="12">
        <v>35.049999999999997</v>
      </c>
      <c r="Y25" s="12">
        <v>36.03</v>
      </c>
      <c r="Z25" s="12">
        <v>34.909999999999997</v>
      </c>
      <c r="AA25" s="12">
        <v>35.57</v>
      </c>
      <c r="AB25" s="115">
        <v>3917900</v>
      </c>
      <c r="AC25" s="12">
        <v>35.57</v>
      </c>
      <c r="AD25" s="2">
        <f t="shared" si="1"/>
        <v>1.1200000000000045</v>
      </c>
      <c r="AE25" s="165">
        <f t="shared" si="2"/>
        <v>-1.4954306286347196E-2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42383</v>
      </c>
      <c r="X26" s="12">
        <v>36.26</v>
      </c>
      <c r="Y26" s="12">
        <v>36.619999999999997</v>
      </c>
      <c r="Z26" s="12">
        <v>35.020000000000003</v>
      </c>
      <c r="AA26" s="12">
        <v>36.11</v>
      </c>
      <c r="AB26" s="115">
        <v>2752200</v>
      </c>
      <c r="AC26" s="12">
        <v>36.11</v>
      </c>
      <c r="AD26" s="2">
        <f t="shared" si="1"/>
        <v>1.5999999999999943</v>
      </c>
      <c r="AE26" s="165">
        <f t="shared" si="2"/>
        <v>-1.1065006915629283E-3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42382</v>
      </c>
      <c r="X27" s="12">
        <v>37.67</v>
      </c>
      <c r="Y27" s="12">
        <v>38.119999999999997</v>
      </c>
      <c r="Z27" s="12">
        <v>36.06</v>
      </c>
      <c r="AA27" s="12">
        <v>36.15</v>
      </c>
      <c r="AB27" s="115">
        <v>3043900</v>
      </c>
      <c r="AC27" s="12">
        <v>36.15</v>
      </c>
      <c r="AD27" s="2">
        <f t="shared" si="1"/>
        <v>2.0599999999999952</v>
      </c>
      <c r="AE27" s="165">
        <f t="shared" si="2"/>
        <v>-3.6513859275053462E-2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42381</v>
      </c>
      <c r="X28" s="12">
        <v>37.71</v>
      </c>
      <c r="Y28" s="12">
        <v>37.99</v>
      </c>
      <c r="Z28" s="12">
        <v>36.81</v>
      </c>
      <c r="AA28" s="12">
        <v>37.520000000000003</v>
      </c>
      <c r="AB28" s="115">
        <v>1876200</v>
      </c>
      <c r="AC28" s="12">
        <v>37.520000000000003</v>
      </c>
      <c r="AD28" s="2">
        <f t="shared" si="1"/>
        <v>1.1799999999999997</v>
      </c>
      <c r="AE28" s="165">
        <f t="shared" si="2"/>
        <v>1.0231556273559539E-2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42380</v>
      </c>
      <c r="X29" s="12">
        <v>37.58</v>
      </c>
      <c r="Y29" s="12">
        <v>38.22</v>
      </c>
      <c r="Z29" s="12">
        <v>36.590000000000003</v>
      </c>
      <c r="AA29" s="12">
        <v>37.14</v>
      </c>
      <c r="AB29" s="115">
        <v>3564900</v>
      </c>
      <c r="AC29" s="12">
        <v>37.14</v>
      </c>
      <c r="AD29" s="2">
        <f t="shared" si="1"/>
        <v>1.6299999999999955</v>
      </c>
      <c r="AE29" s="165">
        <f t="shared" si="2"/>
        <v>-1.7200317544323829E-2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42377</v>
      </c>
      <c r="X30" s="12">
        <v>39.130000000000003</v>
      </c>
      <c r="Y30" s="12">
        <v>39.35</v>
      </c>
      <c r="Z30" s="12">
        <v>37.729999999999997</v>
      </c>
      <c r="AA30" s="12">
        <v>37.79</v>
      </c>
      <c r="AB30" s="115">
        <v>3952800</v>
      </c>
      <c r="AC30" s="12">
        <v>37.79</v>
      </c>
      <c r="AD30" s="2">
        <f t="shared" si="1"/>
        <v>1.6200000000000045</v>
      </c>
      <c r="AE30" s="165">
        <f t="shared" si="2"/>
        <v>-3.003080082135523E-2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42376</v>
      </c>
      <c r="X31" s="12">
        <v>39.020000000000003</v>
      </c>
      <c r="Y31" s="12">
        <v>40.28</v>
      </c>
      <c r="Z31" s="12">
        <v>38.729999999999997</v>
      </c>
      <c r="AA31" s="12">
        <v>38.96</v>
      </c>
      <c r="AB31" s="115">
        <v>2807100</v>
      </c>
      <c r="AC31" s="12">
        <v>38.96</v>
      </c>
      <c r="AD31" s="2">
        <f t="shared" si="1"/>
        <v>1.5500000000000043</v>
      </c>
      <c r="AE31" s="165">
        <f t="shared" si="2"/>
        <v>-2.0120724346076369E-2</v>
      </c>
    </row>
    <row r="32" spans="2:31" x14ac:dyDescent="0.25">
      <c r="W32" s="160">
        <v>42375</v>
      </c>
      <c r="X32" s="12">
        <v>39.979999999999997</v>
      </c>
      <c r="Y32" s="12">
        <v>40.86</v>
      </c>
      <c r="Z32" s="12">
        <v>39.29</v>
      </c>
      <c r="AA32" s="12">
        <v>39.76</v>
      </c>
      <c r="AB32" s="115">
        <v>3715900</v>
      </c>
      <c r="AC32" s="12">
        <v>39.76</v>
      </c>
      <c r="AD32" s="2">
        <f t="shared" si="1"/>
        <v>1.5700000000000003</v>
      </c>
      <c r="AE32" s="165">
        <f t="shared" si="2"/>
        <v>-2.3575638506876273E-2</v>
      </c>
    </row>
    <row r="33" spans="15:31" x14ac:dyDescent="0.25">
      <c r="W33" s="160">
        <v>42374</v>
      </c>
      <c r="X33" s="12">
        <v>40.5</v>
      </c>
      <c r="Y33" s="12">
        <v>40.79</v>
      </c>
      <c r="Z33" s="12">
        <v>39.4</v>
      </c>
      <c r="AA33" s="12">
        <v>40.72</v>
      </c>
      <c r="AB33" s="115">
        <v>2374100</v>
      </c>
      <c r="AC33" s="12">
        <v>40.72</v>
      </c>
      <c r="AD33" s="2">
        <f t="shared" si="1"/>
        <v>1.3900000000000006</v>
      </c>
      <c r="AE33" s="165">
        <f t="shared" si="2"/>
        <v>8.6698043101314237E-3</v>
      </c>
    </row>
    <row r="34" spans="15:31" x14ac:dyDescent="0.25">
      <c r="W34" s="160">
        <v>42373</v>
      </c>
      <c r="X34" s="12">
        <v>39.39</v>
      </c>
      <c r="Y34" s="12">
        <v>40.51</v>
      </c>
      <c r="Z34" s="12">
        <v>39.229999999999997</v>
      </c>
      <c r="AA34" s="12">
        <v>40.369999999999997</v>
      </c>
      <c r="AB34" s="115">
        <v>2544300</v>
      </c>
      <c r="AC34" s="12">
        <v>40.369999999999997</v>
      </c>
      <c r="AD34" s="2">
        <f t="shared" si="1"/>
        <v>1.2800000000000011</v>
      </c>
      <c r="AE34" s="165">
        <f t="shared" si="2"/>
        <v>7.738392411382744E-3</v>
      </c>
    </row>
    <row r="35" spans="15:31" x14ac:dyDescent="0.25">
      <c r="W35" s="160">
        <v>42369</v>
      </c>
      <c r="X35" s="12">
        <v>40.08</v>
      </c>
      <c r="Y35" s="12">
        <v>40.49</v>
      </c>
      <c r="Z35" s="12">
        <v>39.869999999999997</v>
      </c>
      <c r="AA35" s="12">
        <v>40.06</v>
      </c>
      <c r="AB35" s="115">
        <v>1849500</v>
      </c>
      <c r="AC35" s="12">
        <v>40.06</v>
      </c>
      <c r="AD35" s="2">
        <f t="shared" si="1"/>
        <v>0.62000000000000455</v>
      </c>
      <c r="AE35" s="165">
        <f t="shared" si="2"/>
        <v>-3.9781203381401564E-3</v>
      </c>
    </row>
    <row r="36" spans="15:31" x14ac:dyDescent="0.25">
      <c r="W36" s="160">
        <v>42368</v>
      </c>
      <c r="X36" s="12">
        <v>41</v>
      </c>
      <c r="Y36" s="12">
        <v>41.4</v>
      </c>
      <c r="Z36" s="12">
        <v>40.1</v>
      </c>
      <c r="AA36" s="12">
        <v>40.22</v>
      </c>
      <c r="AB36" s="115">
        <v>1864100</v>
      </c>
      <c r="AC36" s="12">
        <v>40.22</v>
      </c>
      <c r="AD36" s="2">
        <f t="shared" si="1"/>
        <v>1.2999999999999972</v>
      </c>
      <c r="AE36" s="165">
        <f t="shared" si="2"/>
        <v>-1.9263594245305993E-2</v>
      </c>
    </row>
    <row r="37" spans="15:31" x14ac:dyDescent="0.25">
      <c r="W37" s="160">
        <v>42367</v>
      </c>
      <c r="X37" s="12">
        <v>40.89</v>
      </c>
      <c r="Y37" s="12">
        <v>41.21</v>
      </c>
      <c r="Z37" s="12">
        <v>40.74</v>
      </c>
      <c r="AA37" s="12">
        <v>41.01</v>
      </c>
      <c r="AB37" s="115">
        <v>1440000</v>
      </c>
      <c r="AC37" s="12">
        <v>41.01</v>
      </c>
      <c r="AD37" s="2">
        <f t="shared" si="1"/>
        <v>0.46999999999999886</v>
      </c>
      <c r="AE37" s="165">
        <f t="shared" si="2"/>
        <v>9.3526950529163599E-3</v>
      </c>
    </row>
    <row r="38" spans="15:31" x14ac:dyDescent="0.25">
      <c r="W38" s="160">
        <v>42366</v>
      </c>
      <c r="X38" s="12">
        <v>40.64</v>
      </c>
      <c r="Y38" s="12">
        <v>41.33</v>
      </c>
      <c r="Z38" s="12">
        <v>40.119999999999997</v>
      </c>
      <c r="AA38" s="12">
        <v>40.630000000000003</v>
      </c>
      <c r="AB38" s="115">
        <v>1989500</v>
      </c>
      <c r="AC38" s="12">
        <v>40.630000000000003</v>
      </c>
      <c r="AD38" s="2">
        <f t="shared" si="1"/>
        <v>1.2100000000000009</v>
      </c>
      <c r="AE38" s="165">
        <f t="shared" si="2"/>
        <v>-5.6289769946157309E-3</v>
      </c>
    </row>
    <row r="39" spans="15:31" x14ac:dyDescent="0.25">
      <c r="W39" s="160">
        <v>42362</v>
      </c>
      <c r="X39" s="12">
        <v>41.53</v>
      </c>
      <c r="Y39" s="12">
        <v>41.57</v>
      </c>
      <c r="Z39" s="12">
        <v>40.83</v>
      </c>
      <c r="AA39" s="12">
        <v>40.86</v>
      </c>
      <c r="AB39" s="115">
        <v>823000</v>
      </c>
      <c r="AC39" s="12">
        <v>40.86</v>
      </c>
      <c r="AD39" s="2">
        <f t="shared" si="1"/>
        <v>0.74000000000000199</v>
      </c>
      <c r="AE39" s="165">
        <f t="shared" si="2"/>
        <v>-1.8496276723516725E-2</v>
      </c>
    </row>
    <row r="40" spans="15:31" x14ac:dyDescent="0.25">
      <c r="W40" s="160">
        <v>42361</v>
      </c>
      <c r="X40" s="12">
        <v>41.45</v>
      </c>
      <c r="Y40" s="12">
        <v>41.73</v>
      </c>
      <c r="Z40" s="12">
        <v>40.700000000000003</v>
      </c>
      <c r="AA40" s="12">
        <v>41.63</v>
      </c>
      <c r="AB40" s="115">
        <v>2242600</v>
      </c>
      <c r="AC40" s="12">
        <v>41.63</v>
      </c>
      <c r="AD40" s="2">
        <f t="shared" si="1"/>
        <v>1.029999999999994</v>
      </c>
      <c r="AE40" s="165">
        <f t="shared" si="2"/>
        <v>1.984321411073009E-2</v>
      </c>
    </row>
    <row r="41" spans="15:31" x14ac:dyDescent="0.25">
      <c r="W41" s="160">
        <v>42360</v>
      </c>
      <c r="X41" s="12">
        <v>40.43</v>
      </c>
      <c r="Y41" s="12">
        <v>41.07</v>
      </c>
      <c r="Z41" s="12">
        <v>39.869999999999997</v>
      </c>
      <c r="AA41" s="12">
        <v>40.82</v>
      </c>
      <c r="AB41" s="115">
        <v>2250800</v>
      </c>
      <c r="AC41" s="12">
        <v>40.82</v>
      </c>
      <c r="AD41" s="2">
        <f t="shared" si="1"/>
        <v>1.2000000000000028</v>
      </c>
      <c r="AE41" s="165">
        <f t="shared" si="2"/>
        <v>1.214976444334237E-2</v>
      </c>
    </row>
    <row r="42" spans="15:31" x14ac:dyDescent="0.25">
      <c r="W42" s="160">
        <v>42359</v>
      </c>
      <c r="X42" s="12">
        <v>39.85</v>
      </c>
      <c r="Y42" s="12">
        <v>40.46</v>
      </c>
      <c r="Z42" s="12">
        <v>39.64</v>
      </c>
      <c r="AA42" s="12">
        <v>40.33</v>
      </c>
      <c r="AB42" s="115">
        <v>2103200</v>
      </c>
      <c r="AC42" s="12">
        <v>40.33</v>
      </c>
      <c r="AD42" s="2">
        <f t="shared" si="1"/>
        <v>0.82000000000000028</v>
      </c>
      <c r="AE42" s="165">
        <f t="shared" si="2"/>
        <v>1.58690176322418E-2</v>
      </c>
    </row>
    <row r="43" spans="15:31" x14ac:dyDescent="0.25">
      <c r="W43" s="160">
        <v>42356</v>
      </c>
      <c r="X43" s="12">
        <v>39.479999999999997</v>
      </c>
      <c r="Y43" s="12">
        <v>40.25</v>
      </c>
      <c r="Z43" s="12">
        <v>39.090000000000003</v>
      </c>
      <c r="AA43" s="12">
        <v>39.700000000000003</v>
      </c>
      <c r="AB43" s="115">
        <v>5294800</v>
      </c>
      <c r="AC43" s="12">
        <v>39.700000000000003</v>
      </c>
      <c r="AD43" s="2">
        <f t="shared" si="1"/>
        <v>1.1599999999999966</v>
      </c>
      <c r="AE43" s="165">
        <f t="shared" si="2"/>
        <v>6.8475779863048647E-3</v>
      </c>
    </row>
    <row r="44" spans="15:31" x14ac:dyDescent="0.25">
      <c r="W44" s="160">
        <v>42355</v>
      </c>
      <c r="X44" s="12">
        <v>40.86</v>
      </c>
      <c r="Y44" s="12">
        <v>41.05</v>
      </c>
      <c r="Z44" s="12">
        <v>38.97</v>
      </c>
      <c r="AA44" s="12">
        <v>39.43</v>
      </c>
      <c r="AB44" s="115">
        <v>3265900</v>
      </c>
      <c r="AC44" s="12">
        <v>39.43</v>
      </c>
      <c r="AD44" s="2">
        <f t="shared" si="1"/>
        <v>2.0799999999999983</v>
      </c>
      <c r="AE44" s="165">
        <f t="shared" si="2"/>
        <v>-3.6883243771372642E-2</v>
      </c>
    </row>
    <row r="45" spans="15:31" x14ac:dyDescent="0.25">
      <c r="O45" s="47"/>
      <c r="R45" s="47"/>
      <c r="W45" s="160">
        <v>42354</v>
      </c>
      <c r="X45" s="12">
        <v>40.72</v>
      </c>
      <c r="Y45" s="12">
        <v>41.32</v>
      </c>
      <c r="Z45" s="12">
        <v>40.46</v>
      </c>
      <c r="AA45" s="12">
        <v>40.94</v>
      </c>
      <c r="AB45" s="115">
        <v>2760800</v>
      </c>
      <c r="AC45" s="12">
        <v>40.94</v>
      </c>
      <c r="AD45" s="2">
        <f t="shared" si="1"/>
        <v>0.85999999999999943</v>
      </c>
      <c r="AE45" s="165">
        <f t="shared" si="2"/>
        <v>1.1363636363636465E-2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121</v>
      </c>
      <c r="W46" s="160">
        <v>42353</v>
      </c>
      <c r="X46" s="12">
        <v>40.5</v>
      </c>
      <c r="Y46" s="12">
        <v>41.05</v>
      </c>
      <c r="Z46" s="12">
        <v>39.92</v>
      </c>
      <c r="AA46" s="12">
        <v>40.479999999999997</v>
      </c>
      <c r="AB46" s="115">
        <v>2434300</v>
      </c>
      <c r="AC46" s="12">
        <v>40.479999999999997</v>
      </c>
      <c r="AD46" s="2">
        <f t="shared" si="1"/>
        <v>1.1299999999999955</v>
      </c>
      <c r="AE46" s="165">
        <f t="shared" si="2"/>
        <v>8.219178082191636E-3</v>
      </c>
    </row>
    <row r="47" spans="15:31" ht="15.75" thickTop="1" x14ac:dyDescent="0.25">
      <c r="O47" s="103">
        <v>1.1000000000000001</v>
      </c>
      <c r="P47" s="103">
        <f>O47*$Q$4</f>
        <v>58.003</v>
      </c>
      <c r="Q47" s="47"/>
      <c r="R47" s="47"/>
      <c r="T47" s="155" t="s">
        <v>106</v>
      </c>
      <c r="U47" s="118">
        <v>53.24</v>
      </c>
      <c r="W47" s="160">
        <v>42352</v>
      </c>
      <c r="X47" s="12">
        <v>40.409999999999997</v>
      </c>
      <c r="Y47" s="12">
        <v>40.869999999999997</v>
      </c>
      <c r="Z47" s="12">
        <v>39.5</v>
      </c>
      <c r="AA47" s="12">
        <v>40.15</v>
      </c>
      <c r="AB47" s="115">
        <v>2678400</v>
      </c>
      <c r="AC47" s="12">
        <v>40.15</v>
      </c>
      <c r="AD47" s="2">
        <f t="shared" si="1"/>
        <v>1.3699999999999974</v>
      </c>
      <c r="AE47" s="165">
        <f t="shared" si="2"/>
        <v>-5.9420648675415633E-3</v>
      </c>
    </row>
    <row r="48" spans="15:31" x14ac:dyDescent="0.25">
      <c r="O48" s="103">
        <v>1.0900000000000001</v>
      </c>
      <c r="P48" s="103">
        <f t="shared" ref="P48:P67" si="8">O48*$Q$4</f>
        <v>57.475700000000003</v>
      </c>
      <c r="Q48" s="47"/>
      <c r="R48" s="47"/>
      <c r="T48" s="113" t="s">
        <v>107</v>
      </c>
      <c r="U48" s="108">
        <v>52.78</v>
      </c>
      <c r="W48" s="160">
        <v>42349</v>
      </c>
      <c r="X48" s="12">
        <v>41.67</v>
      </c>
      <c r="Y48" s="12">
        <v>41.81</v>
      </c>
      <c r="Z48" s="12">
        <v>40.19</v>
      </c>
      <c r="AA48" s="12">
        <v>40.39</v>
      </c>
      <c r="AB48" s="115">
        <v>3091800</v>
      </c>
      <c r="AC48" s="12">
        <v>40.39</v>
      </c>
      <c r="AD48" s="2">
        <f t="shared" si="1"/>
        <v>1.6200000000000045</v>
      </c>
      <c r="AE48" s="165">
        <f t="shared" si="2"/>
        <v>-4.3344386546660285E-2</v>
      </c>
    </row>
    <row r="49" spans="15:31" x14ac:dyDescent="0.25">
      <c r="O49" s="103">
        <v>1.08</v>
      </c>
      <c r="P49" s="103">
        <f t="shared" si="8"/>
        <v>56.948399999999999</v>
      </c>
      <c r="Q49" s="47"/>
      <c r="R49" s="47"/>
      <c r="T49" s="113" t="s">
        <v>108</v>
      </c>
      <c r="U49" s="108" t="s">
        <v>378</v>
      </c>
      <c r="W49" s="160">
        <v>42348</v>
      </c>
      <c r="X49" s="12">
        <v>41.9</v>
      </c>
      <c r="Y49" s="12">
        <v>42.66</v>
      </c>
      <c r="Z49" s="12">
        <v>41.61</v>
      </c>
      <c r="AA49" s="12">
        <v>42.22</v>
      </c>
      <c r="AB49" s="115">
        <v>2089400</v>
      </c>
      <c r="AC49" s="12">
        <v>42.22</v>
      </c>
      <c r="AD49" s="2">
        <f t="shared" si="1"/>
        <v>1.0499999999999972</v>
      </c>
      <c r="AE49" s="165">
        <f t="shared" si="2"/>
        <v>6.6762041010968165E-3</v>
      </c>
    </row>
    <row r="50" spans="15:31" x14ac:dyDescent="0.25">
      <c r="O50" s="103">
        <v>1.07</v>
      </c>
      <c r="P50" s="103">
        <f t="shared" si="8"/>
        <v>56.421100000000003</v>
      </c>
      <c r="Q50" s="103"/>
      <c r="R50" s="47"/>
      <c r="T50" s="113" t="s">
        <v>109</v>
      </c>
      <c r="U50" s="108" t="s">
        <v>379</v>
      </c>
      <c r="W50" s="160">
        <v>42347</v>
      </c>
      <c r="X50" s="12">
        <v>41.74</v>
      </c>
      <c r="Y50" s="12">
        <v>43.17</v>
      </c>
      <c r="Z50" s="12">
        <v>41.53</v>
      </c>
      <c r="AA50" s="12">
        <v>41.94</v>
      </c>
      <c r="AB50" s="115">
        <v>2744000</v>
      </c>
      <c r="AC50" s="12">
        <v>41.94</v>
      </c>
      <c r="AD50" s="2">
        <f t="shared" si="1"/>
        <v>1.6400000000000006</v>
      </c>
      <c r="AE50" s="165">
        <f t="shared" si="2"/>
        <v>-1.4285714285714457E-3</v>
      </c>
    </row>
    <row r="51" spans="15:31" x14ac:dyDescent="0.25">
      <c r="O51" s="103">
        <v>1.06</v>
      </c>
      <c r="P51" s="103">
        <f t="shared" si="8"/>
        <v>55.893799999999999</v>
      </c>
      <c r="Q51" s="103"/>
      <c r="R51" s="47"/>
      <c r="T51" s="113" t="s">
        <v>110</v>
      </c>
      <c r="U51" s="108">
        <v>56.04</v>
      </c>
      <c r="W51" s="160">
        <v>42346</v>
      </c>
      <c r="X51" s="12">
        <v>42.44</v>
      </c>
      <c r="Y51" s="12">
        <v>42.73</v>
      </c>
      <c r="Z51" s="12">
        <v>41.72</v>
      </c>
      <c r="AA51" s="12">
        <v>42</v>
      </c>
      <c r="AB51" s="115">
        <v>3147600</v>
      </c>
      <c r="AC51" s="12">
        <v>42</v>
      </c>
      <c r="AD51" s="2">
        <f t="shared" si="1"/>
        <v>1.009999999999998</v>
      </c>
      <c r="AE51" s="165">
        <f t="shared" si="2"/>
        <v>-2.0293911826452016E-2</v>
      </c>
    </row>
    <row r="52" spans="15:31" x14ac:dyDescent="0.25">
      <c r="O52" s="103">
        <v>1.05</v>
      </c>
      <c r="P52" s="103">
        <f t="shared" si="8"/>
        <v>55.366500000000002</v>
      </c>
      <c r="Q52" s="103"/>
      <c r="R52" s="47"/>
      <c r="T52" s="113" t="s">
        <v>111</v>
      </c>
      <c r="U52" s="108">
        <v>0.35819299999999998</v>
      </c>
      <c r="W52" s="160">
        <v>42345</v>
      </c>
      <c r="X52" s="12">
        <v>42.12</v>
      </c>
      <c r="Y52" s="12">
        <v>42.94</v>
      </c>
      <c r="Z52" s="12">
        <v>41.15</v>
      </c>
      <c r="AA52" s="12">
        <v>42.87</v>
      </c>
      <c r="AB52" s="115">
        <v>2584500</v>
      </c>
      <c r="AC52" s="12">
        <v>42.87</v>
      </c>
      <c r="AD52" s="2">
        <f t="shared" si="1"/>
        <v>1.7899999999999991</v>
      </c>
      <c r="AE52" s="165">
        <f t="shared" si="2"/>
        <v>1.2517713745866743E-2</v>
      </c>
    </row>
    <row r="53" spans="15:31" x14ac:dyDescent="0.25">
      <c r="O53" s="103">
        <v>1.04</v>
      </c>
      <c r="P53" s="103">
        <f t="shared" si="8"/>
        <v>54.839199999999998</v>
      </c>
      <c r="Q53" s="103"/>
      <c r="R53" s="47"/>
      <c r="T53" s="113" t="s">
        <v>112</v>
      </c>
      <c r="U53" s="108" t="s">
        <v>145</v>
      </c>
      <c r="W53" s="160">
        <v>42342</v>
      </c>
      <c r="X53" s="12">
        <v>42.67</v>
      </c>
      <c r="Y53" s="12">
        <v>42.77</v>
      </c>
      <c r="Z53" s="12">
        <v>41.86</v>
      </c>
      <c r="AA53" s="12">
        <v>42.34</v>
      </c>
      <c r="AB53" s="115">
        <v>2541200</v>
      </c>
      <c r="AC53" s="12">
        <v>42.34</v>
      </c>
      <c r="AD53" s="2">
        <f t="shared" si="1"/>
        <v>0.91000000000000369</v>
      </c>
      <c r="AE53" s="165">
        <f t="shared" si="2"/>
        <v>-8.4309133489460786E-3</v>
      </c>
    </row>
    <row r="54" spans="15:31" x14ac:dyDescent="0.25">
      <c r="O54" s="103">
        <v>1.03</v>
      </c>
      <c r="P54" s="103">
        <f t="shared" si="8"/>
        <v>54.311900000000001</v>
      </c>
      <c r="Q54" s="103"/>
      <c r="R54" s="47"/>
      <c r="T54" s="113"/>
      <c r="U54" s="108"/>
      <c r="W54" s="160">
        <v>42341</v>
      </c>
      <c r="X54" s="12">
        <v>43.06</v>
      </c>
      <c r="Y54" s="12">
        <v>43.52</v>
      </c>
      <c r="Z54" s="12">
        <v>42.07</v>
      </c>
      <c r="AA54" s="12">
        <v>42.7</v>
      </c>
      <c r="AB54" s="115">
        <v>4170800</v>
      </c>
      <c r="AC54" s="12">
        <v>42.7</v>
      </c>
      <c r="AD54" s="2">
        <f t="shared" si="1"/>
        <v>1.4500000000000028</v>
      </c>
      <c r="AE54" s="165">
        <f t="shared" si="2"/>
        <v>-7.6690680920288301E-3</v>
      </c>
    </row>
    <row r="55" spans="15:31" x14ac:dyDescent="0.25">
      <c r="O55" s="103">
        <v>1.02</v>
      </c>
      <c r="P55" s="103">
        <f t="shared" si="8"/>
        <v>53.784599999999998</v>
      </c>
      <c r="Q55" s="103"/>
      <c r="R55" s="47"/>
      <c r="T55" s="113" t="s">
        <v>113</v>
      </c>
      <c r="U55" s="108" t="s">
        <v>380</v>
      </c>
      <c r="W55" s="160">
        <v>42340</v>
      </c>
      <c r="X55" s="12">
        <v>42.85</v>
      </c>
      <c r="Y55" s="12">
        <v>43.87</v>
      </c>
      <c r="Z55" s="12">
        <v>42.67</v>
      </c>
      <c r="AA55" s="12">
        <v>43.03</v>
      </c>
      <c r="AB55" s="115">
        <v>2866400</v>
      </c>
      <c r="AC55" s="12">
        <v>43.03</v>
      </c>
      <c r="AD55" s="2">
        <f t="shared" si="1"/>
        <v>1.1999999999999957</v>
      </c>
      <c r="AE55" s="165">
        <f t="shared" si="2"/>
        <v>3.2641641408253097E-3</v>
      </c>
    </row>
    <row r="56" spans="15:31" x14ac:dyDescent="0.25">
      <c r="O56" s="103">
        <v>1.01</v>
      </c>
      <c r="P56" s="103">
        <f t="shared" si="8"/>
        <v>53.257300000000001</v>
      </c>
      <c r="Q56" s="103"/>
      <c r="R56" s="47"/>
      <c r="T56" s="113" t="s">
        <v>114</v>
      </c>
      <c r="U56" s="108" t="s">
        <v>381</v>
      </c>
      <c r="W56" s="160">
        <v>42339</v>
      </c>
      <c r="X56" s="12">
        <v>43.1</v>
      </c>
      <c r="Y56" s="12">
        <v>43.48</v>
      </c>
      <c r="Z56" s="12">
        <v>42.58</v>
      </c>
      <c r="AA56" s="12">
        <v>42.89</v>
      </c>
      <c r="AB56" s="115">
        <v>3303200</v>
      </c>
      <c r="AC56" s="12">
        <v>42.89</v>
      </c>
      <c r="AD56" s="2">
        <f t="shared" si="1"/>
        <v>0.89999999999999858</v>
      </c>
      <c r="AE56" s="165">
        <f t="shared" si="2"/>
        <v>-3.0218503021850474E-3</v>
      </c>
    </row>
    <row r="57" spans="15:31" x14ac:dyDescent="0.25">
      <c r="O57" s="103">
        <v>1</v>
      </c>
      <c r="P57" s="103">
        <f t="shared" si="8"/>
        <v>52.73</v>
      </c>
      <c r="Q57" s="103"/>
      <c r="R57" s="47"/>
      <c r="T57" s="113" t="s">
        <v>115</v>
      </c>
      <c r="U57" s="110">
        <v>2634083</v>
      </c>
      <c r="W57" s="160">
        <v>42338</v>
      </c>
      <c r="X57" s="12">
        <v>42.52</v>
      </c>
      <c r="Y57" s="12">
        <v>43.21</v>
      </c>
      <c r="Z57" s="12">
        <v>42.16</v>
      </c>
      <c r="AA57" s="12">
        <v>43.02</v>
      </c>
      <c r="AB57" s="115">
        <v>3635000</v>
      </c>
      <c r="AC57" s="12">
        <v>43.02</v>
      </c>
      <c r="AD57" s="2">
        <f t="shared" si="1"/>
        <v>1.0500000000000043</v>
      </c>
      <c r="AE57" s="165">
        <f t="shared" si="2"/>
        <v>1.175917215428024E-2</v>
      </c>
    </row>
    <row r="58" spans="15:31" x14ac:dyDescent="0.25">
      <c r="O58" s="103">
        <v>0.99</v>
      </c>
      <c r="P58" s="103">
        <f t="shared" si="8"/>
        <v>52.202699999999993</v>
      </c>
      <c r="Q58" s="103"/>
      <c r="R58" s="47"/>
      <c r="T58" s="113" t="s">
        <v>118</v>
      </c>
      <c r="U58" s="110">
        <v>3747480</v>
      </c>
      <c r="W58" s="160">
        <v>42335</v>
      </c>
      <c r="X58" s="12">
        <v>43.06</v>
      </c>
      <c r="Y58" s="12">
        <v>43.78</v>
      </c>
      <c r="Z58" s="12">
        <v>42.49</v>
      </c>
      <c r="AA58" s="12">
        <v>42.52</v>
      </c>
      <c r="AB58" s="115">
        <v>2076700</v>
      </c>
      <c r="AC58" s="12">
        <v>42.52</v>
      </c>
      <c r="AD58" s="2">
        <f t="shared" si="1"/>
        <v>1.2899999999999991</v>
      </c>
      <c r="AE58" s="165">
        <f t="shared" si="2"/>
        <v>-8.8578088578087355E-3</v>
      </c>
    </row>
    <row r="59" spans="15:31" x14ac:dyDescent="0.25">
      <c r="O59" s="103">
        <v>0.98</v>
      </c>
      <c r="P59" s="103">
        <f t="shared" si="8"/>
        <v>51.675399999999996</v>
      </c>
      <c r="Q59" s="103"/>
      <c r="T59" s="113" t="s">
        <v>116</v>
      </c>
      <c r="U59" s="108" t="s">
        <v>382</v>
      </c>
      <c r="W59" s="160">
        <v>42333</v>
      </c>
      <c r="X59" s="12">
        <v>43</v>
      </c>
      <c r="Y59" s="12">
        <v>43.58</v>
      </c>
      <c r="Z59" s="12">
        <v>42.47</v>
      </c>
      <c r="AA59" s="12">
        <v>42.9</v>
      </c>
      <c r="AB59" s="115">
        <v>2974400</v>
      </c>
      <c r="AC59" s="12">
        <v>42.9</v>
      </c>
      <c r="AD59" s="2">
        <f t="shared" si="1"/>
        <v>1.1099999999999994</v>
      </c>
      <c r="AE59" s="165">
        <f t="shared" si="2"/>
        <v>2.3364485981309802E-3</v>
      </c>
    </row>
    <row r="60" spans="15:31" x14ac:dyDescent="0.25">
      <c r="O60" s="103">
        <v>0.97</v>
      </c>
      <c r="P60" s="103">
        <f t="shared" si="8"/>
        <v>51.148099999999992</v>
      </c>
      <c r="Q60" s="103"/>
      <c r="T60" s="113" t="s">
        <v>119</v>
      </c>
      <c r="U60" s="108">
        <v>12.16</v>
      </c>
      <c r="W60" s="160">
        <v>42332</v>
      </c>
      <c r="X60" s="12">
        <v>41.9</v>
      </c>
      <c r="Y60" s="12">
        <v>43.24</v>
      </c>
      <c r="Z60" s="12">
        <v>41.84</v>
      </c>
      <c r="AA60" s="12">
        <v>42.8</v>
      </c>
      <c r="AB60" s="115">
        <v>3191000</v>
      </c>
      <c r="AC60" s="12">
        <v>42.8</v>
      </c>
      <c r="AD60" s="2">
        <f t="shared" si="1"/>
        <v>1.3999999999999986</v>
      </c>
      <c r="AE60" s="165">
        <f t="shared" si="2"/>
        <v>1.3737565135007124E-2</v>
      </c>
    </row>
    <row r="61" spans="15:31" x14ac:dyDescent="0.25">
      <c r="O61" s="103">
        <v>0.96</v>
      </c>
      <c r="P61" s="103">
        <f t="shared" si="8"/>
        <v>50.620799999999996</v>
      </c>
      <c r="Q61" s="103"/>
      <c r="T61" s="113" t="s">
        <v>120</v>
      </c>
      <c r="U61" s="108">
        <v>4.34</v>
      </c>
      <c r="W61" s="160">
        <v>42331</v>
      </c>
      <c r="X61" s="12">
        <v>41.05</v>
      </c>
      <c r="Y61" s="12">
        <v>42.55</v>
      </c>
      <c r="Z61" s="12">
        <v>41.01</v>
      </c>
      <c r="AA61" s="12">
        <v>42.22</v>
      </c>
      <c r="AB61" s="115">
        <v>3115800</v>
      </c>
      <c r="AC61" s="12">
        <v>42.22</v>
      </c>
      <c r="AD61" s="2">
        <f t="shared" si="1"/>
        <v>1.5399999999999991</v>
      </c>
      <c r="AE61" s="165">
        <f t="shared" si="2"/>
        <v>2.6501337223437726E-2</v>
      </c>
    </row>
    <row r="62" spans="15:31" x14ac:dyDescent="0.25">
      <c r="O62" s="103">
        <v>0.95</v>
      </c>
      <c r="P62" s="103">
        <f t="shared" si="8"/>
        <v>50.093499999999992</v>
      </c>
      <c r="Q62" s="103"/>
      <c r="T62" s="113" t="s">
        <v>117</v>
      </c>
      <c r="U62" s="108" t="s">
        <v>132</v>
      </c>
      <c r="W62" s="160">
        <v>42328</v>
      </c>
      <c r="X62" s="12">
        <v>41.19</v>
      </c>
      <c r="Y62" s="12">
        <v>41.99</v>
      </c>
      <c r="Z62" s="12">
        <v>40.93</v>
      </c>
      <c r="AA62" s="12">
        <v>41.13</v>
      </c>
      <c r="AB62" s="115">
        <v>2319700</v>
      </c>
      <c r="AC62" s="12">
        <v>41.13</v>
      </c>
      <c r="AD62" s="2">
        <f t="shared" si="1"/>
        <v>1.0600000000000023</v>
      </c>
      <c r="AE62" s="165">
        <f t="shared" si="2"/>
        <v>6.1154598825832185E-3</v>
      </c>
    </row>
    <row r="63" spans="15:31" x14ac:dyDescent="0.25">
      <c r="O63" s="103">
        <v>0.94</v>
      </c>
      <c r="P63" s="103">
        <f t="shared" si="8"/>
        <v>49.566199999999995</v>
      </c>
      <c r="Q63" s="103"/>
      <c r="W63" s="160">
        <v>42327</v>
      </c>
      <c r="X63" s="12">
        <v>40.950000000000003</v>
      </c>
      <c r="Y63" s="12">
        <v>41.43</v>
      </c>
      <c r="Z63" s="12">
        <v>40.56</v>
      </c>
      <c r="AA63" s="12">
        <v>40.880000000000003</v>
      </c>
      <c r="AB63" s="115">
        <v>1923500</v>
      </c>
      <c r="AC63" s="12">
        <v>40.880000000000003</v>
      </c>
      <c r="AD63" s="2">
        <f t="shared" si="1"/>
        <v>0.86999999999999744</v>
      </c>
      <c r="AE63" s="165">
        <f t="shared" si="2"/>
        <v>7.3439412484699318E-4</v>
      </c>
    </row>
    <row r="64" spans="15:31" x14ac:dyDescent="0.25">
      <c r="O64" s="103">
        <v>0.93</v>
      </c>
      <c r="P64" s="103">
        <f t="shared" si="8"/>
        <v>49.038899999999998</v>
      </c>
      <c r="Q64" s="103"/>
      <c r="W64" s="160">
        <v>42326</v>
      </c>
      <c r="X64" s="12">
        <v>39.380000000000003</v>
      </c>
      <c r="Y64" s="12">
        <v>41.02</v>
      </c>
      <c r="Z64" s="12">
        <v>39.35</v>
      </c>
      <c r="AA64" s="12">
        <v>40.85</v>
      </c>
      <c r="AB64" s="115">
        <v>2606300</v>
      </c>
      <c r="AC64" s="12">
        <v>40.85</v>
      </c>
      <c r="AD64" s="2">
        <f t="shared" si="1"/>
        <v>1.6700000000000017</v>
      </c>
      <c r="AE64" s="165">
        <f t="shared" si="2"/>
        <v>3.8911495422176978E-2</v>
      </c>
    </row>
    <row r="65" spans="15:31" x14ac:dyDescent="0.25">
      <c r="O65" s="103">
        <v>0.92</v>
      </c>
      <c r="P65" s="103">
        <f t="shared" si="8"/>
        <v>48.511600000000001</v>
      </c>
      <c r="Q65" s="103"/>
      <c r="W65" s="160">
        <v>42325</v>
      </c>
      <c r="X65" s="12">
        <v>39.53</v>
      </c>
      <c r="Y65" s="12">
        <v>39.86</v>
      </c>
      <c r="Z65" s="12">
        <v>38.69</v>
      </c>
      <c r="AA65" s="12">
        <v>39.32</v>
      </c>
      <c r="AB65" s="115">
        <v>2639100</v>
      </c>
      <c r="AC65" s="12">
        <v>39.32</v>
      </c>
      <c r="AD65" s="2">
        <f t="shared" si="1"/>
        <v>1.1700000000000017</v>
      </c>
      <c r="AE65" s="165">
        <f t="shared" si="2"/>
        <v>-8.8227880010083304E-3</v>
      </c>
    </row>
    <row r="66" spans="15:31" x14ac:dyDescent="0.25">
      <c r="O66" s="103">
        <v>0.91</v>
      </c>
      <c r="P66" s="103">
        <f t="shared" si="8"/>
        <v>47.984299999999998</v>
      </c>
      <c r="Q66" s="103"/>
      <c r="W66" s="160">
        <v>42324</v>
      </c>
      <c r="X66" s="12">
        <v>38.89</v>
      </c>
      <c r="Y66" s="12">
        <v>39.81</v>
      </c>
      <c r="Z66" s="12">
        <v>38.47</v>
      </c>
      <c r="AA66" s="12">
        <v>39.67</v>
      </c>
      <c r="AB66" s="115">
        <v>2748200</v>
      </c>
      <c r="AC66" s="12">
        <v>39.67</v>
      </c>
      <c r="AD66" s="2">
        <f t="shared" si="1"/>
        <v>1.3400000000000034</v>
      </c>
      <c r="AE66" s="165">
        <f t="shared" si="2"/>
        <v>1.7179487179487252E-2</v>
      </c>
    </row>
    <row r="67" spans="15:31" x14ac:dyDescent="0.25">
      <c r="O67" s="103">
        <v>0.9</v>
      </c>
      <c r="P67" s="103">
        <f t="shared" si="8"/>
        <v>47.457000000000001</v>
      </c>
      <c r="Q67" s="103"/>
      <c r="W67" s="160">
        <v>42321</v>
      </c>
      <c r="X67" s="12">
        <v>40.9</v>
      </c>
      <c r="Y67" s="12">
        <v>40.9</v>
      </c>
      <c r="Z67" s="12">
        <v>38.96</v>
      </c>
      <c r="AA67" s="12">
        <v>39</v>
      </c>
      <c r="AB67" s="115">
        <v>5405500</v>
      </c>
      <c r="AC67" s="12">
        <v>39</v>
      </c>
      <c r="AD67" s="2">
        <f t="shared" ref="AD67:AD68" si="9">Y67-Z67</f>
        <v>1.9399999999999977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93" priority="23">
      <formula>Q7&gt;0</formula>
    </cfRule>
    <cfRule type="expression" dxfId="19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1" priority="15">
      <formula>F29&gt;0</formula>
    </cfRule>
    <cfRule type="expression" dxfId="190" priority="16">
      <formula>F29&lt;0</formula>
    </cfRule>
  </conditionalFormatting>
  <conditionalFormatting sqref="H29:H31">
    <cfRule type="expression" dxfId="189" priority="7">
      <formula>H29&gt;0</formula>
    </cfRule>
    <cfRule type="expression" dxfId="188" priority="8">
      <formula>H29&lt;0</formula>
    </cfRule>
  </conditionalFormatting>
  <conditionalFormatting sqref="F19:F28">
    <cfRule type="expression" dxfId="187" priority="3">
      <formula>F19&gt;0</formula>
    </cfRule>
    <cfRule type="expression" dxfId="186" priority="4">
      <formula>F19&lt;0</formula>
    </cfRule>
  </conditionalFormatting>
  <conditionalFormatting sqref="H19:H28">
    <cfRule type="expression" dxfId="185" priority="1">
      <formula>H19&gt;0</formula>
    </cfRule>
    <cfRule type="expression" dxfId="18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122</v>
      </c>
      <c r="Y1" s="128" t="s">
        <v>123</v>
      </c>
      <c r="Z1" s="128" t="s">
        <v>124</v>
      </c>
      <c r="AA1" s="128" t="s">
        <v>125</v>
      </c>
      <c r="AB1" s="128" t="s">
        <v>126</v>
      </c>
      <c r="AC1" s="128" t="s">
        <v>127</v>
      </c>
      <c r="AD1" s="128" t="s">
        <v>128</v>
      </c>
      <c r="AE1" s="13" t="s">
        <v>142</v>
      </c>
      <c r="AF1" s="13" t="s">
        <v>144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42419</v>
      </c>
      <c r="Y2" s="11">
        <v>63.89</v>
      </c>
      <c r="Z2" s="11">
        <v>64.44</v>
      </c>
      <c r="AA2" s="11">
        <v>63.8</v>
      </c>
      <c r="AB2" s="11">
        <v>64</v>
      </c>
      <c r="AC2" s="124">
        <v>4297600</v>
      </c>
      <c r="AD2" s="11">
        <v>64</v>
      </c>
      <c r="AE2" s="2">
        <f>Z2-AA2</f>
        <v>0.64000000000000057</v>
      </c>
      <c r="AF2" s="165">
        <f>AD2/AD3-1</f>
        <v>-4.6656298600310508E-3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</v>
      </c>
      <c r="T3" s="105"/>
      <c r="X3" s="130">
        <v>42418</v>
      </c>
      <c r="Y3" s="11">
        <v>64.91</v>
      </c>
      <c r="Z3" s="11">
        <v>65</v>
      </c>
      <c r="AA3" s="11">
        <v>64.069999999999993</v>
      </c>
      <c r="AB3" s="11">
        <v>64.3</v>
      </c>
      <c r="AC3" s="124">
        <v>4085300</v>
      </c>
      <c r="AD3" s="11">
        <v>64.3</v>
      </c>
      <c r="AE3" s="2">
        <f t="shared" ref="AE3:AE66" si="2">Z3-AA3</f>
        <v>0.93000000000000682</v>
      </c>
      <c r="AF3" s="165">
        <f t="shared" ref="AF3:AF66" si="3">AD3/AD4-1</f>
        <v>-1.107351584127958E-2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64</v>
      </c>
      <c r="X4" s="130">
        <v>42417</v>
      </c>
      <c r="Y4" s="11">
        <v>64.69</v>
      </c>
      <c r="Z4" s="11">
        <v>65.290000000000006</v>
      </c>
      <c r="AA4" s="11">
        <v>64.69</v>
      </c>
      <c r="AB4" s="11">
        <v>65.02</v>
      </c>
      <c r="AC4" s="124">
        <v>3337900</v>
      </c>
      <c r="AD4" s="11">
        <v>65.02</v>
      </c>
      <c r="AE4" s="2">
        <f t="shared" si="2"/>
        <v>0.60000000000000853</v>
      </c>
      <c r="AF4" s="165">
        <f t="shared" si="3"/>
        <v>6.9691807340870326E-3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42416</v>
      </c>
      <c r="Y5" s="11">
        <v>64.47</v>
      </c>
      <c r="Z5" s="11">
        <v>64.72</v>
      </c>
      <c r="AA5" s="11">
        <v>63.85</v>
      </c>
      <c r="AB5" s="11">
        <v>64.569999999999993</v>
      </c>
      <c r="AC5" s="124">
        <v>3485400</v>
      </c>
      <c r="AD5" s="11">
        <v>64.569999999999993</v>
      </c>
      <c r="AE5" s="2">
        <f t="shared" si="2"/>
        <v>0.86999999999999744</v>
      </c>
      <c r="AF5" s="165">
        <f t="shared" si="3"/>
        <v>1.0327022375214989E-2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42412</v>
      </c>
      <c r="Y6" s="11">
        <v>63.02</v>
      </c>
      <c r="Z6" s="11">
        <v>64.31</v>
      </c>
      <c r="AA6" s="11">
        <v>62.86</v>
      </c>
      <c r="AB6" s="11">
        <v>63.91</v>
      </c>
      <c r="AC6" s="124">
        <v>3566100</v>
      </c>
      <c r="AD6" s="11">
        <v>63.91</v>
      </c>
      <c r="AE6" s="2">
        <f t="shared" si="2"/>
        <v>1.4500000000000028</v>
      </c>
      <c r="AF6" s="165">
        <f t="shared" si="3"/>
        <v>2.551347881899857E-2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42411</v>
      </c>
      <c r="Y7" s="11">
        <v>61.95</v>
      </c>
      <c r="Z7" s="11">
        <v>62.66</v>
      </c>
      <c r="AA7" s="11">
        <v>61.7</v>
      </c>
      <c r="AB7" s="11">
        <v>62.32</v>
      </c>
      <c r="AC7" s="124">
        <v>2997300</v>
      </c>
      <c r="AD7" s="11">
        <v>62.32</v>
      </c>
      <c r="AE7" s="2">
        <f t="shared" si="2"/>
        <v>0.95999999999999375</v>
      </c>
      <c r="AF7" s="165">
        <f t="shared" si="3"/>
        <v>-1.0479517307081521E-2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42410</v>
      </c>
      <c r="Y8" s="11">
        <v>63.27</v>
      </c>
      <c r="Z8" s="11">
        <v>63.94</v>
      </c>
      <c r="AA8" s="11">
        <v>62.89</v>
      </c>
      <c r="AB8" s="11">
        <v>62.98</v>
      </c>
      <c r="AC8" s="124">
        <v>2987500</v>
      </c>
      <c r="AD8" s="11">
        <v>62.98</v>
      </c>
      <c r="AE8" s="2">
        <f t="shared" si="2"/>
        <v>1.0499999999999972</v>
      </c>
      <c r="AF8" s="165">
        <f t="shared" si="3"/>
        <v>-4.7611490239651832E-4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298</v>
      </c>
      <c r="Q9" s="165">
        <f>VALUE(TRIM(CLEAN(MID(U55, FIND("(", U55)+1, 5))))</f>
        <v>2.06E-2</v>
      </c>
      <c r="X9" s="130">
        <v>42409</v>
      </c>
      <c r="Y9" s="11">
        <v>62.81</v>
      </c>
      <c r="Z9" s="11">
        <v>63.26</v>
      </c>
      <c r="AA9" s="11">
        <v>62.45</v>
      </c>
      <c r="AB9" s="11">
        <v>63.01</v>
      </c>
      <c r="AC9" s="124">
        <v>3536200</v>
      </c>
      <c r="AD9" s="11">
        <v>63.01</v>
      </c>
      <c r="AE9" s="2">
        <f t="shared" si="2"/>
        <v>0.80999999999999517</v>
      </c>
      <c r="AF9" s="165">
        <f t="shared" si="3"/>
        <v>-5.0528975209221949E-3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42408</v>
      </c>
      <c r="Y10" s="11">
        <v>62.87</v>
      </c>
      <c r="Z10" s="11">
        <v>63.54</v>
      </c>
      <c r="AA10" s="11">
        <v>62.36</v>
      </c>
      <c r="AB10" s="11">
        <v>63.33</v>
      </c>
      <c r="AC10" s="124">
        <v>3004600</v>
      </c>
      <c r="AD10" s="11">
        <v>63.33</v>
      </c>
      <c r="AE10" s="2">
        <f t="shared" si="2"/>
        <v>1.1799999999999997</v>
      </c>
      <c r="AF10" s="165">
        <f t="shared" si="3"/>
        <v>-6.3121350796901954E-4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42405</v>
      </c>
      <c r="Y11" s="11">
        <v>62.09</v>
      </c>
      <c r="Z11" s="11">
        <v>63.52</v>
      </c>
      <c r="AA11" s="11">
        <v>62.09</v>
      </c>
      <c r="AB11" s="11">
        <v>63.37</v>
      </c>
      <c r="AC11" s="124">
        <v>4608800</v>
      </c>
      <c r="AD11" s="11">
        <v>63.37</v>
      </c>
      <c r="AE11" s="2">
        <f t="shared" si="2"/>
        <v>1.4299999999999997</v>
      </c>
      <c r="AF11" s="165">
        <f t="shared" si="3"/>
        <v>2.1273166800966914E-2</v>
      </c>
    </row>
    <row r="12" spans="1:32" x14ac:dyDescent="0.25">
      <c r="X12" s="130">
        <v>42404</v>
      </c>
      <c r="Y12" s="11">
        <v>60.48</v>
      </c>
      <c r="Z12" s="11">
        <v>62.2</v>
      </c>
      <c r="AA12" s="11">
        <v>60.48</v>
      </c>
      <c r="AB12" s="11">
        <v>62.05</v>
      </c>
      <c r="AC12" s="124">
        <v>5486400</v>
      </c>
      <c r="AD12" s="11">
        <v>62.05</v>
      </c>
      <c r="AE12" s="2">
        <f t="shared" si="2"/>
        <v>1.720000000000006</v>
      </c>
      <c r="AF12" s="165">
        <f t="shared" si="3"/>
        <v>4.0409121395036829E-2</v>
      </c>
    </row>
    <row r="13" spans="1:32" x14ac:dyDescent="0.25">
      <c r="X13" s="130">
        <v>42403</v>
      </c>
      <c r="Y13" s="11">
        <v>60.29</v>
      </c>
      <c r="Z13" s="11">
        <v>60.29</v>
      </c>
      <c r="AA13" s="11">
        <v>58.29</v>
      </c>
      <c r="AB13" s="11">
        <v>59.64</v>
      </c>
      <c r="AC13" s="124">
        <v>4762600</v>
      </c>
      <c r="AD13" s="11">
        <v>59.64</v>
      </c>
      <c r="AE13" s="2">
        <f t="shared" si="2"/>
        <v>2</v>
      </c>
      <c r="AF13" s="165">
        <f t="shared" si="3"/>
        <v>-5.5027513756877866E-3</v>
      </c>
    </row>
    <row r="14" spans="1:32" x14ac:dyDescent="0.25">
      <c r="X14" s="130">
        <v>42402</v>
      </c>
      <c r="Y14" s="11">
        <v>60.01</v>
      </c>
      <c r="Z14" s="11">
        <v>60.5</v>
      </c>
      <c r="AA14" s="11">
        <v>59.76</v>
      </c>
      <c r="AB14" s="11">
        <v>59.97</v>
      </c>
      <c r="AC14" s="124">
        <v>2528400</v>
      </c>
      <c r="AD14" s="11">
        <v>59.97</v>
      </c>
      <c r="AE14" s="2">
        <f t="shared" si="2"/>
        <v>0.74000000000000199</v>
      </c>
      <c r="AF14" s="165">
        <f t="shared" si="3"/>
        <v>-9.2516107715182594E-3</v>
      </c>
    </row>
    <row r="15" spans="1:32" x14ac:dyDescent="0.25">
      <c r="X15" s="130">
        <v>42401</v>
      </c>
      <c r="Y15" s="11">
        <v>60.14</v>
      </c>
      <c r="Z15" s="11">
        <v>60.83</v>
      </c>
      <c r="AA15" s="11">
        <v>59.82</v>
      </c>
      <c r="AB15" s="11">
        <v>60.53</v>
      </c>
      <c r="AC15" s="124">
        <v>2658900</v>
      </c>
      <c r="AD15" s="11">
        <v>60.53</v>
      </c>
      <c r="AE15" s="2">
        <f t="shared" si="2"/>
        <v>1.009999999999998</v>
      </c>
      <c r="AF15" s="165">
        <f t="shared" si="3"/>
        <v>-1.1551155115511191E-3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42398</v>
      </c>
      <c r="Y16" s="11">
        <v>59.68</v>
      </c>
      <c r="Z16" s="11">
        <v>60.61</v>
      </c>
      <c r="AA16" s="11">
        <v>59.43</v>
      </c>
      <c r="AB16" s="11">
        <v>60.6</v>
      </c>
      <c r="AC16" s="124">
        <v>3735900</v>
      </c>
      <c r="AD16" s="11">
        <v>60.6</v>
      </c>
      <c r="AE16" s="2">
        <f t="shared" si="2"/>
        <v>1.1799999999999997</v>
      </c>
      <c r="AF16" s="165">
        <f t="shared" si="3"/>
        <v>2.3302938196555267E-2</v>
      </c>
    </row>
    <row r="17" spans="1:32" x14ac:dyDescent="0.25">
      <c r="X17" s="130">
        <v>42397</v>
      </c>
      <c r="Y17" s="11">
        <v>58.83</v>
      </c>
      <c r="Z17" s="11">
        <v>59.5</v>
      </c>
      <c r="AA17" s="11">
        <v>58.42</v>
      </c>
      <c r="AB17" s="11">
        <v>59.22</v>
      </c>
      <c r="AC17" s="124">
        <v>3189800</v>
      </c>
      <c r="AD17" s="11">
        <v>59.22</v>
      </c>
      <c r="AE17" s="2">
        <f t="shared" si="2"/>
        <v>1.0799999999999983</v>
      </c>
      <c r="AF17" s="165">
        <f t="shared" si="3"/>
        <v>1.3867488443759735E-2</v>
      </c>
    </row>
    <row r="18" spans="1:32" x14ac:dyDescent="0.25">
      <c r="B18" s="246" t="s">
        <v>122</v>
      </c>
      <c r="C18" s="246" t="s">
        <v>189</v>
      </c>
      <c r="D18" s="247" t="s">
        <v>188</v>
      </c>
      <c r="E18" s="249" t="s">
        <v>190</v>
      </c>
      <c r="F18" s="250" t="s">
        <v>65</v>
      </c>
      <c r="G18" s="294" t="s">
        <v>195</v>
      </c>
      <c r="H18" s="294" t="s">
        <v>92</v>
      </c>
      <c r="X18" s="130">
        <v>42396</v>
      </c>
      <c r="Y18" s="11">
        <v>58.18</v>
      </c>
      <c r="Z18" s="11">
        <v>59.38</v>
      </c>
      <c r="AA18" s="11">
        <v>58.03</v>
      </c>
      <c r="AB18" s="11">
        <v>58.41</v>
      </c>
      <c r="AC18" s="124">
        <v>2889400</v>
      </c>
      <c r="AD18" s="11">
        <v>58.41</v>
      </c>
      <c r="AE18" s="2">
        <f t="shared" si="2"/>
        <v>1.3500000000000014</v>
      </c>
      <c r="AF18" s="165">
        <f t="shared" si="3"/>
        <v>3.953248539016796E-3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42395</v>
      </c>
      <c r="Y19" s="11">
        <v>58.05</v>
      </c>
      <c r="Z19" s="11">
        <v>58.68</v>
      </c>
      <c r="AA19" s="11">
        <v>57.88</v>
      </c>
      <c r="AB19" s="11">
        <v>58.18</v>
      </c>
      <c r="AC19" s="124">
        <v>2184300</v>
      </c>
      <c r="AD19" s="11">
        <v>58.18</v>
      </c>
      <c r="AE19" s="2">
        <f t="shared" si="2"/>
        <v>0.79999999999999716</v>
      </c>
      <c r="AF19" s="165">
        <f t="shared" si="3"/>
        <v>8.3188908145579443E-3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42394</v>
      </c>
      <c r="Y20" s="11">
        <v>58.31</v>
      </c>
      <c r="Z20" s="11">
        <v>58.46</v>
      </c>
      <c r="AA20" s="11">
        <v>57.62</v>
      </c>
      <c r="AB20" s="11">
        <v>57.7</v>
      </c>
      <c r="AC20" s="124">
        <v>3813200</v>
      </c>
      <c r="AD20" s="11">
        <v>57.7</v>
      </c>
      <c r="AE20" s="2">
        <f t="shared" si="2"/>
        <v>0.84000000000000341</v>
      </c>
      <c r="AF20" s="165">
        <f t="shared" si="3"/>
        <v>-1.4180762002391933E-2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42391</v>
      </c>
      <c r="Y21" s="11">
        <v>58.91</v>
      </c>
      <c r="Z21" s="11">
        <v>59</v>
      </c>
      <c r="AA21" s="11">
        <v>58.2</v>
      </c>
      <c r="AB21" s="11">
        <v>58.53</v>
      </c>
      <c r="AC21" s="124">
        <v>2692700</v>
      </c>
      <c r="AD21" s="11">
        <v>58.53</v>
      </c>
      <c r="AE21" s="2">
        <f t="shared" si="2"/>
        <v>0.79999999999999716</v>
      </c>
      <c r="AF21" s="165">
        <f t="shared" si="3"/>
        <v>6.534823731728423E-3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42390</v>
      </c>
      <c r="Y22" s="11">
        <v>58.21</v>
      </c>
      <c r="Z22" s="11">
        <v>58.66</v>
      </c>
      <c r="AA22" s="11">
        <v>57.82</v>
      </c>
      <c r="AB22" s="11">
        <v>58.15</v>
      </c>
      <c r="AC22" s="124">
        <v>3858000</v>
      </c>
      <c r="AD22" s="11">
        <v>58.15</v>
      </c>
      <c r="AE22" s="2">
        <f t="shared" si="2"/>
        <v>0.83999999999999631</v>
      </c>
      <c r="AF22" s="165">
        <f t="shared" si="3"/>
        <v>2.759096395930305E-3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42389</v>
      </c>
      <c r="Y23" s="11">
        <v>57.5</v>
      </c>
      <c r="Z23" s="11">
        <v>58.48</v>
      </c>
      <c r="AA23" s="11">
        <v>57.14</v>
      </c>
      <c r="AB23" s="11">
        <v>57.99</v>
      </c>
      <c r="AC23" s="124">
        <v>4676700</v>
      </c>
      <c r="AD23" s="11">
        <v>57.99</v>
      </c>
      <c r="AE23" s="2">
        <f t="shared" si="2"/>
        <v>1.3399999999999963</v>
      </c>
      <c r="AF23" s="165">
        <f t="shared" si="3"/>
        <v>-7.7002053388089964E-3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42388</v>
      </c>
      <c r="Y24" s="11">
        <v>59.02</v>
      </c>
      <c r="Z24" s="11">
        <v>59.35</v>
      </c>
      <c r="AA24" s="11">
        <v>58.06</v>
      </c>
      <c r="AB24" s="11">
        <v>58.44</v>
      </c>
      <c r="AC24" s="124">
        <v>3080300</v>
      </c>
      <c r="AD24" s="11">
        <v>58.44</v>
      </c>
      <c r="AE24" s="2">
        <f t="shared" si="2"/>
        <v>1.2899999999999991</v>
      </c>
      <c r="AF24" s="165">
        <f t="shared" si="3"/>
        <v>5.3328745914329456E-3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42384</v>
      </c>
      <c r="Y25" s="11">
        <v>56.91</v>
      </c>
      <c r="Z25" s="11">
        <v>58.56</v>
      </c>
      <c r="AA25" s="11">
        <v>56.03</v>
      </c>
      <c r="AB25" s="11">
        <v>58.13</v>
      </c>
      <c r="AC25" s="124">
        <v>5053500</v>
      </c>
      <c r="AD25" s="11">
        <v>58.13</v>
      </c>
      <c r="AE25" s="2">
        <f t="shared" si="2"/>
        <v>2.5300000000000011</v>
      </c>
      <c r="AF25" s="165">
        <f t="shared" si="3"/>
        <v>-4.96405340636763E-3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42383</v>
      </c>
      <c r="Y26" s="11">
        <v>57.97</v>
      </c>
      <c r="Z26" s="11">
        <v>59.18</v>
      </c>
      <c r="AA26" s="11">
        <v>57.97</v>
      </c>
      <c r="AB26" s="11">
        <v>58.42</v>
      </c>
      <c r="AC26" s="124">
        <v>3193200</v>
      </c>
      <c r="AD26" s="11">
        <v>58.42</v>
      </c>
      <c r="AE26" s="2">
        <f t="shared" si="2"/>
        <v>1.2100000000000009</v>
      </c>
      <c r="AF26" s="165">
        <f t="shared" si="3"/>
        <v>8.8067691245037327E-3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42382</v>
      </c>
      <c r="Y27" s="11">
        <v>58.82</v>
      </c>
      <c r="Z27" s="11">
        <v>59.35</v>
      </c>
      <c r="AA27" s="11">
        <v>57.82</v>
      </c>
      <c r="AB27" s="11">
        <v>57.91</v>
      </c>
      <c r="AC27" s="124">
        <v>4213700</v>
      </c>
      <c r="AD27" s="11">
        <v>57.91</v>
      </c>
      <c r="AE27" s="2">
        <f t="shared" si="2"/>
        <v>1.5300000000000011</v>
      </c>
      <c r="AF27" s="165">
        <f t="shared" si="3"/>
        <v>-1.2617220801364071E-2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42381</v>
      </c>
      <c r="Y28" s="11">
        <v>58.43</v>
      </c>
      <c r="Z28" s="11">
        <v>58.74</v>
      </c>
      <c r="AA28" s="11">
        <v>57.81</v>
      </c>
      <c r="AB28" s="11">
        <v>58.65</v>
      </c>
      <c r="AC28" s="124">
        <v>2912000</v>
      </c>
      <c r="AD28" s="11">
        <v>58.65</v>
      </c>
      <c r="AE28" s="2">
        <f t="shared" si="2"/>
        <v>0.92999999999999972</v>
      </c>
      <c r="AF28" s="165">
        <f t="shared" si="3"/>
        <v>1.085832471561532E-2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42380</v>
      </c>
      <c r="Y29" s="11">
        <v>58.39</v>
      </c>
      <c r="Z29" s="11">
        <v>58.63</v>
      </c>
      <c r="AA29" s="11">
        <v>57.59</v>
      </c>
      <c r="AB29" s="11">
        <v>58.02</v>
      </c>
      <c r="AC29" s="124">
        <v>3037300</v>
      </c>
      <c r="AD29" s="11">
        <v>58.02</v>
      </c>
      <c r="AE29" s="2">
        <f t="shared" si="2"/>
        <v>1.0399999999999991</v>
      </c>
      <c r="AF29" s="165">
        <f t="shared" si="3"/>
        <v>-3.6063884595568529E-3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42377</v>
      </c>
      <c r="Y30" s="11">
        <v>58.8</v>
      </c>
      <c r="Z30" s="11">
        <v>58.94</v>
      </c>
      <c r="AA30" s="11">
        <v>58.14</v>
      </c>
      <c r="AB30" s="11">
        <v>58.23</v>
      </c>
      <c r="AC30" s="124">
        <v>2883900</v>
      </c>
      <c r="AD30" s="11">
        <v>58.23</v>
      </c>
      <c r="AE30" s="2">
        <f t="shared" si="2"/>
        <v>0.79999999999999716</v>
      </c>
      <c r="AF30" s="165">
        <f t="shared" si="3"/>
        <v>-3.5934291581108946E-3</v>
      </c>
    </row>
    <row r="31" spans="1:32" x14ac:dyDescent="0.25">
      <c r="X31" s="130">
        <v>42376</v>
      </c>
      <c r="Y31" s="11">
        <v>58.79</v>
      </c>
      <c r="Z31" s="11">
        <v>59.66</v>
      </c>
      <c r="AA31" s="11">
        <v>58.31</v>
      </c>
      <c r="AB31" s="11">
        <v>58.44</v>
      </c>
      <c r="AC31" s="124">
        <v>3980400</v>
      </c>
      <c r="AD31" s="11">
        <v>58.44</v>
      </c>
      <c r="AE31" s="2">
        <f t="shared" si="2"/>
        <v>1.3499999999999943</v>
      </c>
      <c r="AF31" s="165">
        <f t="shared" si="3"/>
        <v>-2.3558897243107779E-2</v>
      </c>
    </row>
    <row r="32" spans="1:32" x14ac:dyDescent="0.25">
      <c r="X32" s="130">
        <v>42375</v>
      </c>
      <c r="Y32" s="11">
        <v>59.79</v>
      </c>
      <c r="Z32" s="11">
        <v>60.2</v>
      </c>
      <c r="AA32" s="11">
        <v>59.6</v>
      </c>
      <c r="AB32" s="11">
        <v>59.85</v>
      </c>
      <c r="AC32" s="124">
        <v>2861300</v>
      </c>
      <c r="AD32" s="11">
        <v>59.85</v>
      </c>
      <c r="AE32" s="2">
        <f t="shared" si="2"/>
        <v>0.60000000000000142</v>
      </c>
      <c r="AF32" s="165">
        <f t="shared" si="3"/>
        <v>-1.1234098793986402E-2</v>
      </c>
    </row>
    <row r="33" spans="15:32" x14ac:dyDescent="0.25">
      <c r="X33" s="130">
        <v>42374</v>
      </c>
      <c r="Y33" s="11">
        <v>60.71</v>
      </c>
      <c r="Z33" s="11">
        <v>60.97</v>
      </c>
      <c r="AA33" s="11">
        <v>60.39</v>
      </c>
      <c r="AB33" s="11">
        <v>60.53</v>
      </c>
      <c r="AC33" s="124">
        <v>2802200</v>
      </c>
      <c r="AD33" s="11">
        <v>60.53</v>
      </c>
      <c r="AE33" s="2">
        <f t="shared" si="2"/>
        <v>0.57999999999999829</v>
      </c>
      <c r="AF33" s="165">
        <f t="shared" si="3"/>
        <v>-2.3075655183780741E-3</v>
      </c>
    </row>
    <row r="34" spans="15:32" x14ac:dyDescent="0.25">
      <c r="X34" s="130">
        <v>42373</v>
      </c>
      <c r="Y34" s="11">
        <v>60.88</v>
      </c>
      <c r="Z34" s="11">
        <v>60.98</v>
      </c>
      <c r="AA34" s="11">
        <v>59.92</v>
      </c>
      <c r="AB34" s="11">
        <v>60.67</v>
      </c>
      <c r="AC34" s="124">
        <v>3327100</v>
      </c>
      <c r="AD34" s="11">
        <v>60.67</v>
      </c>
      <c r="AE34" s="2">
        <f t="shared" si="2"/>
        <v>1.0599999999999952</v>
      </c>
      <c r="AF34" s="165">
        <f t="shared" si="3"/>
        <v>-2.2870027379610303E-2</v>
      </c>
    </row>
    <row r="35" spans="15:32" ht="20.25" thickBot="1" x14ac:dyDescent="0.35">
      <c r="O35" s="389" t="s">
        <v>78</v>
      </c>
      <c r="P35" s="389"/>
      <c r="X35" s="130">
        <v>42369</v>
      </c>
      <c r="Y35" s="11">
        <v>62.62</v>
      </c>
      <c r="Z35" s="11">
        <v>62.77</v>
      </c>
      <c r="AA35" s="11">
        <v>62.07</v>
      </c>
      <c r="AB35" s="11">
        <v>62.09</v>
      </c>
      <c r="AC35" s="124">
        <v>1560000</v>
      </c>
      <c r="AD35" s="11">
        <v>62.09</v>
      </c>
      <c r="AE35" s="2">
        <f t="shared" si="2"/>
        <v>0.70000000000000284</v>
      </c>
      <c r="AF35" s="165">
        <f t="shared" si="3"/>
        <v>-1.146314281165417E-2</v>
      </c>
    </row>
    <row r="36" spans="15:32" ht="15.75" thickTop="1" x14ac:dyDescent="0.25">
      <c r="O36" s="103">
        <v>1.1000000000000001</v>
      </c>
      <c r="P36" s="103">
        <f>O36*$Q$4</f>
        <v>70.400000000000006</v>
      </c>
      <c r="Q36" s="2"/>
      <c r="X36" s="130">
        <v>42368</v>
      </c>
      <c r="Y36" s="11">
        <v>63.15</v>
      </c>
      <c r="Z36" s="11">
        <v>63.34</v>
      </c>
      <c r="AA36" s="11">
        <v>62.77</v>
      </c>
      <c r="AB36" s="11">
        <v>62.81</v>
      </c>
      <c r="AC36" s="124">
        <v>1521800</v>
      </c>
      <c r="AD36" s="11">
        <v>62.81</v>
      </c>
      <c r="AE36" s="2">
        <f t="shared" si="2"/>
        <v>0.57000000000000028</v>
      </c>
      <c r="AF36" s="165">
        <f t="shared" si="3"/>
        <v>-6.013609748377835E-3</v>
      </c>
    </row>
    <row r="37" spans="15:32" ht="15" customHeight="1" x14ac:dyDescent="0.25">
      <c r="O37" s="103">
        <v>1.0900000000000001</v>
      </c>
      <c r="P37" s="103">
        <f t="shared" ref="P37:P56" si="6">O37*$Q$4</f>
        <v>69.760000000000005</v>
      </c>
      <c r="Q37" s="2"/>
      <c r="X37" s="130">
        <v>42367</v>
      </c>
      <c r="Y37" s="11">
        <v>63.09</v>
      </c>
      <c r="Z37" s="11">
        <v>63.49</v>
      </c>
      <c r="AA37" s="11">
        <v>62.86</v>
      </c>
      <c r="AB37" s="11">
        <v>63.19</v>
      </c>
      <c r="AC37" s="124">
        <v>1495600</v>
      </c>
      <c r="AD37" s="11">
        <v>63.19</v>
      </c>
      <c r="AE37" s="2">
        <f t="shared" si="2"/>
        <v>0.63000000000000256</v>
      </c>
      <c r="AF37" s="165">
        <f t="shared" si="3"/>
        <v>8.7803320561941067E-3</v>
      </c>
    </row>
    <row r="38" spans="15:32" x14ac:dyDescent="0.25">
      <c r="O38" s="103">
        <v>1.08</v>
      </c>
      <c r="P38" s="103">
        <f t="shared" si="6"/>
        <v>69.12</v>
      </c>
      <c r="Q38" s="2"/>
      <c r="X38" s="130">
        <v>42366</v>
      </c>
      <c r="Y38" s="11">
        <v>63.01</v>
      </c>
      <c r="Z38" s="11">
        <v>63.06</v>
      </c>
      <c r="AA38" s="11">
        <v>62.33</v>
      </c>
      <c r="AB38" s="11">
        <v>62.64</v>
      </c>
      <c r="AC38" s="124">
        <v>1832400</v>
      </c>
      <c r="AD38" s="11">
        <v>62.64</v>
      </c>
      <c r="AE38" s="2">
        <f t="shared" si="2"/>
        <v>0.73000000000000398</v>
      </c>
      <c r="AF38" s="165">
        <f t="shared" si="3"/>
        <v>-7.9189103579347941E-3</v>
      </c>
    </row>
    <row r="39" spans="15:32" ht="20.25" thickBot="1" x14ac:dyDescent="0.35">
      <c r="O39" s="103">
        <v>1.07</v>
      </c>
      <c r="P39" s="103">
        <f t="shared" si="6"/>
        <v>68.48</v>
      </c>
      <c r="Q39" s="2"/>
      <c r="T39" s="132" t="s">
        <v>96</v>
      </c>
      <c r="U39" s="2"/>
      <c r="X39" s="130">
        <v>42362</v>
      </c>
      <c r="Y39" s="11">
        <v>62.83</v>
      </c>
      <c r="Z39" s="11">
        <v>63.45</v>
      </c>
      <c r="AA39" s="11">
        <v>62.68</v>
      </c>
      <c r="AB39" s="11">
        <v>63.14</v>
      </c>
      <c r="AC39" s="124">
        <v>1298700</v>
      </c>
      <c r="AD39" s="11">
        <v>63.14</v>
      </c>
      <c r="AE39" s="2">
        <f t="shared" si="2"/>
        <v>0.77000000000000313</v>
      </c>
      <c r="AF39" s="165">
        <f t="shared" si="3"/>
        <v>3.9751947845443336E-3</v>
      </c>
    </row>
    <row r="40" spans="15:32" ht="15.75" thickTop="1" x14ac:dyDescent="0.25">
      <c r="O40" s="103">
        <v>1.06</v>
      </c>
      <c r="P40" s="103">
        <f t="shared" si="6"/>
        <v>67.84</v>
      </c>
      <c r="Q40" s="2"/>
      <c r="T40" s="133" t="s">
        <v>106</v>
      </c>
      <c r="U40" s="126">
        <v>64.3</v>
      </c>
      <c r="X40" s="130">
        <v>42361</v>
      </c>
      <c r="Y40" s="11">
        <v>62.68</v>
      </c>
      <c r="Z40" s="11">
        <v>63.02</v>
      </c>
      <c r="AA40" s="11">
        <v>62.68</v>
      </c>
      <c r="AB40" s="11">
        <v>62.89</v>
      </c>
      <c r="AC40" s="124">
        <v>1906400</v>
      </c>
      <c r="AD40" s="11">
        <v>62.89</v>
      </c>
      <c r="AE40" s="2">
        <f t="shared" si="2"/>
        <v>0.34000000000000341</v>
      </c>
      <c r="AF40" s="165">
        <f t="shared" si="3"/>
        <v>6.2400000000000233E-3</v>
      </c>
    </row>
    <row r="41" spans="15:32" x14ac:dyDescent="0.25">
      <c r="O41" s="103">
        <v>1.05</v>
      </c>
      <c r="P41" s="103">
        <f t="shared" si="6"/>
        <v>67.2</v>
      </c>
      <c r="Q41" s="2"/>
      <c r="T41" s="133" t="s">
        <v>107</v>
      </c>
      <c r="U41" s="126">
        <v>63.89</v>
      </c>
      <c r="X41" s="130">
        <v>42360</v>
      </c>
      <c r="Y41" s="11">
        <v>61.71</v>
      </c>
      <c r="Z41" s="11">
        <v>62.67</v>
      </c>
      <c r="AA41" s="11">
        <v>61.25</v>
      </c>
      <c r="AB41" s="11">
        <v>62.5</v>
      </c>
      <c r="AC41" s="124">
        <v>2200400</v>
      </c>
      <c r="AD41" s="11">
        <v>62.5</v>
      </c>
      <c r="AE41" s="2">
        <f t="shared" si="2"/>
        <v>1.4200000000000017</v>
      </c>
      <c r="AF41" s="165">
        <f t="shared" si="3"/>
        <v>1.9575856443719397E-2</v>
      </c>
    </row>
    <row r="42" spans="15:32" x14ac:dyDescent="0.25">
      <c r="O42" s="103">
        <v>1.04</v>
      </c>
      <c r="P42" s="103">
        <f t="shared" si="6"/>
        <v>66.56</v>
      </c>
      <c r="Q42" s="2"/>
      <c r="T42" s="133" t="s">
        <v>108</v>
      </c>
      <c r="U42" s="126" t="s">
        <v>383</v>
      </c>
      <c r="X42" s="130">
        <v>42359</v>
      </c>
      <c r="Y42" s="11">
        <v>61.56</v>
      </c>
      <c r="Z42" s="11">
        <v>61.9</v>
      </c>
      <c r="AA42" s="11">
        <v>60.94</v>
      </c>
      <c r="AB42" s="11">
        <v>61.3</v>
      </c>
      <c r="AC42" s="124">
        <v>2916400</v>
      </c>
      <c r="AD42" s="11">
        <v>61.3</v>
      </c>
      <c r="AE42" s="2">
        <f t="shared" si="2"/>
        <v>0.96000000000000085</v>
      </c>
      <c r="AF42" s="165">
        <f t="shared" si="3"/>
        <v>-4.891570194032191E-4</v>
      </c>
    </row>
    <row r="43" spans="15:32" x14ac:dyDescent="0.25">
      <c r="O43" s="103">
        <v>1.03</v>
      </c>
      <c r="P43" s="103">
        <f t="shared" si="6"/>
        <v>65.92</v>
      </c>
      <c r="Q43" s="2"/>
      <c r="T43" s="133" t="s">
        <v>109</v>
      </c>
      <c r="U43" s="126" t="s">
        <v>384</v>
      </c>
      <c r="X43" s="130">
        <v>42356</v>
      </c>
      <c r="Y43" s="11">
        <v>62.11</v>
      </c>
      <c r="Z43" s="11">
        <v>62.11</v>
      </c>
      <c r="AA43" s="11">
        <v>60.76</v>
      </c>
      <c r="AB43" s="11">
        <v>61.33</v>
      </c>
      <c r="AC43" s="124">
        <v>6000700</v>
      </c>
      <c r="AD43" s="11">
        <v>61.33</v>
      </c>
      <c r="AE43" s="2">
        <f t="shared" si="2"/>
        <v>1.3500000000000014</v>
      </c>
      <c r="AF43" s="165">
        <f t="shared" si="3"/>
        <v>-1.6674683341350027E-2</v>
      </c>
    </row>
    <row r="44" spans="15:32" x14ac:dyDescent="0.25">
      <c r="O44" s="103">
        <v>1.02</v>
      </c>
      <c r="P44" s="103">
        <f t="shared" si="6"/>
        <v>65.28</v>
      </c>
      <c r="Q44" s="2"/>
      <c r="T44" s="133" t="s">
        <v>110</v>
      </c>
      <c r="U44" s="126">
        <v>70.760000000000005</v>
      </c>
      <c r="X44" s="130">
        <v>42355</v>
      </c>
      <c r="Y44" s="11">
        <v>63.41</v>
      </c>
      <c r="Z44" s="11">
        <v>63.41</v>
      </c>
      <c r="AA44" s="11">
        <v>62.37</v>
      </c>
      <c r="AB44" s="11">
        <v>62.37</v>
      </c>
      <c r="AC44" s="124">
        <v>2161600</v>
      </c>
      <c r="AD44" s="11">
        <v>62.37</v>
      </c>
      <c r="AE44" s="2">
        <f t="shared" si="2"/>
        <v>1.0399999999999991</v>
      </c>
      <c r="AF44" s="165">
        <f t="shared" si="3"/>
        <v>-1.5935626380561785E-2</v>
      </c>
    </row>
    <row r="45" spans="15:32" x14ac:dyDescent="0.25">
      <c r="O45" s="103">
        <v>1.01</v>
      </c>
      <c r="P45" s="103">
        <f t="shared" si="6"/>
        <v>64.64</v>
      </c>
      <c r="Q45" s="2"/>
      <c r="T45" s="133" t="s">
        <v>111</v>
      </c>
      <c r="U45" s="126">
        <v>1.1046100000000001</v>
      </c>
      <c r="X45" s="130">
        <v>42354</v>
      </c>
      <c r="Y45" s="11">
        <v>63.28</v>
      </c>
      <c r="Z45" s="11">
        <v>63.5</v>
      </c>
      <c r="AA45" s="11">
        <v>62.53</v>
      </c>
      <c r="AB45" s="11">
        <v>63.38</v>
      </c>
      <c r="AC45" s="124">
        <v>2171900</v>
      </c>
      <c r="AD45" s="11">
        <v>63.38</v>
      </c>
      <c r="AE45" s="2">
        <f t="shared" si="2"/>
        <v>0.96999999999999886</v>
      </c>
      <c r="AF45" s="165">
        <f t="shared" si="3"/>
        <v>1.0845295055821325E-2</v>
      </c>
    </row>
    <row r="46" spans="15:32" x14ac:dyDescent="0.25">
      <c r="O46" s="103">
        <v>1</v>
      </c>
      <c r="P46" s="103">
        <f t="shared" si="6"/>
        <v>64</v>
      </c>
      <c r="Q46" s="2"/>
      <c r="T46" s="133" t="s">
        <v>131</v>
      </c>
      <c r="U46" s="126" t="s">
        <v>305</v>
      </c>
      <c r="X46" s="130">
        <v>42353</v>
      </c>
      <c r="Y46" s="11">
        <v>61.79</v>
      </c>
      <c r="Z46" s="11">
        <v>63</v>
      </c>
      <c r="AA46" s="11">
        <v>61.72</v>
      </c>
      <c r="AB46" s="11">
        <v>62.7</v>
      </c>
      <c r="AC46" s="124">
        <v>3012700</v>
      </c>
      <c r="AD46" s="11">
        <v>62.7</v>
      </c>
      <c r="AE46" s="2">
        <f t="shared" si="2"/>
        <v>1.2800000000000011</v>
      </c>
      <c r="AF46" s="165">
        <f t="shared" si="3"/>
        <v>2.1338980289949516E-2</v>
      </c>
    </row>
    <row r="47" spans="15:32" x14ac:dyDescent="0.25">
      <c r="O47" s="103">
        <v>0.99</v>
      </c>
      <c r="P47" s="103">
        <f t="shared" si="6"/>
        <v>63.36</v>
      </c>
      <c r="Q47" s="2"/>
      <c r="T47" s="133"/>
      <c r="U47" s="126"/>
      <c r="X47" s="130">
        <v>42352</v>
      </c>
      <c r="Y47" s="11">
        <v>61.58</v>
      </c>
      <c r="Z47" s="11">
        <v>62.12</v>
      </c>
      <c r="AA47" s="11">
        <v>60.92</v>
      </c>
      <c r="AB47" s="11">
        <v>61.39</v>
      </c>
      <c r="AC47" s="124">
        <v>2348400</v>
      </c>
      <c r="AD47" s="11">
        <v>61.39</v>
      </c>
      <c r="AE47" s="2">
        <f t="shared" si="2"/>
        <v>1.1999999999999957</v>
      </c>
      <c r="AF47" s="165">
        <f t="shared" si="3"/>
        <v>-1.3014478607450419E-3</v>
      </c>
    </row>
    <row r="48" spans="15:32" x14ac:dyDescent="0.25">
      <c r="O48" s="103">
        <v>0.98</v>
      </c>
      <c r="P48" s="103">
        <f t="shared" si="6"/>
        <v>62.72</v>
      </c>
      <c r="Q48" s="2"/>
      <c r="T48" s="133" t="s">
        <v>113</v>
      </c>
      <c r="U48" s="126" t="s">
        <v>385</v>
      </c>
      <c r="X48" s="130">
        <v>42349</v>
      </c>
      <c r="Y48" s="11">
        <v>61.69</v>
      </c>
      <c r="Z48" s="11">
        <v>62.12</v>
      </c>
      <c r="AA48" s="11">
        <v>61.18</v>
      </c>
      <c r="AB48" s="11">
        <v>61.47</v>
      </c>
      <c r="AC48" s="124">
        <v>2111800</v>
      </c>
      <c r="AD48" s="11">
        <v>61.47</v>
      </c>
      <c r="AE48" s="2">
        <f t="shared" si="2"/>
        <v>0.93999999999999773</v>
      </c>
      <c r="AF48" s="165">
        <f t="shared" si="3"/>
        <v>-1.6165172855313714E-2</v>
      </c>
    </row>
    <row r="49" spans="15:32" x14ac:dyDescent="0.25">
      <c r="O49" s="103">
        <v>0.97</v>
      </c>
      <c r="P49" s="103">
        <f t="shared" si="6"/>
        <v>62.08</v>
      </c>
      <c r="T49" s="133" t="s">
        <v>114</v>
      </c>
      <c r="U49" s="126" t="s">
        <v>303</v>
      </c>
      <c r="X49" s="130">
        <v>42348</v>
      </c>
      <c r="Y49" s="11">
        <v>62.91</v>
      </c>
      <c r="Z49" s="11">
        <v>63.08</v>
      </c>
      <c r="AA49" s="11">
        <v>62.3</v>
      </c>
      <c r="AB49" s="11">
        <v>62.48</v>
      </c>
      <c r="AC49" s="124">
        <v>2417100</v>
      </c>
      <c r="AD49" s="11">
        <v>62.48</v>
      </c>
      <c r="AE49" s="2">
        <f t="shared" si="2"/>
        <v>0.78000000000000114</v>
      </c>
      <c r="AF49" s="165">
        <f t="shared" si="3"/>
        <v>-6.6772655007949488E-3</v>
      </c>
    </row>
    <row r="50" spans="15:32" x14ac:dyDescent="0.25">
      <c r="O50" s="103">
        <v>0.96</v>
      </c>
      <c r="P50" s="103">
        <f t="shared" si="6"/>
        <v>61.44</v>
      </c>
      <c r="T50" s="133" t="s">
        <v>115</v>
      </c>
      <c r="U50" s="127">
        <v>4300104</v>
      </c>
      <c r="X50" s="130">
        <v>42347</v>
      </c>
      <c r="Y50" s="11">
        <v>63.5</v>
      </c>
      <c r="Z50" s="11">
        <v>64.08</v>
      </c>
      <c r="AA50" s="11">
        <v>62.73</v>
      </c>
      <c r="AB50" s="11">
        <v>62.9</v>
      </c>
      <c r="AC50" s="124">
        <v>2561200</v>
      </c>
      <c r="AD50" s="11">
        <v>62.9</v>
      </c>
      <c r="AE50" s="2">
        <f t="shared" si="2"/>
        <v>1.3500000000000014</v>
      </c>
      <c r="AF50" s="165">
        <f t="shared" si="3"/>
        <v>-1.5032884434700966E-2</v>
      </c>
    </row>
    <row r="51" spans="15:32" x14ac:dyDescent="0.25">
      <c r="O51" s="103">
        <v>0.95</v>
      </c>
      <c r="P51" s="103">
        <f t="shared" si="6"/>
        <v>60.8</v>
      </c>
      <c r="T51" s="133" t="s">
        <v>118</v>
      </c>
      <c r="U51" s="127">
        <v>3021320</v>
      </c>
      <c r="X51" s="130">
        <v>42346</v>
      </c>
      <c r="Y51" s="11">
        <v>64.37</v>
      </c>
      <c r="Z51" s="11">
        <v>64.38</v>
      </c>
      <c r="AA51" s="11">
        <v>63.67</v>
      </c>
      <c r="AB51" s="11">
        <v>63.86</v>
      </c>
      <c r="AC51" s="124">
        <v>2433600</v>
      </c>
      <c r="AD51" s="11">
        <v>63.86</v>
      </c>
      <c r="AE51" s="2">
        <f t="shared" si="2"/>
        <v>0.70999999999999375</v>
      </c>
      <c r="AF51" s="165">
        <f t="shared" si="3"/>
        <v>-8.2310917844385934E-3</v>
      </c>
    </row>
    <row r="52" spans="15:32" x14ac:dyDescent="0.25">
      <c r="O52" s="103">
        <v>0.94</v>
      </c>
      <c r="P52" s="103">
        <f t="shared" si="6"/>
        <v>60.16</v>
      </c>
      <c r="T52" s="133" t="s">
        <v>116</v>
      </c>
      <c r="U52" s="126" t="s">
        <v>386</v>
      </c>
      <c r="X52" s="130">
        <v>42345</v>
      </c>
      <c r="Y52" s="11">
        <v>64.349999999999994</v>
      </c>
      <c r="Z52" s="11">
        <v>64.69</v>
      </c>
      <c r="AA52" s="11">
        <v>64.19</v>
      </c>
      <c r="AB52" s="11">
        <v>64.39</v>
      </c>
      <c r="AC52" s="124">
        <v>2675500</v>
      </c>
      <c r="AD52" s="11">
        <v>64.39</v>
      </c>
      <c r="AE52" s="2">
        <f t="shared" si="2"/>
        <v>0.5</v>
      </c>
      <c r="AF52" s="165">
        <f t="shared" si="3"/>
        <v>-1.550628004341692E-3</v>
      </c>
    </row>
    <row r="53" spans="15:32" x14ac:dyDescent="0.25">
      <c r="O53" s="103">
        <v>0.93</v>
      </c>
      <c r="P53" s="103">
        <f t="shared" si="6"/>
        <v>59.52</v>
      </c>
      <c r="T53" s="133" t="s">
        <v>119</v>
      </c>
      <c r="U53" s="126">
        <v>12.67</v>
      </c>
      <c r="X53" s="130">
        <v>42342</v>
      </c>
      <c r="Y53" s="11">
        <v>62.97</v>
      </c>
      <c r="Z53" s="11">
        <v>64.58</v>
      </c>
      <c r="AA53" s="11">
        <v>62.96</v>
      </c>
      <c r="AB53" s="11">
        <v>64.489999999999995</v>
      </c>
      <c r="AC53" s="124">
        <v>2647500</v>
      </c>
      <c r="AD53" s="11">
        <v>64.489999999999995</v>
      </c>
      <c r="AE53" s="2">
        <f t="shared" si="2"/>
        <v>1.6199999999999974</v>
      </c>
      <c r="AF53" s="165">
        <f t="shared" si="3"/>
        <v>2.7401624980085915E-2</v>
      </c>
    </row>
    <row r="54" spans="15:32" x14ac:dyDescent="0.25">
      <c r="O54" s="103">
        <v>0.92</v>
      </c>
      <c r="P54" s="103">
        <f t="shared" si="6"/>
        <v>58.88</v>
      </c>
      <c r="T54" s="133" t="s">
        <v>120</v>
      </c>
      <c r="U54" s="126">
        <v>5.05</v>
      </c>
      <c r="X54" s="130">
        <v>42341</v>
      </c>
      <c r="Y54" s="11">
        <v>62.95</v>
      </c>
      <c r="Z54" s="11">
        <v>63.27</v>
      </c>
      <c r="AA54" s="11">
        <v>62.49</v>
      </c>
      <c r="AB54" s="11">
        <v>62.77</v>
      </c>
      <c r="AC54" s="124">
        <v>3197900</v>
      </c>
      <c r="AD54" s="11">
        <v>62.77</v>
      </c>
      <c r="AE54" s="2">
        <f t="shared" si="2"/>
        <v>0.78000000000000114</v>
      </c>
      <c r="AF54" s="165">
        <f t="shared" si="3"/>
        <v>-1.9080934965812757E-3</v>
      </c>
    </row>
    <row r="55" spans="15:32" x14ac:dyDescent="0.25">
      <c r="O55" s="103">
        <v>0.91</v>
      </c>
      <c r="P55" s="103">
        <f t="shared" si="6"/>
        <v>58.24</v>
      </c>
      <c r="T55" s="133" t="s">
        <v>117</v>
      </c>
      <c r="U55" s="126" t="s">
        <v>387</v>
      </c>
      <c r="X55" s="130">
        <v>42340</v>
      </c>
      <c r="Y55" s="11">
        <v>63.55</v>
      </c>
      <c r="Z55" s="11">
        <v>63.67</v>
      </c>
      <c r="AA55" s="11">
        <v>62.81</v>
      </c>
      <c r="AB55" s="11">
        <v>62.89</v>
      </c>
      <c r="AC55" s="124">
        <v>2680900</v>
      </c>
      <c r="AD55" s="11">
        <v>62.89</v>
      </c>
      <c r="AE55" s="2">
        <f t="shared" si="2"/>
        <v>0.85999999999999943</v>
      </c>
      <c r="AF55" s="165">
        <f t="shared" si="3"/>
        <v>-9.6062992125983682E-3</v>
      </c>
    </row>
    <row r="56" spans="15:32" x14ac:dyDescent="0.25">
      <c r="O56" s="103">
        <v>0.9</v>
      </c>
      <c r="P56" s="103">
        <f t="shared" si="6"/>
        <v>57.6</v>
      </c>
      <c r="X56" s="130">
        <v>42339</v>
      </c>
      <c r="Y56" s="11">
        <v>63.34</v>
      </c>
      <c r="Z56" s="11">
        <v>64.23</v>
      </c>
      <c r="AA56" s="11">
        <v>63.26</v>
      </c>
      <c r="AB56" s="11">
        <v>63.5</v>
      </c>
      <c r="AC56" s="124">
        <v>3411300</v>
      </c>
      <c r="AD56" s="11">
        <v>63.5</v>
      </c>
      <c r="AE56" s="2">
        <f t="shared" si="2"/>
        <v>0.97000000000000597</v>
      </c>
      <c r="AF56" s="165">
        <f t="shared" si="3"/>
        <v>1.1790949649458371E-2</v>
      </c>
    </row>
    <row r="57" spans="15:32" x14ac:dyDescent="0.25">
      <c r="X57" s="130">
        <v>42338</v>
      </c>
      <c r="Y57" s="11">
        <v>62.97</v>
      </c>
      <c r="Z57" s="11">
        <v>63.15</v>
      </c>
      <c r="AA57" s="11">
        <v>62.55</v>
      </c>
      <c r="AB57" s="11">
        <v>62.76</v>
      </c>
      <c r="AC57" s="124">
        <v>3012500</v>
      </c>
      <c r="AD57" s="11">
        <v>62.76</v>
      </c>
      <c r="AE57" s="2">
        <f t="shared" si="2"/>
        <v>0.60000000000000142</v>
      </c>
      <c r="AF57" s="165">
        <f t="shared" si="3"/>
        <v>-1.2730744748569167E-3</v>
      </c>
    </row>
    <row r="58" spans="15:32" x14ac:dyDescent="0.25">
      <c r="X58" s="130">
        <v>42335</v>
      </c>
      <c r="Y58" s="11">
        <v>62.54</v>
      </c>
      <c r="Z58" s="11">
        <v>62.91</v>
      </c>
      <c r="AA58" s="11">
        <v>62.44</v>
      </c>
      <c r="AB58" s="11">
        <v>62.84</v>
      </c>
      <c r="AC58" s="124">
        <v>821500</v>
      </c>
      <c r="AD58" s="11">
        <v>62.84</v>
      </c>
      <c r="AE58" s="2">
        <f t="shared" si="2"/>
        <v>0.46999999999999886</v>
      </c>
      <c r="AF58" s="165">
        <f t="shared" si="3"/>
        <v>6.5673554380907273E-3</v>
      </c>
    </row>
    <row r="59" spans="15:32" x14ac:dyDescent="0.25">
      <c r="X59" s="130">
        <v>42333</v>
      </c>
      <c r="Y59" s="11">
        <v>62.82</v>
      </c>
      <c r="Z59" s="11">
        <v>62.94</v>
      </c>
      <c r="AA59" s="11">
        <v>62.35</v>
      </c>
      <c r="AB59" s="11">
        <v>62.43</v>
      </c>
      <c r="AC59" s="124">
        <v>1745400</v>
      </c>
      <c r="AD59" s="11">
        <v>62.43</v>
      </c>
      <c r="AE59" s="2">
        <f t="shared" si="2"/>
        <v>0.58999999999999631</v>
      </c>
      <c r="AF59" s="165" t="e">
        <f t="shared" si="3"/>
        <v>#DIV/0!</v>
      </c>
    </row>
    <row r="60" spans="15:32" x14ac:dyDescent="0.25">
      <c r="X60" s="130">
        <v>42333</v>
      </c>
      <c r="Y60" s="11" t="s">
        <v>134</v>
      </c>
      <c r="Z60" s="11"/>
      <c r="AA60" s="11"/>
      <c r="AB60" s="11"/>
      <c r="AC60" s="124"/>
      <c r="AD60" s="11"/>
      <c r="AE60" s="2">
        <f t="shared" si="2"/>
        <v>0</v>
      </c>
      <c r="AF60" s="165">
        <f t="shared" si="3"/>
        <v>-1</v>
      </c>
    </row>
    <row r="61" spans="15:32" x14ac:dyDescent="0.25">
      <c r="X61" s="130">
        <v>42332</v>
      </c>
      <c r="Y61" s="11">
        <v>62.79</v>
      </c>
      <c r="Z61" s="11">
        <v>63.16</v>
      </c>
      <c r="AA61" s="11">
        <v>62.55</v>
      </c>
      <c r="AB61" s="11">
        <v>62.94</v>
      </c>
      <c r="AC61" s="124">
        <v>1621900</v>
      </c>
      <c r="AD61" s="11">
        <v>62.64</v>
      </c>
      <c r="AE61" s="2">
        <f t="shared" si="2"/>
        <v>0.60999999999999943</v>
      </c>
      <c r="AF61" s="165">
        <f t="shared" si="3"/>
        <v>-2.7065753860850972E-3</v>
      </c>
    </row>
    <row r="62" spans="15:32" x14ac:dyDescent="0.25">
      <c r="X62" s="130">
        <v>42331</v>
      </c>
      <c r="Y62" s="11">
        <v>63.35</v>
      </c>
      <c r="Z62" s="11">
        <v>63.4</v>
      </c>
      <c r="AA62" s="11">
        <v>62.96</v>
      </c>
      <c r="AB62" s="11">
        <v>63.11</v>
      </c>
      <c r="AC62" s="124">
        <v>2201000</v>
      </c>
      <c r="AD62" s="11">
        <v>62.81</v>
      </c>
      <c r="AE62" s="2">
        <f t="shared" si="2"/>
        <v>0.43999999999999773</v>
      </c>
      <c r="AF62" s="165">
        <f t="shared" si="3"/>
        <v>-3.6484771573603858E-3</v>
      </c>
    </row>
    <row r="63" spans="15:32" x14ac:dyDescent="0.25">
      <c r="X63" s="130">
        <v>42328</v>
      </c>
      <c r="Y63" s="11">
        <v>63.3</v>
      </c>
      <c r="Z63" s="11">
        <v>63.92</v>
      </c>
      <c r="AA63" s="11">
        <v>63.16</v>
      </c>
      <c r="AB63" s="11">
        <v>63.34</v>
      </c>
      <c r="AC63" s="124">
        <v>3077700</v>
      </c>
      <c r="AD63" s="11">
        <v>63.04</v>
      </c>
      <c r="AE63" s="2">
        <f t="shared" si="2"/>
        <v>0.76000000000000512</v>
      </c>
      <c r="AF63" s="165">
        <f t="shared" si="3"/>
        <v>-4.7566196289838825E-4</v>
      </c>
    </row>
    <row r="64" spans="15:32" x14ac:dyDescent="0.25">
      <c r="X64" s="130">
        <v>42327</v>
      </c>
      <c r="Y64" s="11">
        <v>63.49</v>
      </c>
      <c r="Z64" s="11">
        <v>63.62</v>
      </c>
      <c r="AA64" s="11">
        <v>63.21</v>
      </c>
      <c r="AB64" s="11">
        <v>63.37</v>
      </c>
      <c r="AC64" s="124">
        <v>1659600</v>
      </c>
      <c r="AD64" s="11">
        <v>63.07</v>
      </c>
      <c r="AE64" s="2">
        <f t="shared" si="2"/>
        <v>0.40999999999999659</v>
      </c>
      <c r="AF64" s="165">
        <f t="shared" si="3"/>
        <v>-2.0569620253164667E-3</v>
      </c>
    </row>
    <row r="65" spans="24:32" x14ac:dyDescent="0.25">
      <c r="X65" s="130">
        <v>42326</v>
      </c>
      <c r="Y65" s="11">
        <v>62.75</v>
      </c>
      <c r="Z65" s="11">
        <v>63.62</v>
      </c>
      <c r="AA65" s="11">
        <v>62.75</v>
      </c>
      <c r="AB65" s="11">
        <v>63.5</v>
      </c>
      <c r="AC65" s="124">
        <v>2085900</v>
      </c>
      <c r="AD65" s="11">
        <v>63.2</v>
      </c>
      <c r="AE65" s="2">
        <f t="shared" si="2"/>
        <v>0.86999999999999744</v>
      </c>
      <c r="AF65" s="165">
        <f t="shared" si="3"/>
        <v>1.2658227848101333E-2</v>
      </c>
    </row>
    <row r="66" spans="24:32" x14ac:dyDescent="0.25">
      <c r="X66" s="130">
        <v>42325</v>
      </c>
      <c r="Y66" s="11">
        <v>63.13</v>
      </c>
      <c r="Z66" s="11">
        <v>63.48</v>
      </c>
      <c r="AA66" s="11">
        <v>62.65</v>
      </c>
      <c r="AB66" s="11">
        <v>62.71</v>
      </c>
      <c r="AC66" s="124">
        <v>2153600</v>
      </c>
      <c r="AD66" s="11">
        <v>62.41</v>
      </c>
      <c r="AE66" s="2">
        <f t="shared" si="2"/>
        <v>0.82999999999999829</v>
      </c>
      <c r="AF66" s="165">
        <f t="shared" si="3"/>
        <v>-6.5265838904807749E-3</v>
      </c>
    </row>
    <row r="67" spans="24:32" x14ac:dyDescent="0.25">
      <c r="X67" s="130">
        <v>42324</v>
      </c>
      <c r="Y67" s="11">
        <v>62.23</v>
      </c>
      <c r="Z67" s="11">
        <v>63.12</v>
      </c>
      <c r="AA67" s="11">
        <v>62.08</v>
      </c>
      <c r="AB67" s="11">
        <v>63.12</v>
      </c>
      <c r="AC67" s="124">
        <v>2566900</v>
      </c>
      <c r="AD67" s="11">
        <v>62.82</v>
      </c>
      <c r="AE67" s="2">
        <f t="shared" ref="AE67:AE68" si="7">Z67-AA67</f>
        <v>1.0399999999999991</v>
      </c>
      <c r="AF67" s="165">
        <f t="shared" ref="AF67" si="8">AD67/AD68-1</f>
        <v>1.1431331508613862E-2</v>
      </c>
    </row>
    <row r="68" spans="24:32" x14ac:dyDescent="0.25">
      <c r="X68" s="130">
        <v>42321</v>
      </c>
      <c r="Y68" s="11">
        <v>62.54</v>
      </c>
      <c r="Z68" s="11">
        <v>62.83</v>
      </c>
      <c r="AA68" s="11">
        <v>62.24</v>
      </c>
      <c r="AB68" s="11">
        <v>62.41</v>
      </c>
      <c r="AC68" s="124">
        <v>2312100</v>
      </c>
      <c r="AD68" s="11">
        <v>62.11</v>
      </c>
      <c r="AE68" s="2">
        <f t="shared" si="7"/>
        <v>0.58999999999999631</v>
      </c>
      <c r="AF68" s="165" t="e">
        <f>AD68/AD69-1</f>
        <v>#DIV/0!</v>
      </c>
    </row>
    <row r="69" spans="24:32" x14ac:dyDescent="0.25">
      <c r="X69" s="130" t="s">
        <v>130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83" priority="12">
      <formula>Q7&gt;0</formula>
    </cfRule>
    <cfRule type="expression" dxfId="18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1" priority="5">
      <formula>F19&gt;0</formula>
    </cfRule>
    <cfRule type="expression" dxfId="180" priority="6">
      <formula>F19&lt;0</formula>
    </cfRule>
  </conditionalFormatting>
  <conditionalFormatting sqref="F29:F30">
    <cfRule type="expression" dxfId="179" priority="3">
      <formula>F29&gt;0</formula>
    </cfRule>
    <cfRule type="expression" dxfId="178" priority="4">
      <formula>F29&lt;0</formula>
    </cfRule>
  </conditionalFormatting>
  <conditionalFormatting sqref="H19:H24">
    <cfRule type="expression" dxfId="177" priority="1">
      <formula>H19&gt;0</formula>
    </cfRule>
    <cfRule type="expression" dxfId="17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122</v>
      </c>
      <c r="X1" s="122" t="s">
        <v>123</v>
      </c>
      <c r="Y1" s="122" t="s">
        <v>124</v>
      </c>
      <c r="Z1" s="122" t="s">
        <v>125</v>
      </c>
      <c r="AA1" s="122" t="s">
        <v>126</v>
      </c>
      <c r="AB1" s="113" t="s">
        <v>127</v>
      </c>
      <c r="AC1" s="122" t="s">
        <v>128</v>
      </c>
      <c r="AD1" s="13" t="s">
        <v>142</v>
      </c>
      <c r="AE1" s="13" t="s">
        <v>144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179</v>
      </c>
      <c r="W2" s="192">
        <v>42419</v>
      </c>
      <c r="X2" s="53">
        <v>74.5</v>
      </c>
      <c r="Y2" s="53">
        <v>75.5</v>
      </c>
      <c r="Z2" s="53">
        <v>74.05</v>
      </c>
      <c r="AA2" s="53">
        <v>75</v>
      </c>
      <c r="AB2" s="115">
        <v>1434900</v>
      </c>
      <c r="AC2" s="53">
        <v>75</v>
      </c>
      <c r="AD2" s="2">
        <f t="shared" ref="AD2" si="1">Y2-Z2</f>
        <v>1.4500000000000028</v>
      </c>
      <c r="AE2" s="165">
        <f t="shared" ref="AE2" si="2">AC2/AC3-1</f>
        <v>2.2718161165309336E-3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75</v>
      </c>
      <c r="W3" s="192">
        <v>42418</v>
      </c>
      <c r="X3" s="53">
        <v>75.67</v>
      </c>
      <c r="Y3" s="53">
        <v>76.209999999999994</v>
      </c>
      <c r="Z3" s="53">
        <v>74.09</v>
      </c>
      <c r="AA3" s="53">
        <v>74.83</v>
      </c>
      <c r="AB3" s="115">
        <v>1049200</v>
      </c>
      <c r="AC3" s="53">
        <v>74.83</v>
      </c>
      <c r="AD3" s="2">
        <f t="shared" ref="AD3:AD66" si="3">Y3-Z3</f>
        <v>2.1199999999999903</v>
      </c>
      <c r="AE3" s="165">
        <f t="shared" ref="AE3:AE66" si="4">AC3/AC4-1</f>
        <v>-1.2405965421670828E-2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75</v>
      </c>
      <c r="W4" s="192">
        <v>42417</v>
      </c>
      <c r="X4" s="53">
        <v>74.349999999999994</v>
      </c>
      <c r="Y4" s="53">
        <v>76.02</v>
      </c>
      <c r="Z4" s="53">
        <v>73.63</v>
      </c>
      <c r="AA4" s="53">
        <v>75.77</v>
      </c>
      <c r="AB4" s="115">
        <v>2032000</v>
      </c>
      <c r="AC4" s="53">
        <v>75.77</v>
      </c>
      <c r="AD4" s="2">
        <f t="shared" si="3"/>
        <v>2.3900000000000006</v>
      </c>
      <c r="AE4" s="165">
        <f t="shared" si="4"/>
        <v>2.4057305041221833E-2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173</v>
      </c>
      <c r="W5" s="192">
        <v>42416</v>
      </c>
      <c r="X5" s="53">
        <v>72.95</v>
      </c>
      <c r="Y5" s="53">
        <v>74.33</v>
      </c>
      <c r="Z5" s="53">
        <v>72.56</v>
      </c>
      <c r="AA5" s="53">
        <v>73.989999999999995</v>
      </c>
      <c r="AB5" s="115">
        <v>1365600</v>
      </c>
      <c r="AC5" s="53">
        <v>73.989999999999995</v>
      </c>
      <c r="AD5" s="2">
        <f t="shared" si="3"/>
        <v>1.769999999999996</v>
      </c>
      <c r="AE5" s="165">
        <f t="shared" si="4"/>
        <v>1.9707828004410066E-2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42412</v>
      </c>
      <c r="X6" s="53">
        <v>71.67</v>
      </c>
      <c r="Y6" s="53">
        <v>73.59</v>
      </c>
      <c r="Z6" s="53">
        <v>71.06</v>
      </c>
      <c r="AA6" s="53">
        <v>72.56</v>
      </c>
      <c r="AB6" s="115">
        <v>1520400</v>
      </c>
      <c r="AC6" s="53">
        <v>72.56</v>
      </c>
      <c r="AD6" s="2">
        <f t="shared" si="3"/>
        <v>2.5300000000000011</v>
      </c>
      <c r="AE6" s="165">
        <f t="shared" si="4"/>
        <v>1.2418027068508364E-2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319</v>
      </c>
      <c r="W7" s="192">
        <v>42411</v>
      </c>
      <c r="X7" s="53">
        <v>71.73</v>
      </c>
      <c r="Y7" s="53">
        <v>72.22</v>
      </c>
      <c r="Z7" s="53">
        <v>69.989999999999995</v>
      </c>
      <c r="AA7" s="53">
        <v>71.67</v>
      </c>
      <c r="AB7" s="115">
        <v>1849700</v>
      </c>
      <c r="AC7" s="53">
        <v>71.67</v>
      </c>
      <c r="AD7" s="2">
        <f t="shared" si="3"/>
        <v>2.230000000000004</v>
      </c>
      <c r="AE7" s="165">
        <f t="shared" si="4"/>
        <v>-1.8488085456039416E-2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42410</v>
      </c>
      <c r="X8" s="53">
        <v>72.17</v>
      </c>
      <c r="Y8" s="53">
        <v>73.66</v>
      </c>
      <c r="Z8" s="53">
        <v>71.680000000000007</v>
      </c>
      <c r="AA8" s="53">
        <v>73.02</v>
      </c>
      <c r="AB8" s="115">
        <v>1607300</v>
      </c>
      <c r="AC8" s="53">
        <v>73.02</v>
      </c>
      <c r="AD8" s="2">
        <f t="shared" si="3"/>
        <v>1.9799999999999898</v>
      </c>
      <c r="AE8" s="165">
        <f t="shared" si="4"/>
        <v>2.2402688322598729E-2</v>
      </c>
    </row>
    <row r="9" spans="1:31" x14ac:dyDescent="0.25">
      <c r="W9" s="192">
        <v>42409</v>
      </c>
      <c r="X9" s="53">
        <v>69.7</v>
      </c>
      <c r="Y9" s="53">
        <v>73.3</v>
      </c>
      <c r="Z9" s="53">
        <v>69.12</v>
      </c>
      <c r="AA9" s="53">
        <v>71.42</v>
      </c>
      <c r="AB9" s="115">
        <v>4331800</v>
      </c>
      <c r="AC9" s="53">
        <v>71.42</v>
      </c>
      <c r="AD9" s="2">
        <f t="shared" si="3"/>
        <v>4.1799999999999926</v>
      </c>
      <c r="AE9" s="165">
        <f t="shared" si="4"/>
        <v>1.319336076039157E-2</v>
      </c>
    </row>
    <row r="10" spans="1:31" x14ac:dyDescent="0.25">
      <c r="W10" s="192">
        <v>42408</v>
      </c>
      <c r="X10" s="53">
        <v>69.349999999999994</v>
      </c>
      <c r="Y10" s="53">
        <v>71.56</v>
      </c>
      <c r="Z10" s="53">
        <v>69.150000000000006</v>
      </c>
      <c r="AA10" s="53">
        <v>70.489999999999995</v>
      </c>
      <c r="AB10" s="115">
        <v>2733600</v>
      </c>
      <c r="AC10" s="53">
        <v>70.489999999999995</v>
      </c>
      <c r="AD10" s="2">
        <f t="shared" si="3"/>
        <v>2.4099999999999966</v>
      </c>
      <c r="AE10" s="165">
        <f t="shared" si="4"/>
        <v>4.9900199600798611E-3</v>
      </c>
    </row>
    <row r="11" spans="1:31" x14ac:dyDescent="0.25">
      <c r="W11" s="192">
        <v>42405</v>
      </c>
      <c r="X11" s="53">
        <v>69.13</v>
      </c>
      <c r="Y11" s="53">
        <v>70.61</v>
      </c>
      <c r="Z11" s="53">
        <v>68.56</v>
      </c>
      <c r="AA11" s="53">
        <v>70.14</v>
      </c>
      <c r="AB11" s="115">
        <v>1507300</v>
      </c>
      <c r="AC11" s="53">
        <v>70.14</v>
      </c>
      <c r="AD11" s="2">
        <f t="shared" si="3"/>
        <v>2.0499999999999972</v>
      </c>
      <c r="AE11" s="165">
        <f t="shared" si="4"/>
        <v>1.1099899091826293E-2</v>
      </c>
    </row>
    <row r="12" spans="1:31" x14ac:dyDescent="0.25">
      <c r="W12" s="192">
        <v>42404</v>
      </c>
      <c r="X12" s="53">
        <v>67.52</v>
      </c>
      <c r="Y12" s="53">
        <v>69.989999999999995</v>
      </c>
      <c r="Z12" s="53">
        <v>67.52</v>
      </c>
      <c r="AA12" s="53">
        <v>69.37</v>
      </c>
      <c r="AB12" s="115">
        <v>2072800</v>
      </c>
      <c r="AC12" s="53">
        <v>69.37</v>
      </c>
      <c r="AD12" s="2">
        <f t="shared" si="3"/>
        <v>2.4699999999999989</v>
      </c>
      <c r="AE12" s="165">
        <f t="shared" si="4"/>
        <v>3.0451574569221762E-2</v>
      </c>
    </row>
    <row r="13" spans="1:31" x14ac:dyDescent="0.25">
      <c r="W13" s="192">
        <v>42403</v>
      </c>
      <c r="X13" s="53">
        <v>66.88</v>
      </c>
      <c r="Y13" s="53">
        <v>67.680000000000007</v>
      </c>
      <c r="Z13" s="53">
        <v>64.510000000000005</v>
      </c>
      <c r="AA13" s="53">
        <v>67.319999999999993</v>
      </c>
      <c r="AB13" s="115">
        <v>1876400</v>
      </c>
      <c r="AC13" s="53">
        <v>67.319999999999993</v>
      </c>
      <c r="AD13" s="2">
        <f t="shared" si="3"/>
        <v>3.1700000000000017</v>
      </c>
      <c r="AE13" s="165" t="e">
        <f t="shared" si="4"/>
        <v>#DIV/0!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42403</v>
      </c>
      <c r="X14" s="53" t="s">
        <v>156</v>
      </c>
      <c r="Y14" s="53"/>
      <c r="Z14" s="53"/>
      <c r="AA14" s="53"/>
      <c r="AB14" s="115"/>
      <c r="AC14" s="53"/>
      <c r="AD14" s="2">
        <f t="shared" si="3"/>
        <v>0</v>
      </c>
      <c r="AE14" s="165">
        <f t="shared" si="4"/>
        <v>-1</v>
      </c>
    </row>
    <row r="15" spans="1:31" x14ac:dyDescent="0.25">
      <c r="W15" s="192">
        <v>42402</v>
      </c>
      <c r="X15" s="53">
        <v>69.13</v>
      </c>
      <c r="Y15" s="53">
        <v>69.510000000000005</v>
      </c>
      <c r="Z15" s="53">
        <v>66.459999999999994</v>
      </c>
      <c r="AA15" s="53">
        <v>66.599999999999994</v>
      </c>
      <c r="AB15" s="115">
        <v>1426000</v>
      </c>
      <c r="AC15" s="53">
        <v>66.010000000000005</v>
      </c>
      <c r="AD15" s="2">
        <f t="shared" si="3"/>
        <v>3.0500000000000114</v>
      </c>
      <c r="AE15" s="165">
        <f t="shared" si="4"/>
        <v>-5.1171481960615051E-2</v>
      </c>
    </row>
    <row r="16" spans="1:31" x14ac:dyDescent="0.25">
      <c r="B16" s="246" t="s">
        <v>122</v>
      </c>
      <c r="C16" s="246" t="s">
        <v>189</v>
      </c>
      <c r="D16" s="247" t="s">
        <v>188</v>
      </c>
      <c r="E16" s="249" t="s">
        <v>190</v>
      </c>
      <c r="F16" s="249" t="s">
        <v>65</v>
      </c>
      <c r="G16" s="294" t="s">
        <v>195</v>
      </c>
      <c r="H16" s="294" t="s">
        <v>92</v>
      </c>
      <c r="I16" s="294" t="s">
        <v>203</v>
      </c>
      <c r="W16" s="192">
        <v>42401</v>
      </c>
      <c r="X16" s="53">
        <v>70.16</v>
      </c>
      <c r="Y16" s="53">
        <v>70.55</v>
      </c>
      <c r="Z16" s="53">
        <v>69</v>
      </c>
      <c r="AA16" s="53">
        <v>70.19</v>
      </c>
      <c r="AB16" s="115">
        <v>1468600</v>
      </c>
      <c r="AC16" s="53">
        <v>69.569999999999993</v>
      </c>
      <c r="AD16" s="2">
        <f t="shared" si="3"/>
        <v>1.5499999999999972</v>
      </c>
      <c r="AE16" s="165">
        <f t="shared" si="4"/>
        <v>-4.4361763022324752E-3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42398</v>
      </c>
      <c r="X17" s="53">
        <v>70.8</v>
      </c>
      <c r="Y17" s="53">
        <v>71.47</v>
      </c>
      <c r="Z17" s="53">
        <v>70.040000000000006</v>
      </c>
      <c r="AA17" s="53">
        <v>70.5</v>
      </c>
      <c r="AB17" s="115">
        <v>2058000</v>
      </c>
      <c r="AC17" s="53">
        <v>69.88</v>
      </c>
      <c r="AD17" s="2">
        <f t="shared" si="3"/>
        <v>1.4299999999999926</v>
      </c>
      <c r="AE17" s="165">
        <f t="shared" si="4"/>
        <v>5.6123183191825188E-3</v>
      </c>
    </row>
    <row r="18" spans="2:31" x14ac:dyDescent="0.25">
      <c r="B18" s="248">
        <v>42305</v>
      </c>
      <c r="C18" s="12">
        <v>0</v>
      </c>
      <c r="D18" s="259" t="s">
        <v>145</v>
      </c>
      <c r="E18" s="53">
        <v>81.599999999999994</v>
      </c>
      <c r="F18" s="53">
        <v>-169.71000000000095</v>
      </c>
      <c r="G18" s="53"/>
      <c r="H18" s="304"/>
      <c r="I18" s="53"/>
      <c r="W18" s="192">
        <v>42397</v>
      </c>
      <c r="X18" s="53">
        <v>69.92</v>
      </c>
      <c r="Y18" s="53">
        <v>71.400000000000006</v>
      </c>
      <c r="Z18" s="53">
        <v>69.239999999999995</v>
      </c>
      <c r="AA18" s="53">
        <v>70.11</v>
      </c>
      <c r="AB18" s="115">
        <v>1396200</v>
      </c>
      <c r="AC18" s="53">
        <v>69.489999999999995</v>
      </c>
      <c r="AD18" s="2">
        <f t="shared" si="3"/>
        <v>2.1600000000000108</v>
      </c>
      <c r="AE18" s="165">
        <f t="shared" si="4"/>
        <v>3.1759780568789697E-3</v>
      </c>
    </row>
    <row r="19" spans="2:31" x14ac:dyDescent="0.25">
      <c r="B19" s="248">
        <v>42331</v>
      </c>
      <c r="C19" s="12">
        <v>0</v>
      </c>
      <c r="D19" s="259" t="s">
        <v>145</v>
      </c>
      <c r="E19" s="53">
        <v>95.56</v>
      </c>
      <c r="F19" s="53">
        <v>-168.62</v>
      </c>
      <c r="G19" s="53"/>
      <c r="H19" s="304"/>
      <c r="I19" s="53"/>
      <c r="W19" s="192">
        <v>42396</v>
      </c>
      <c r="X19" s="53">
        <v>68.099999999999994</v>
      </c>
      <c r="Y19" s="53">
        <v>70.760000000000005</v>
      </c>
      <c r="Z19" s="53">
        <v>67.88</v>
      </c>
      <c r="AA19" s="53">
        <v>69.89</v>
      </c>
      <c r="AB19" s="115">
        <v>1829300</v>
      </c>
      <c r="AC19" s="53">
        <v>69.27</v>
      </c>
      <c r="AD19" s="2">
        <f t="shared" si="3"/>
        <v>2.8800000000000097</v>
      </c>
      <c r="AE19" s="165">
        <f t="shared" si="4"/>
        <v>1.435056377214794E-2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42395</v>
      </c>
      <c r="X20" s="53">
        <v>68</v>
      </c>
      <c r="Y20" s="53">
        <v>69.349999999999994</v>
      </c>
      <c r="Z20" s="53">
        <v>67.98</v>
      </c>
      <c r="AA20" s="53">
        <v>68.900000000000006</v>
      </c>
      <c r="AB20" s="115">
        <v>1551700</v>
      </c>
      <c r="AC20" s="53">
        <v>68.290000000000006</v>
      </c>
      <c r="AD20" s="2">
        <f t="shared" si="3"/>
        <v>1.3699999999999903</v>
      </c>
      <c r="AE20" s="165">
        <f t="shared" si="4"/>
        <v>1.7279904662595102E-2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42394</v>
      </c>
      <c r="X21" s="53">
        <v>68.64</v>
      </c>
      <c r="Y21" s="53">
        <v>69.36</v>
      </c>
      <c r="Z21" s="53">
        <v>67.510000000000005</v>
      </c>
      <c r="AA21" s="53">
        <v>67.73</v>
      </c>
      <c r="AB21" s="115">
        <v>1704200</v>
      </c>
      <c r="AC21" s="53">
        <v>67.13</v>
      </c>
      <c r="AD21" s="2">
        <f t="shared" si="3"/>
        <v>1.8499999999999943</v>
      </c>
      <c r="AE21" s="165">
        <f t="shared" si="4"/>
        <v>-1.2503677552221371E-2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42391</v>
      </c>
      <c r="X22" s="53">
        <v>71.28</v>
      </c>
      <c r="Y22" s="53">
        <v>71.650000000000006</v>
      </c>
      <c r="Z22" s="53">
        <v>68.58</v>
      </c>
      <c r="AA22" s="53">
        <v>68.59</v>
      </c>
      <c r="AB22" s="115">
        <v>2322100</v>
      </c>
      <c r="AC22" s="53">
        <v>67.98</v>
      </c>
      <c r="AD22" s="2">
        <f t="shared" si="3"/>
        <v>3.0700000000000074</v>
      </c>
      <c r="AE22" s="165">
        <f t="shared" si="4"/>
        <v>-2.1166306695464376E-2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42390</v>
      </c>
      <c r="X23" s="53">
        <v>70.95</v>
      </c>
      <c r="Y23" s="53">
        <v>71.3</v>
      </c>
      <c r="Z23" s="53">
        <v>66.510000000000005</v>
      </c>
      <c r="AA23" s="53">
        <v>70.069999999999993</v>
      </c>
      <c r="AB23" s="115">
        <v>3863900</v>
      </c>
      <c r="AC23" s="53">
        <v>69.45</v>
      </c>
      <c r="AD23" s="2">
        <f t="shared" si="3"/>
        <v>4.789999999999992</v>
      </c>
      <c r="AE23" s="165">
        <f t="shared" si="4"/>
        <v>-1.559177888022667E-2</v>
      </c>
    </row>
    <row r="24" spans="2:31" x14ac:dyDescent="0.25">
      <c r="W24" s="192">
        <v>42389</v>
      </c>
      <c r="X24" s="53">
        <v>70.72</v>
      </c>
      <c r="Y24" s="53">
        <v>72.34</v>
      </c>
      <c r="Z24" s="53">
        <v>67.849999999999994</v>
      </c>
      <c r="AA24" s="53">
        <v>71.180000000000007</v>
      </c>
      <c r="AB24" s="115">
        <v>2123100</v>
      </c>
      <c r="AC24" s="53">
        <v>70.55</v>
      </c>
      <c r="AD24" s="2">
        <f t="shared" si="3"/>
        <v>4.4900000000000091</v>
      </c>
      <c r="AE24" s="165">
        <f t="shared" si="4"/>
        <v>-9.2683611852267811E-3</v>
      </c>
    </row>
    <row r="25" spans="2:31" x14ac:dyDescent="0.25">
      <c r="W25" s="192">
        <v>42388</v>
      </c>
      <c r="X25" s="53">
        <v>72.260000000000005</v>
      </c>
      <c r="Y25" s="53">
        <v>72.569999999999993</v>
      </c>
      <c r="Z25" s="53">
        <v>70.69</v>
      </c>
      <c r="AA25" s="53">
        <v>71.849999999999994</v>
      </c>
      <c r="AB25" s="115">
        <v>1552300</v>
      </c>
      <c r="AC25" s="53">
        <v>71.209999999999994</v>
      </c>
      <c r="AD25" s="2">
        <f t="shared" si="3"/>
        <v>1.8799999999999955</v>
      </c>
      <c r="AE25" s="165">
        <f t="shared" si="4"/>
        <v>1.124701251230098E-3</v>
      </c>
    </row>
    <row r="26" spans="2:31" x14ac:dyDescent="0.25">
      <c r="W26" s="192">
        <v>42384</v>
      </c>
      <c r="X26" s="53">
        <v>70.23</v>
      </c>
      <c r="Y26" s="53">
        <v>72.03</v>
      </c>
      <c r="Z26" s="53">
        <v>70.180000000000007</v>
      </c>
      <c r="AA26" s="53">
        <v>71.77</v>
      </c>
      <c r="AB26" s="115">
        <v>1786600</v>
      </c>
      <c r="AC26" s="53">
        <v>71.13</v>
      </c>
      <c r="AD26" s="2">
        <f t="shared" si="3"/>
        <v>1.8499999999999943</v>
      </c>
      <c r="AE26" s="165">
        <f t="shared" si="4"/>
        <v>-5.3139421059993364E-3</v>
      </c>
    </row>
    <row r="27" spans="2:31" x14ac:dyDescent="0.25">
      <c r="W27" s="192">
        <v>42383</v>
      </c>
      <c r="X27" s="53">
        <v>71.5</v>
      </c>
      <c r="Y27" s="53">
        <v>73.599999999999994</v>
      </c>
      <c r="Z27" s="53">
        <v>71.459999999999994</v>
      </c>
      <c r="AA27" s="53">
        <v>72.150000000000006</v>
      </c>
      <c r="AB27" s="115">
        <v>1916800</v>
      </c>
      <c r="AC27" s="53">
        <v>71.510000000000005</v>
      </c>
      <c r="AD27" s="2">
        <f t="shared" si="3"/>
        <v>2.1400000000000006</v>
      </c>
      <c r="AE27" s="165">
        <f t="shared" si="4"/>
        <v>9.8856093772066167E-3</v>
      </c>
    </row>
    <row r="28" spans="2:31" x14ac:dyDescent="0.25">
      <c r="W28" s="192">
        <v>42382</v>
      </c>
      <c r="X28" s="53">
        <v>76.16</v>
      </c>
      <c r="Y28" s="53">
        <v>76.489999999999995</v>
      </c>
      <c r="Z28" s="53">
        <v>70.09</v>
      </c>
      <c r="AA28" s="53">
        <v>71.44</v>
      </c>
      <c r="AB28" s="115">
        <v>1988100</v>
      </c>
      <c r="AC28" s="53">
        <v>70.81</v>
      </c>
      <c r="AD28" s="2">
        <f t="shared" si="3"/>
        <v>6.3999999999999915</v>
      </c>
      <c r="AE28" s="165">
        <f t="shared" si="4"/>
        <v>-5.9128355035875657E-2</v>
      </c>
    </row>
    <row r="29" spans="2:31" x14ac:dyDescent="0.25">
      <c r="W29" s="192">
        <v>42381</v>
      </c>
      <c r="X29" s="53">
        <v>76.540000000000006</v>
      </c>
      <c r="Y29" s="53">
        <v>77.349999999999994</v>
      </c>
      <c r="Z29" s="53">
        <v>73.599999999999994</v>
      </c>
      <c r="AA29" s="53">
        <v>75.930000000000007</v>
      </c>
      <c r="AB29" s="115">
        <v>1862200</v>
      </c>
      <c r="AC29" s="53">
        <v>75.260000000000005</v>
      </c>
      <c r="AD29" s="2">
        <f t="shared" si="3"/>
        <v>3.75</v>
      </c>
      <c r="AE29" s="165">
        <f t="shared" si="4"/>
        <v>-5.3120849933585568E-4</v>
      </c>
    </row>
    <row r="30" spans="2:31" x14ac:dyDescent="0.25">
      <c r="W30" s="192">
        <v>42380</v>
      </c>
      <c r="X30" s="53">
        <v>78.02</v>
      </c>
      <c r="Y30" s="53">
        <v>78.34</v>
      </c>
      <c r="Z30" s="53">
        <v>75</v>
      </c>
      <c r="AA30" s="53">
        <v>75.97</v>
      </c>
      <c r="AB30" s="115">
        <v>1524400</v>
      </c>
      <c r="AC30" s="53">
        <v>75.3</v>
      </c>
      <c r="AD30" s="2">
        <f t="shared" si="3"/>
        <v>3.3400000000000034</v>
      </c>
      <c r="AE30" s="165">
        <f t="shared" si="4"/>
        <v>-2.3346303501945442E-2</v>
      </c>
    </row>
    <row r="31" spans="2:31" x14ac:dyDescent="0.25">
      <c r="W31" s="192">
        <v>42377</v>
      </c>
      <c r="X31" s="53">
        <v>78.3</v>
      </c>
      <c r="Y31" s="53">
        <v>79</v>
      </c>
      <c r="Z31" s="53">
        <v>77.55</v>
      </c>
      <c r="AA31" s="53">
        <v>77.790000000000006</v>
      </c>
      <c r="AB31" s="115">
        <v>1417600</v>
      </c>
      <c r="AC31" s="53">
        <v>77.099999999999994</v>
      </c>
      <c r="AD31" s="2">
        <f t="shared" si="3"/>
        <v>1.4500000000000028</v>
      </c>
      <c r="AE31" s="165">
        <f t="shared" si="4"/>
        <v>-2.7163368257665521E-3</v>
      </c>
    </row>
    <row r="32" spans="2:31" x14ac:dyDescent="0.25">
      <c r="W32" s="192">
        <v>42376</v>
      </c>
      <c r="X32" s="53">
        <v>78.06</v>
      </c>
      <c r="Y32" s="53">
        <v>78.83</v>
      </c>
      <c r="Z32" s="53">
        <v>77.55</v>
      </c>
      <c r="AA32" s="53">
        <v>78</v>
      </c>
      <c r="AB32" s="115">
        <v>1900900</v>
      </c>
      <c r="AC32" s="53">
        <v>77.31</v>
      </c>
      <c r="AD32" s="2">
        <f t="shared" si="3"/>
        <v>1.2800000000000011</v>
      </c>
      <c r="AE32" s="165">
        <f t="shared" si="4"/>
        <v>-1.8659558263518616E-2</v>
      </c>
    </row>
    <row r="33" spans="15:31" x14ac:dyDescent="0.25">
      <c r="W33" s="192">
        <v>42375</v>
      </c>
      <c r="X33" s="53">
        <v>81.22</v>
      </c>
      <c r="Y33" s="53">
        <v>81.7</v>
      </c>
      <c r="Z33" s="53">
        <v>79.010000000000005</v>
      </c>
      <c r="AA33" s="53">
        <v>79.48</v>
      </c>
      <c r="AB33" s="115">
        <v>1345400</v>
      </c>
      <c r="AC33" s="53">
        <v>78.78</v>
      </c>
      <c r="AD33" s="2">
        <f t="shared" si="3"/>
        <v>2.6899999999999977</v>
      </c>
      <c r="AE33" s="165">
        <f t="shared" si="4"/>
        <v>-3.3848417954378318E-2</v>
      </c>
    </row>
    <row r="34" spans="15:31" x14ac:dyDescent="0.25">
      <c r="W34" s="192">
        <v>42374</v>
      </c>
      <c r="X34" s="53">
        <v>81.760000000000005</v>
      </c>
      <c r="Y34" s="53">
        <v>82.56</v>
      </c>
      <c r="Z34" s="53">
        <v>81.400000000000006</v>
      </c>
      <c r="AA34" s="53">
        <v>82.27</v>
      </c>
      <c r="AB34" s="115">
        <v>1043500</v>
      </c>
      <c r="AC34" s="53">
        <v>81.540000000000006</v>
      </c>
      <c r="AD34" s="2">
        <f t="shared" si="3"/>
        <v>1.1599999999999966</v>
      </c>
      <c r="AE34" s="165">
        <f t="shared" si="4"/>
        <v>5.5493895671476778E-3</v>
      </c>
    </row>
    <row r="35" spans="15:31" x14ac:dyDescent="0.25">
      <c r="W35" s="192">
        <v>42373</v>
      </c>
      <c r="X35" s="53">
        <v>83.64</v>
      </c>
      <c r="Y35" s="53">
        <v>83.66</v>
      </c>
      <c r="Z35" s="53">
        <v>80.900000000000006</v>
      </c>
      <c r="AA35" s="53">
        <v>81.81</v>
      </c>
      <c r="AB35" s="115">
        <v>2558100</v>
      </c>
      <c r="AC35" s="53">
        <v>81.09</v>
      </c>
      <c r="AD35" s="2">
        <f t="shared" si="3"/>
        <v>2.7599999999999909</v>
      </c>
      <c r="AE35" s="165">
        <f t="shared" si="4"/>
        <v>-3.280057251908397E-2</v>
      </c>
    </row>
    <row r="36" spans="15:31" x14ac:dyDescent="0.25">
      <c r="W36" s="192">
        <v>42369</v>
      </c>
      <c r="X36" s="53">
        <v>84.16</v>
      </c>
      <c r="Y36" s="53">
        <v>85.18</v>
      </c>
      <c r="Z36" s="53">
        <v>84.09</v>
      </c>
      <c r="AA36" s="53">
        <v>84.59</v>
      </c>
      <c r="AB36" s="115">
        <v>920100</v>
      </c>
      <c r="AC36" s="53">
        <v>83.84</v>
      </c>
      <c r="AD36" s="2">
        <f t="shared" si="3"/>
        <v>1.0900000000000034</v>
      </c>
      <c r="AE36" s="165">
        <f t="shared" si="4"/>
        <v>-3.2100820354297177E-3</v>
      </c>
    </row>
    <row r="37" spans="15:31" x14ac:dyDescent="0.25">
      <c r="W37" s="192">
        <v>42368</v>
      </c>
      <c r="X37" s="53">
        <v>85.5</v>
      </c>
      <c r="Y37" s="53">
        <v>85.57</v>
      </c>
      <c r="Z37" s="53">
        <v>84.78</v>
      </c>
      <c r="AA37" s="53">
        <v>84.86</v>
      </c>
      <c r="AB37" s="115">
        <v>843300</v>
      </c>
      <c r="AC37" s="53">
        <v>84.11</v>
      </c>
      <c r="AD37" s="2">
        <f t="shared" si="3"/>
        <v>0.78999999999999204</v>
      </c>
      <c r="AE37" s="165">
        <f t="shared" si="4"/>
        <v>-8.1367924528301661E-3</v>
      </c>
    </row>
    <row r="38" spans="15:31" x14ac:dyDescent="0.25">
      <c r="W38" s="192">
        <v>42367</v>
      </c>
      <c r="X38" s="53">
        <v>85.86</v>
      </c>
      <c r="Y38" s="53">
        <v>86.31</v>
      </c>
      <c r="Z38" s="53">
        <v>85.5</v>
      </c>
      <c r="AA38" s="53">
        <v>85.56</v>
      </c>
      <c r="AB38" s="115">
        <v>829300</v>
      </c>
      <c r="AC38" s="53">
        <v>84.8</v>
      </c>
      <c r="AD38" s="2">
        <f t="shared" si="3"/>
        <v>0.81000000000000227</v>
      </c>
      <c r="AE38" s="165">
        <f t="shared" si="4"/>
        <v>-3.5364847341745609E-4</v>
      </c>
    </row>
    <row r="39" spans="15:31" x14ac:dyDescent="0.25">
      <c r="W39" s="192">
        <v>42366</v>
      </c>
      <c r="X39" s="53">
        <v>86.57</v>
      </c>
      <c r="Y39" s="53">
        <v>86.98</v>
      </c>
      <c r="Z39" s="53">
        <v>85.49</v>
      </c>
      <c r="AA39" s="53">
        <v>85.59</v>
      </c>
      <c r="AB39" s="115">
        <v>862700</v>
      </c>
      <c r="AC39" s="53">
        <v>84.83</v>
      </c>
      <c r="AD39" s="2">
        <f t="shared" si="3"/>
        <v>1.4900000000000091</v>
      </c>
      <c r="AE39" s="165">
        <f t="shared" si="4"/>
        <v>-1.3719334961051155E-2</v>
      </c>
    </row>
    <row r="40" spans="15:31" x14ac:dyDescent="0.25">
      <c r="W40" s="192">
        <v>42362</v>
      </c>
      <c r="X40" s="53">
        <v>86.9</v>
      </c>
      <c r="Y40" s="53">
        <v>87.33</v>
      </c>
      <c r="Z40" s="53">
        <v>86.17</v>
      </c>
      <c r="AA40" s="53">
        <v>86.78</v>
      </c>
      <c r="AB40" s="115">
        <v>434000</v>
      </c>
      <c r="AC40" s="53">
        <v>86.01</v>
      </c>
      <c r="AD40" s="2">
        <f t="shared" si="3"/>
        <v>1.1599999999999966</v>
      </c>
      <c r="AE40" s="165">
        <f t="shared" si="4"/>
        <v>-8.1319702602222765E-4</v>
      </c>
    </row>
    <row r="41" spans="15:31" x14ac:dyDescent="0.25">
      <c r="W41" s="192">
        <v>42361</v>
      </c>
      <c r="X41" s="53">
        <v>86.68</v>
      </c>
      <c r="Y41" s="53">
        <v>87.11</v>
      </c>
      <c r="Z41" s="53">
        <v>86</v>
      </c>
      <c r="AA41" s="53">
        <v>86.85</v>
      </c>
      <c r="AB41" s="115">
        <v>865300</v>
      </c>
      <c r="AC41" s="53">
        <v>86.08</v>
      </c>
      <c r="AD41" s="2">
        <f t="shared" si="3"/>
        <v>1.1099999999999994</v>
      </c>
      <c r="AE41" s="165">
        <f t="shared" si="4"/>
        <v>9.0259055210408778E-3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42360</v>
      </c>
      <c r="X42" s="53">
        <v>84.89</v>
      </c>
      <c r="Y42" s="53">
        <v>86.47</v>
      </c>
      <c r="Z42" s="53">
        <v>84.61</v>
      </c>
      <c r="AA42" s="53">
        <v>86.07</v>
      </c>
      <c r="AB42" s="115">
        <v>1043900</v>
      </c>
      <c r="AC42" s="53">
        <v>85.31</v>
      </c>
      <c r="AD42" s="2">
        <f t="shared" si="3"/>
        <v>1.8599999999999994</v>
      </c>
      <c r="AE42" s="165">
        <f t="shared" si="4"/>
        <v>2.3638108951283821E-2</v>
      </c>
    </row>
    <row r="43" spans="15:31" ht="15.75" thickTop="1" x14ac:dyDescent="0.25">
      <c r="O43" s="103">
        <v>1.1000000000000001</v>
      </c>
      <c r="P43" s="103">
        <f t="shared" ref="P43:P63" si="5">O43*$Q$4</f>
        <v>82.5</v>
      </c>
      <c r="Q43" s="2"/>
      <c r="R43" s="47"/>
      <c r="T43" s="12" t="s">
        <v>106</v>
      </c>
      <c r="U43" s="108">
        <v>74.83</v>
      </c>
      <c r="W43" s="192">
        <v>42359</v>
      </c>
      <c r="X43" s="53">
        <v>85.1</v>
      </c>
      <c r="Y43" s="53">
        <v>85.53</v>
      </c>
      <c r="Z43" s="53">
        <v>83.69</v>
      </c>
      <c r="AA43" s="53">
        <v>84.08</v>
      </c>
      <c r="AB43" s="115">
        <v>1306100</v>
      </c>
      <c r="AC43" s="53">
        <v>83.34</v>
      </c>
      <c r="AD43" s="2">
        <f t="shared" si="3"/>
        <v>1.8400000000000034</v>
      </c>
      <c r="AE43" s="165">
        <f t="shared" si="4"/>
        <v>-2.1551724137930384E-3</v>
      </c>
    </row>
    <row r="44" spans="15:31" x14ac:dyDescent="0.25">
      <c r="O44" s="103">
        <v>1.0900000000000001</v>
      </c>
      <c r="P44" s="103">
        <f t="shared" si="5"/>
        <v>81.75</v>
      </c>
      <c r="Q44" s="2"/>
      <c r="R44" s="47"/>
      <c r="T44" s="12" t="s">
        <v>107</v>
      </c>
      <c r="U44" s="108">
        <v>74.5</v>
      </c>
      <c r="W44" s="192">
        <v>42356</v>
      </c>
      <c r="X44" s="53">
        <v>84.59</v>
      </c>
      <c r="Y44" s="53">
        <v>85.99</v>
      </c>
      <c r="Z44" s="53">
        <v>83.23</v>
      </c>
      <c r="AA44" s="53">
        <v>84.27</v>
      </c>
      <c r="AB44" s="115">
        <v>3228300</v>
      </c>
      <c r="AC44" s="53">
        <v>83.52</v>
      </c>
      <c r="AD44" s="2">
        <f t="shared" si="3"/>
        <v>2.7599999999999909</v>
      </c>
      <c r="AE44" s="165">
        <f t="shared" si="4"/>
        <v>-9.3701814731349531E-3</v>
      </c>
    </row>
    <row r="45" spans="15:31" x14ac:dyDescent="0.25">
      <c r="O45" s="103">
        <v>1.08</v>
      </c>
      <c r="P45" s="103">
        <f t="shared" si="5"/>
        <v>81</v>
      </c>
      <c r="Q45" s="2"/>
      <c r="R45" s="47"/>
      <c r="T45" s="12" t="s">
        <v>108</v>
      </c>
      <c r="U45" s="108" t="s">
        <v>357</v>
      </c>
      <c r="W45" s="192">
        <v>42355</v>
      </c>
      <c r="X45" s="53">
        <v>89.51</v>
      </c>
      <c r="Y45" s="53">
        <v>89.6</v>
      </c>
      <c r="Z45" s="53">
        <v>84.91</v>
      </c>
      <c r="AA45" s="53">
        <v>85.06</v>
      </c>
      <c r="AB45" s="115">
        <v>2554400</v>
      </c>
      <c r="AC45" s="53">
        <v>84.31</v>
      </c>
      <c r="AD45" s="2">
        <f t="shared" si="3"/>
        <v>4.6899999999999977</v>
      </c>
      <c r="AE45" s="165">
        <f t="shared" si="4"/>
        <v>-5.2590178671760746E-2</v>
      </c>
    </row>
    <row r="46" spans="15:31" x14ac:dyDescent="0.25">
      <c r="O46" s="103">
        <v>1.07</v>
      </c>
      <c r="P46" s="103">
        <f t="shared" si="5"/>
        <v>80.25</v>
      </c>
      <c r="Q46" s="2"/>
      <c r="R46" s="47"/>
      <c r="T46" s="12" t="s">
        <v>109</v>
      </c>
      <c r="U46" s="108" t="s">
        <v>326</v>
      </c>
      <c r="W46" s="192">
        <v>42354</v>
      </c>
      <c r="X46" s="53">
        <v>91.33</v>
      </c>
      <c r="Y46" s="53">
        <v>91.8</v>
      </c>
      <c r="Z46" s="53">
        <v>88.48</v>
      </c>
      <c r="AA46" s="53">
        <v>89.79</v>
      </c>
      <c r="AB46" s="115">
        <v>2226600</v>
      </c>
      <c r="AC46" s="53">
        <v>88.99</v>
      </c>
      <c r="AD46" s="2">
        <f t="shared" si="3"/>
        <v>3.3199999999999932</v>
      </c>
      <c r="AE46" s="165">
        <f t="shared" si="4"/>
        <v>-1.3523999556590116E-2</v>
      </c>
    </row>
    <row r="47" spans="15:31" x14ac:dyDescent="0.25">
      <c r="O47" s="103">
        <v>1.06</v>
      </c>
      <c r="P47" s="103">
        <f t="shared" si="5"/>
        <v>79.5</v>
      </c>
      <c r="Q47" s="2"/>
      <c r="R47" s="47"/>
      <c r="T47" s="12" t="s">
        <v>110</v>
      </c>
      <c r="U47" s="108">
        <v>82.16</v>
      </c>
      <c r="W47" s="192">
        <v>42353</v>
      </c>
      <c r="X47" s="53">
        <v>90.17</v>
      </c>
      <c r="Y47" s="53">
        <v>91.59</v>
      </c>
      <c r="Z47" s="53">
        <v>89.71</v>
      </c>
      <c r="AA47" s="53">
        <v>91.02</v>
      </c>
      <c r="AB47" s="115">
        <v>1609500</v>
      </c>
      <c r="AC47" s="53">
        <v>90.21</v>
      </c>
      <c r="AD47" s="2">
        <f t="shared" si="3"/>
        <v>1.8800000000000097</v>
      </c>
      <c r="AE47" s="165">
        <f t="shared" si="4"/>
        <v>1.8631436314363148E-2</v>
      </c>
    </row>
    <row r="48" spans="15:31" x14ac:dyDescent="0.25">
      <c r="O48" s="103">
        <v>1.05</v>
      </c>
      <c r="P48" s="103">
        <f t="shared" si="5"/>
        <v>78.75</v>
      </c>
      <c r="Q48" s="2"/>
      <c r="R48" s="47"/>
      <c r="T48" s="12" t="s">
        <v>111</v>
      </c>
      <c r="U48" s="108">
        <v>1.22142</v>
      </c>
      <c r="W48" s="192">
        <v>42352</v>
      </c>
      <c r="X48" s="53">
        <v>89.6</v>
      </c>
      <c r="Y48" s="53">
        <v>90.75</v>
      </c>
      <c r="Z48" s="53">
        <v>88.9</v>
      </c>
      <c r="AA48" s="53">
        <v>89.35</v>
      </c>
      <c r="AB48" s="115">
        <v>2338900</v>
      </c>
      <c r="AC48" s="53">
        <v>88.56</v>
      </c>
      <c r="AD48" s="2">
        <f t="shared" si="3"/>
        <v>1.8499999999999943</v>
      </c>
      <c r="AE48" s="165">
        <f t="shared" si="4"/>
        <v>-1.0152284263960087E-3</v>
      </c>
    </row>
    <row r="49" spans="15:31" x14ac:dyDescent="0.25">
      <c r="O49" s="103">
        <v>1.04</v>
      </c>
      <c r="P49" s="103">
        <f t="shared" si="5"/>
        <v>78</v>
      </c>
      <c r="Q49" s="2"/>
      <c r="R49" s="47"/>
      <c r="T49" s="12" t="s">
        <v>131</v>
      </c>
      <c r="U49" s="108" t="s">
        <v>291</v>
      </c>
      <c r="W49" s="192">
        <v>42349</v>
      </c>
      <c r="X49" s="53">
        <v>89.13</v>
      </c>
      <c r="Y49" s="53">
        <v>89.94</v>
      </c>
      <c r="Z49" s="53">
        <v>87.76</v>
      </c>
      <c r="AA49" s="53">
        <v>89.44</v>
      </c>
      <c r="AB49" s="115">
        <v>3170200</v>
      </c>
      <c r="AC49" s="53">
        <v>88.65</v>
      </c>
      <c r="AD49" s="2">
        <f t="shared" si="3"/>
        <v>2.1799999999999926</v>
      </c>
      <c r="AE49" s="165">
        <f t="shared" si="4"/>
        <v>2.013808975834297E-2</v>
      </c>
    </row>
    <row r="50" spans="15:31" x14ac:dyDescent="0.25">
      <c r="O50" s="103">
        <v>1.03</v>
      </c>
      <c r="P50" s="103">
        <f t="shared" si="5"/>
        <v>77.25</v>
      </c>
      <c r="Q50" s="2"/>
      <c r="R50" s="47"/>
      <c r="T50" s="12"/>
      <c r="U50" s="108"/>
      <c r="W50" s="192">
        <v>42348</v>
      </c>
      <c r="X50" s="53">
        <v>88.32</v>
      </c>
      <c r="Y50" s="53">
        <v>88.47</v>
      </c>
      <c r="Z50" s="53">
        <v>87.3</v>
      </c>
      <c r="AA50" s="53">
        <v>87.68</v>
      </c>
      <c r="AB50" s="115">
        <v>1840400</v>
      </c>
      <c r="AC50" s="53">
        <v>86.9</v>
      </c>
      <c r="AD50" s="2">
        <f t="shared" si="3"/>
        <v>1.1700000000000017</v>
      </c>
      <c r="AE50" s="165">
        <f t="shared" si="4"/>
        <v>1.4982136683185932E-3</v>
      </c>
    </row>
    <row r="51" spans="15:31" x14ac:dyDescent="0.25">
      <c r="O51" s="103">
        <v>1.02</v>
      </c>
      <c r="P51" s="103">
        <f t="shared" si="5"/>
        <v>76.5</v>
      </c>
      <c r="Q51" s="2"/>
      <c r="R51" s="47"/>
      <c r="T51" s="12" t="s">
        <v>113</v>
      </c>
      <c r="U51" s="108" t="s">
        <v>358</v>
      </c>
      <c r="W51" s="192">
        <v>42347</v>
      </c>
      <c r="X51" s="53">
        <v>85.93</v>
      </c>
      <c r="Y51" s="53">
        <v>88.11</v>
      </c>
      <c r="Z51" s="53">
        <v>85.76</v>
      </c>
      <c r="AA51" s="53">
        <v>87.55</v>
      </c>
      <c r="AB51" s="115">
        <v>3031600</v>
      </c>
      <c r="AC51" s="53">
        <v>86.77</v>
      </c>
      <c r="AD51" s="2">
        <f t="shared" si="3"/>
        <v>2.3499999999999943</v>
      </c>
      <c r="AE51" s="165">
        <f t="shared" si="4"/>
        <v>1.4142122487143416E-2</v>
      </c>
    </row>
    <row r="52" spans="15:31" x14ac:dyDescent="0.25">
      <c r="O52" s="103">
        <v>1.01</v>
      </c>
      <c r="P52" s="103">
        <f t="shared" si="5"/>
        <v>75.75</v>
      </c>
      <c r="Q52" s="2"/>
      <c r="R52" s="47"/>
      <c r="T52" s="12" t="s">
        <v>114</v>
      </c>
      <c r="U52" s="108" t="s">
        <v>359</v>
      </c>
      <c r="W52" s="192">
        <v>42346</v>
      </c>
      <c r="X52" s="53">
        <v>87.9</v>
      </c>
      <c r="Y52" s="53">
        <v>89.78</v>
      </c>
      <c r="Z52" s="53">
        <v>85.44</v>
      </c>
      <c r="AA52" s="53">
        <v>86.32</v>
      </c>
      <c r="AB52" s="115">
        <v>4932300</v>
      </c>
      <c r="AC52" s="53">
        <v>85.56</v>
      </c>
      <c r="AD52" s="2">
        <f t="shared" si="3"/>
        <v>4.3400000000000034</v>
      </c>
      <c r="AE52" s="165">
        <f t="shared" si="4"/>
        <v>-5.6774335795391817E-2</v>
      </c>
    </row>
    <row r="53" spans="15:31" x14ac:dyDescent="0.25">
      <c r="O53" s="103">
        <v>1</v>
      </c>
      <c r="P53" s="103">
        <f t="shared" si="5"/>
        <v>75</v>
      </c>
      <c r="Q53" s="2"/>
      <c r="R53" s="47"/>
      <c r="T53" s="12" t="s">
        <v>115</v>
      </c>
      <c r="U53" s="110">
        <v>1437196</v>
      </c>
      <c r="W53" s="192">
        <v>42345</v>
      </c>
      <c r="X53" s="53">
        <v>93.79</v>
      </c>
      <c r="Y53" s="53">
        <v>94.35</v>
      </c>
      <c r="Z53" s="53">
        <v>91.36</v>
      </c>
      <c r="AA53" s="53">
        <v>91.52</v>
      </c>
      <c r="AB53" s="115">
        <v>2766900</v>
      </c>
      <c r="AC53" s="53">
        <v>90.71</v>
      </c>
      <c r="AD53" s="2">
        <f t="shared" si="3"/>
        <v>2.9899999999999949</v>
      </c>
      <c r="AE53" s="165">
        <f t="shared" si="4"/>
        <v>-5.8088557650153305E-3</v>
      </c>
    </row>
    <row r="54" spans="15:31" x14ac:dyDescent="0.25">
      <c r="O54" s="103">
        <v>0.99</v>
      </c>
      <c r="P54" s="103">
        <f t="shared" si="5"/>
        <v>74.25</v>
      </c>
      <c r="Q54" s="2"/>
      <c r="R54" s="47"/>
      <c r="T54" s="12" t="s">
        <v>118</v>
      </c>
      <c r="U54" s="110">
        <v>2030680</v>
      </c>
      <c r="W54" s="192">
        <v>42342</v>
      </c>
      <c r="X54" s="53">
        <v>88.97</v>
      </c>
      <c r="Y54" s="53">
        <v>92.5</v>
      </c>
      <c r="Z54" s="53">
        <v>86.59</v>
      </c>
      <c r="AA54" s="53">
        <v>92.06</v>
      </c>
      <c r="AB54" s="115">
        <v>5803100</v>
      </c>
      <c r="AC54" s="53">
        <v>91.24</v>
      </c>
      <c r="AD54" s="2">
        <f t="shared" si="3"/>
        <v>5.9099999999999966</v>
      </c>
      <c r="AE54" s="165">
        <f t="shared" si="4"/>
        <v>-1.1377180626286787E-2</v>
      </c>
    </row>
    <row r="55" spans="15:31" x14ac:dyDescent="0.25">
      <c r="O55" s="103">
        <v>0.98</v>
      </c>
      <c r="P55" s="103">
        <f t="shared" si="5"/>
        <v>73.5</v>
      </c>
      <c r="Q55" s="2"/>
      <c r="R55" s="47"/>
      <c r="T55" s="12" t="s">
        <v>116</v>
      </c>
      <c r="U55" s="108" t="s">
        <v>360</v>
      </c>
      <c r="W55" s="192">
        <v>42341</v>
      </c>
      <c r="X55" s="53">
        <v>92.02</v>
      </c>
      <c r="Y55" s="53">
        <v>93.99</v>
      </c>
      <c r="Z55" s="53">
        <v>91.86</v>
      </c>
      <c r="AA55" s="53">
        <v>93.11</v>
      </c>
      <c r="AB55" s="115">
        <v>2426400</v>
      </c>
      <c r="AC55" s="53">
        <v>92.29</v>
      </c>
      <c r="AD55" s="2">
        <f t="shared" si="3"/>
        <v>2.1299999999999955</v>
      </c>
      <c r="AE55" s="165">
        <f t="shared" si="4"/>
        <v>1.0511332530384498E-2</v>
      </c>
    </row>
    <row r="56" spans="15:31" x14ac:dyDescent="0.25">
      <c r="O56" s="103">
        <v>0.97</v>
      </c>
      <c r="P56" s="103">
        <f t="shared" si="5"/>
        <v>72.75</v>
      </c>
      <c r="T56" s="12" t="s">
        <v>119</v>
      </c>
      <c r="U56" s="108">
        <v>14.72</v>
      </c>
      <c r="W56" s="192">
        <v>42340</v>
      </c>
      <c r="X56" s="53">
        <v>94.46</v>
      </c>
      <c r="Y56" s="53">
        <v>94.69</v>
      </c>
      <c r="Z56" s="53">
        <v>91.83</v>
      </c>
      <c r="AA56" s="53">
        <v>92.15</v>
      </c>
      <c r="AB56" s="115">
        <v>2772900</v>
      </c>
      <c r="AC56" s="53">
        <v>91.33</v>
      </c>
      <c r="AD56" s="2">
        <f t="shared" si="3"/>
        <v>2.8599999999999994</v>
      </c>
      <c r="AE56" s="165">
        <f t="shared" si="4"/>
        <v>-2.8094072576354212E-2</v>
      </c>
    </row>
    <row r="57" spans="15:31" x14ac:dyDescent="0.25">
      <c r="O57" s="103">
        <v>0.96</v>
      </c>
      <c r="P57" s="103">
        <f t="shared" si="5"/>
        <v>72</v>
      </c>
      <c r="T57" s="12" t="s">
        <v>120</v>
      </c>
      <c r="U57" s="108">
        <v>5.0999999999999996</v>
      </c>
      <c r="W57" s="192">
        <v>42339</v>
      </c>
      <c r="X57" s="53">
        <v>95.2</v>
      </c>
      <c r="Y57" s="53">
        <v>95.88</v>
      </c>
      <c r="Z57" s="53">
        <v>94.15</v>
      </c>
      <c r="AA57" s="53">
        <v>94.81</v>
      </c>
      <c r="AB57" s="115">
        <v>1611000</v>
      </c>
      <c r="AC57" s="53">
        <v>93.97</v>
      </c>
      <c r="AD57" s="2">
        <f t="shared" si="3"/>
        <v>1.7299999999999898</v>
      </c>
      <c r="AE57" s="165">
        <f t="shared" si="4"/>
        <v>-2.65336446614306E-3</v>
      </c>
    </row>
    <row r="58" spans="15:31" x14ac:dyDescent="0.25">
      <c r="O58" s="103">
        <v>0.95</v>
      </c>
      <c r="P58" s="103">
        <f t="shared" si="5"/>
        <v>71.25</v>
      </c>
      <c r="T58" s="12" t="s">
        <v>117</v>
      </c>
      <c r="U58" s="108" t="s">
        <v>361</v>
      </c>
      <c r="W58" s="192">
        <v>42338</v>
      </c>
      <c r="X58" s="53">
        <v>95.38</v>
      </c>
      <c r="Y58" s="53">
        <v>95.93</v>
      </c>
      <c r="Z58" s="53">
        <v>94.02</v>
      </c>
      <c r="AA58" s="53">
        <v>95.06</v>
      </c>
      <c r="AB58" s="115">
        <v>3061900</v>
      </c>
      <c r="AC58" s="53">
        <v>94.22</v>
      </c>
      <c r="AD58" s="2">
        <f t="shared" si="3"/>
        <v>1.9100000000000108</v>
      </c>
      <c r="AE58" s="165">
        <f t="shared" si="4"/>
        <v>-3.3848106621536811E-3</v>
      </c>
    </row>
    <row r="59" spans="15:31" x14ac:dyDescent="0.25">
      <c r="O59" s="103">
        <v>0.94</v>
      </c>
      <c r="P59" s="103">
        <f t="shared" si="5"/>
        <v>70.5</v>
      </c>
      <c r="W59" s="192">
        <v>42335</v>
      </c>
      <c r="X59" s="53">
        <v>95.69</v>
      </c>
      <c r="Y59" s="53">
        <v>95.84</v>
      </c>
      <c r="Z59" s="53">
        <v>94.96</v>
      </c>
      <c r="AA59" s="53">
        <v>95.38</v>
      </c>
      <c r="AB59" s="115">
        <v>638100</v>
      </c>
      <c r="AC59" s="53">
        <v>94.54</v>
      </c>
      <c r="AD59" s="2">
        <f t="shared" si="3"/>
        <v>0.88000000000000966</v>
      </c>
      <c r="AE59" s="165">
        <f t="shared" si="4"/>
        <v>-1.0576414595442341E-4</v>
      </c>
    </row>
    <row r="60" spans="15:31" x14ac:dyDescent="0.25">
      <c r="O60" s="103">
        <v>0.93</v>
      </c>
      <c r="P60" s="103">
        <f t="shared" si="5"/>
        <v>69.75</v>
      </c>
      <c r="W60" s="192">
        <v>42333</v>
      </c>
      <c r="X60" s="53">
        <v>94.69</v>
      </c>
      <c r="Y60" s="53">
        <v>96.17</v>
      </c>
      <c r="Z60" s="53">
        <v>94.14</v>
      </c>
      <c r="AA60" s="53">
        <v>95.4</v>
      </c>
      <c r="AB60" s="115">
        <v>1646700</v>
      </c>
      <c r="AC60" s="53">
        <v>94.55</v>
      </c>
      <c r="AD60" s="2">
        <f t="shared" si="3"/>
        <v>2.0300000000000011</v>
      </c>
      <c r="AE60" s="165">
        <f t="shared" si="4"/>
        <v>8.963824565147771E-3</v>
      </c>
    </row>
    <row r="61" spans="15:31" x14ac:dyDescent="0.25">
      <c r="O61" s="103">
        <v>0.92</v>
      </c>
      <c r="P61" s="103">
        <f t="shared" si="5"/>
        <v>69</v>
      </c>
      <c r="W61" s="192">
        <v>42332</v>
      </c>
      <c r="X61" s="53">
        <v>94.37</v>
      </c>
      <c r="Y61" s="53">
        <v>96.17</v>
      </c>
      <c r="Z61" s="53">
        <v>94.25</v>
      </c>
      <c r="AA61" s="53">
        <v>94.55</v>
      </c>
      <c r="AB61" s="115">
        <v>1836700</v>
      </c>
      <c r="AC61" s="53">
        <v>93.71</v>
      </c>
      <c r="AD61" s="2">
        <f t="shared" si="3"/>
        <v>1.9200000000000017</v>
      </c>
      <c r="AE61" s="165">
        <f t="shared" si="4"/>
        <v>-1.0558547143913022E-2</v>
      </c>
    </row>
    <row r="62" spans="15:31" x14ac:dyDescent="0.25">
      <c r="O62" s="103">
        <v>0.91</v>
      </c>
      <c r="P62" s="103">
        <f t="shared" si="5"/>
        <v>68.25</v>
      </c>
      <c r="W62" s="192">
        <v>42331</v>
      </c>
      <c r="X62" s="53">
        <v>97.4</v>
      </c>
      <c r="Y62" s="53">
        <v>98.14</v>
      </c>
      <c r="Z62" s="53">
        <v>94.93</v>
      </c>
      <c r="AA62" s="53">
        <v>95.56</v>
      </c>
      <c r="AB62" s="115">
        <v>3031200</v>
      </c>
      <c r="AC62" s="53">
        <v>94.71</v>
      </c>
      <c r="AD62" s="2">
        <f t="shared" si="3"/>
        <v>3.2099999999999937</v>
      </c>
      <c r="AE62" s="165">
        <f t="shared" si="4"/>
        <v>-2.0579110651499533E-2</v>
      </c>
    </row>
    <row r="63" spans="15:31" x14ac:dyDescent="0.25">
      <c r="O63" s="103">
        <v>0.9</v>
      </c>
      <c r="P63" s="103">
        <f t="shared" si="5"/>
        <v>67.5</v>
      </c>
      <c r="W63" s="192">
        <v>42328</v>
      </c>
      <c r="X63" s="53">
        <v>96.56</v>
      </c>
      <c r="Y63" s="53">
        <v>98.75</v>
      </c>
      <c r="Z63" s="53">
        <v>95.06</v>
      </c>
      <c r="AA63" s="53">
        <v>97.56</v>
      </c>
      <c r="AB63" s="115">
        <v>4150500</v>
      </c>
      <c r="AC63" s="53">
        <v>96.7</v>
      </c>
      <c r="AD63" s="2">
        <f t="shared" si="3"/>
        <v>3.6899999999999977</v>
      </c>
      <c r="AE63" s="165">
        <f t="shared" si="4"/>
        <v>7.3966038128971956E-3</v>
      </c>
    </row>
    <row r="64" spans="15:31" x14ac:dyDescent="0.25">
      <c r="W64" s="192">
        <v>42327</v>
      </c>
      <c r="X64" s="53">
        <v>92</v>
      </c>
      <c r="Y64" s="53">
        <v>97.9</v>
      </c>
      <c r="Z64" s="53">
        <v>90.87</v>
      </c>
      <c r="AA64" s="53">
        <v>96.85</v>
      </c>
      <c r="AB64" s="115">
        <v>5417500</v>
      </c>
      <c r="AC64" s="53">
        <v>95.99</v>
      </c>
      <c r="AD64" s="2">
        <f t="shared" si="3"/>
        <v>7.0300000000000011</v>
      </c>
      <c r="AE64" s="165">
        <f t="shared" si="4"/>
        <v>4.7125559070579248E-2</v>
      </c>
    </row>
    <row r="65" spans="23:31" x14ac:dyDescent="0.25">
      <c r="W65" s="192">
        <v>42326</v>
      </c>
      <c r="X65" s="53">
        <v>90.69</v>
      </c>
      <c r="Y65" s="53">
        <v>93.69</v>
      </c>
      <c r="Z65" s="53">
        <v>90.45</v>
      </c>
      <c r="AA65" s="53">
        <v>92.49</v>
      </c>
      <c r="AB65" s="115">
        <v>8541200</v>
      </c>
      <c r="AC65" s="53">
        <v>91.67</v>
      </c>
      <c r="AD65" s="2">
        <f t="shared" si="3"/>
        <v>3.2399999999999949</v>
      </c>
      <c r="AE65" s="165">
        <f t="shared" si="4"/>
        <v>6.3457076566125314E-2</v>
      </c>
    </row>
    <row r="66" spans="23:31" x14ac:dyDescent="0.25">
      <c r="W66" s="192">
        <v>42325</v>
      </c>
      <c r="X66" s="53">
        <v>88.23</v>
      </c>
      <c r="Y66" s="53">
        <v>88.23</v>
      </c>
      <c r="Z66" s="53">
        <v>84.11</v>
      </c>
      <c r="AA66" s="53">
        <v>86.97</v>
      </c>
      <c r="AB66" s="115">
        <v>2988300</v>
      </c>
      <c r="AC66" s="53">
        <v>86.2</v>
      </c>
      <c r="AD66" s="2">
        <f t="shared" si="3"/>
        <v>4.1200000000000045</v>
      </c>
      <c r="AE66" s="165">
        <f t="shared" si="4"/>
        <v>-1.5082266910420361E-2</v>
      </c>
    </row>
    <row r="67" spans="23:31" x14ac:dyDescent="0.25">
      <c r="W67" s="192">
        <v>42324</v>
      </c>
      <c r="X67" s="53">
        <v>88.81</v>
      </c>
      <c r="Y67" s="53">
        <v>89.65</v>
      </c>
      <c r="Z67" s="53">
        <v>86.92</v>
      </c>
      <c r="AA67" s="53">
        <v>88.3</v>
      </c>
      <c r="AB67" s="115">
        <v>2376000</v>
      </c>
      <c r="AC67" s="53">
        <v>87.52</v>
      </c>
      <c r="AD67" s="2">
        <f t="shared" ref="AD67:AD68" si="6">Y67-Z67</f>
        <v>2.730000000000004</v>
      </c>
      <c r="AE67" s="165">
        <f t="shared" ref="AE67" si="7">AC67/AC68-1</f>
        <v>-7.3721220369741269E-3</v>
      </c>
    </row>
    <row r="68" spans="23:31" x14ac:dyDescent="0.25">
      <c r="W68" s="192">
        <v>42321</v>
      </c>
      <c r="X68" s="53">
        <v>88.48</v>
      </c>
      <c r="Y68" s="53">
        <v>89.79</v>
      </c>
      <c r="Z68" s="53">
        <v>88.3</v>
      </c>
      <c r="AA68" s="53">
        <v>88.96</v>
      </c>
      <c r="AB68" s="115">
        <v>1860000</v>
      </c>
      <c r="AC68" s="53">
        <v>88.17</v>
      </c>
      <c r="AD68" s="2">
        <f t="shared" si="6"/>
        <v>1.4900000000000091</v>
      </c>
      <c r="AE68" s="165" t="e">
        <f>AC68/AC69-1</f>
        <v>#DIV/0!</v>
      </c>
    </row>
    <row r="69" spans="23:31" x14ac:dyDescent="0.25">
      <c r="W69" s="192" t="s">
        <v>130</v>
      </c>
      <c r="X69" s="53"/>
      <c r="Y69" s="53"/>
      <c r="Z69" s="53"/>
      <c r="AA69" s="53"/>
      <c r="AB69" s="115"/>
      <c r="AC69" s="53"/>
      <c r="AD69" s="2">
        <f>Y69-Z69</f>
        <v>0</v>
      </c>
      <c r="AE69" s="165" t="e">
        <f>AC69/AC70-1</f>
        <v>#DIV/0!</v>
      </c>
    </row>
  </sheetData>
  <conditionalFormatting sqref="Q7">
    <cfRule type="expression" dxfId="175" priority="32">
      <formula>Q7&gt;0</formula>
    </cfRule>
    <cfRule type="expression" dxfId="17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3" priority="21">
      <formula>F20&gt;0</formula>
    </cfRule>
    <cfRule type="expression" dxfId="172" priority="22">
      <formula>F20&lt;0</formula>
    </cfRule>
  </conditionalFormatting>
  <conditionalFormatting sqref="H17:H23">
    <cfRule type="expression" dxfId="171" priority="15">
      <formula>H17&gt;0</formula>
    </cfRule>
    <cfRule type="expression" dxfId="170" priority="16">
      <formula>H17&lt;0</formula>
    </cfRule>
  </conditionalFormatting>
  <conditionalFormatting sqref="F17:F19">
    <cfRule type="expression" dxfId="169" priority="1">
      <formula>F17&gt;0</formula>
    </cfRule>
    <cfRule type="expression" dxfId="16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125</v>
      </c>
      <c r="T2" s="1">
        <v>42236</v>
      </c>
      <c r="U2" t="s">
        <v>183</v>
      </c>
      <c r="W2" s="160">
        <v>42419</v>
      </c>
      <c r="X2" s="12">
        <v>19.670000000000002</v>
      </c>
      <c r="Y2" s="12">
        <v>19.989999999999998</v>
      </c>
      <c r="Z2" s="12">
        <v>18.71</v>
      </c>
      <c r="AA2" s="12">
        <v>18.82</v>
      </c>
      <c r="AB2" s="115">
        <v>4684900</v>
      </c>
      <c r="AC2" s="12">
        <v>18.82</v>
      </c>
      <c r="AD2" s="2">
        <f>Y2-Z2</f>
        <v>1.2799999999999976</v>
      </c>
      <c r="AE2" s="165">
        <f>AC2/AC3-1</f>
        <v>-6.1346633416458851E-2</v>
      </c>
      <c r="AP2" t="s">
        <v>209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100">
        <f>IF(Q2=0, Q4, (F18-K18)/Q2)</f>
        <v>31.62479999999999</v>
      </c>
      <c r="W3" s="160">
        <v>42418</v>
      </c>
      <c r="X3" s="12">
        <v>21.95</v>
      </c>
      <c r="Y3" s="12">
        <v>22</v>
      </c>
      <c r="Z3" s="12">
        <v>19.41</v>
      </c>
      <c r="AA3" s="12">
        <v>20.05</v>
      </c>
      <c r="AB3" s="115">
        <v>9795200</v>
      </c>
      <c r="AC3" s="12">
        <v>20.05</v>
      </c>
      <c r="AD3" s="2">
        <f t="shared" ref="AD3:AD66" si="2">Y3-Z3</f>
        <v>2.59</v>
      </c>
      <c r="AE3" s="165">
        <f t="shared" ref="AE3:AE66" si="3">AC3/AC4-1</f>
        <v>-3.5594035594035511E-2</v>
      </c>
      <c r="AI3" t="s">
        <v>222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18.82</v>
      </c>
      <c r="T4" s="1">
        <v>42306</v>
      </c>
      <c r="U4" t="s">
        <v>82</v>
      </c>
      <c r="W4" s="160">
        <v>42417</v>
      </c>
      <c r="X4" s="12">
        <v>18.989999999999998</v>
      </c>
      <c r="Y4" s="12">
        <v>22.75</v>
      </c>
      <c r="Z4" s="12">
        <v>18.75</v>
      </c>
      <c r="AA4" s="12">
        <v>20.79</v>
      </c>
      <c r="AB4" s="115">
        <v>12716700</v>
      </c>
      <c r="AC4" s="12">
        <v>20.79</v>
      </c>
      <c r="AD4" s="2">
        <f t="shared" si="2"/>
        <v>4</v>
      </c>
      <c r="AE4" s="165">
        <f t="shared" si="3"/>
        <v>0.13173652694610771</v>
      </c>
      <c r="AI4" t="s">
        <v>223</v>
      </c>
      <c r="AJ4">
        <v>-150</v>
      </c>
      <c r="AK4" t="s">
        <v>213</v>
      </c>
      <c r="AL4" t="s">
        <v>213</v>
      </c>
      <c r="AO4" s="309">
        <v>-4582.42</v>
      </c>
      <c r="AP4" t="s">
        <v>213</v>
      </c>
      <c r="AQ4" t="s">
        <v>213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2352.5</v>
      </c>
      <c r="W5" s="160">
        <v>42416</v>
      </c>
      <c r="X5" s="12">
        <v>18.670000000000002</v>
      </c>
      <c r="Y5" s="12">
        <v>19.12</v>
      </c>
      <c r="Z5" s="12">
        <v>17.96</v>
      </c>
      <c r="AA5" s="12">
        <v>18.37</v>
      </c>
      <c r="AB5" s="115">
        <v>6278900</v>
      </c>
      <c r="AC5" s="12">
        <v>18.37</v>
      </c>
      <c r="AD5" s="2">
        <f t="shared" si="2"/>
        <v>1.1600000000000001</v>
      </c>
      <c r="AE5" s="165">
        <f t="shared" si="3"/>
        <v>5.6962025316455778E-2</v>
      </c>
      <c r="AI5" t="s">
        <v>262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3953.0999999999985</v>
      </c>
      <c r="W6" s="160">
        <v>42412</v>
      </c>
      <c r="X6" s="12">
        <v>17.3</v>
      </c>
      <c r="Y6" s="12">
        <v>18.239999999999998</v>
      </c>
      <c r="Z6" s="12">
        <v>16.899999999999999</v>
      </c>
      <c r="AA6" s="12">
        <v>17.38</v>
      </c>
      <c r="AB6" s="115">
        <v>7311500</v>
      </c>
      <c r="AC6" s="12">
        <v>17.38</v>
      </c>
      <c r="AD6" s="2">
        <f t="shared" si="2"/>
        <v>1.3399999999999999</v>
      </c>
      <c r="AE6" s="165">
        <f t="shared" si="3"/>
        <v>4.2591481703659007E-2</v>
      </c>
      <c r="AI6" t="s">
        <v>215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-1600.5999999999985</v>
      </c>
      <c r="R7" s="200"/>
      <c r="W7" s="160">
        <v>42411</v>
      </c>
      <c r="X7" s="12">
        <v>18.690000000000001</v>
      </c>
      <c r="Y7" s="12">
        <v>19.43</v>
      </c>
      <c r="Z7" s="12">
        <v>16.309999999999999</v>
      </c>
      <c r="AA7" s="12">
        <v>16.670000000000002</v>
      </c>
      <c r="AB7" s="115">
        <v>14649400</v>
      </c>
      <c r="AC7" s="12">
        <v>16.670000000000002</v>
      </c>
      <c r="AD7" s="2">
        <f t="shared" si="2"/>
        <v>3.120000000000001</v>
      </c>
      <c r="AE7" s="165">
        <f t="shared" si="3"/>
        <v>-0.10520665593129352</v>
      </c>
      <c r="AI7" t="s">
        <v>263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-0.40489742227618813</v>
      </c>
      <c r="W8" s="160">
        <v>42410</v>
      </c>
      <c r="X8" s="12">
        <v>19.420000000000002</v>
      </c>
      <c r="Y8" s="12">
        <v>21.95</v>
      </c>
      <c r="Z8" s="12">
        <v>18.260000000000002</v>
      </c>
      <c r="AA8" s="12">
        <v>18.63</v>
      </c>
      <c r="AB8" s="115">
        <v>33007300</v>
      </c>
      <c r="AC8" s="12">
        <v>18.63</v>
      </c>
      <c r="AD8" s="2">
        <f t="shared" si="2"/>
        <v>3.6899999999999977</v>
      </c>
      <c r="AE8" s="165">
        <f t="shared" si="3"/>
        <v>-0.29297912713472496</v>
      </c>
      <c r="AI8" t="s">
        <v>214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42409</v>
      </c>
      <c r="X9" s="12">
        <v>27.05</v>
      </c>
      <c r="Y9" s="12">
        <v>28.22</v>
      </c>
      <c r="Z9" s="12">
        <v>25.35</v>
      </c>
      <c r="AA9" s="12">
        <v>26.35</v>
      </c>
      <c r="AB9" s="115">
        <v>6060100</v>
      </c>
      <c r="AC9" s="12">
        <v>26.35</v>
      </c>
      <c r="AD9" s="2">
        <f t="shared" si="2"/>
        <v>2.8699999999999974</v>
      </c>
      <c r="AE9" s="165">
        <f t="shared" si="3"/>
        <v>-5.6907659269863964E-2</v>
      </c>
      <c r="AI9" t="s">
        <v>212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42408</v>
      </c>
      <c r="X10" s="12">
        <v>29.1</v>
      </c>
      <c r="Y10" s="12">
        <v>30.4</v>
      </c>
      <c r="Z10" s="12">
        <v>26.56</v>
      </c>
      <c r="AA10" s="12">
        <v>27.94</v>
      </c>
      <c r="AB10" s="115">
        <v>4018100</v>
      </c>
      <c r="AC10" s="12">
        <v>27.94</v>
      </c>
      <c r="AD10" s="2">
        <f t="shared" si="2"/>
        <v>3.84</v>
      </c>
      <c r="AE10" s="165">
        <f t="shared" si="3"/>
        <v>-5.5123435914778418E-2</v>
      </c>
      <c r="AI10" t="s">
        <v>214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42405</v>
      </c>
      <c r="X11" s="12">
        <v>29.22</v>
      </c>
      <c r="Y11" s="12">
        <v>30.61</v>
      </c>
      <c r="Z11" s="12">
        <v>28.4</v>
      </c>
      <c r="AA11" s="12">
        <v>29.57</v>
      </c>
      <c r="AB11" s="115">
        <v>3839100</v>
      </c>
      <c r="AC11" s="12">
        <v>29.57</v>
      </c>
      <c r="AD11" s="2">
        <f t="shared" si="2"/>
        <v>2.2100000000000009</v>
      </c>
      <c r="AE11" s="165">
        <f t="shared" si="3"/>
        <v>2.7127839945744192E-3</v>
      </c>
      <c r="AI11" t="s">
        <v>212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1"/>
      <c r="W12" s="160">
        <v>42404</v>
      </c>
      <c r="X12" s="12">
        <v>31.42</v>
      </c>
      <c r="Y12" s="12">
        <v>32.049999999999997</v>
      </c>
      <c r="Z12" s="12">
        <v>28.56</v>
      </c>
      <c r="AA12" s="12">
        <v>29.49</v>
      </c>
      <c r="AB12" s="115">
        <v>5217900</v>
      </c>
      <c r="AC12" s="12">
        <v>29.49</v>
      </c>
      <c r="AD12" s="2">
        <f t="shared" si="2"/>
        <v>3.4899999999999984</v>
      </c>
      <c r="AE12" s="165">
        <f t="shared" si="3"/>
        <v>-5.9630102040816313E-2</v>
      </c>
      <c r="AI12" t="s">
        <v>214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1"/>
      <c r="W13" s="160">
        <v>42403</v>
      </c>
      <c r="X13" s="12">
        <v>32.340000000000003</v>
      </c>
      <c r="Y13" s="12">
        <v>33.090000000000003</v>
      </c>
      <c r="Z13" s="12">
        <v>30.23</v>
      </c>
      <c r="AA13" s="12">
        <v>31.36</v>
      </c>
      <c r="AB13" s="115">
        <v>3213000</v>
      </c>
      <c r="AC13" s="12">
        <v>31.36</v>
      </c>
      <c r="AD13" s="2">
        <f t="shared" si="2"/>
        <v>2.860000000000003</v>
      </c>
      <c r="AE13" s="165">
        <f t="shared" si="3"/>
        <v>-2.122347066167285E-2</v>
      </c>
      <c r="AI13" t="s">
        <v>212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0">
        <v>42402</v>
      </c>
      <c r="X14" s="12">
        <v>33.56</v>
      </c>
      <c r="Y14" s="12">
        <v>33.58</v>
      </c>
      <c r="Z14" s="12">
        <v>30.3</v>
      </c>
      <c r="AA14" s="12">
        <v>32.04</v>
      </c>
      <c r="AB14" s="115">
        <v>3231600</v>
      </c>
      <c r="AC14" s="12">
        <v>32.04</v>
      </c>
      <c r="AD14" s="2">
        <f t="shared" si="2"/>
        <v>3.2799999999999976</v>
      </c>
      <c r="AE14" s="165">
        <f t="shared" si="3"/>
        <v>-5.0947867298578142E-2</v>
      </c>
      <c r="AI14" t="s">
        <v>264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0">
        <v>42401</v>
      </c>
      <c r="X15" s="12">
        <v>35.200000000000003</v>
      </c>
      <c r="Y15" s="12">
        <v>35.85</v>
      </c>
      <c r="Z15" s="12">
        <v>33.659999999999997</v>
      </c>
      <c r="AA15" s="12">
        <v>33.76</v>
      </c>
      <c r="AB15" s="115">
        <v>2150100</v>
      </c>
      <c r="AC15" s="12">
        <v>33.76</v>
      </c>
      <c r="AD15" s="2">
        <f t="shared" si="2"/>
        <v>2.1900000000000048</v>
      </c>
      <c r="AE15" s="165">
        <f t="shared" si="3"/>
        <v>-5.3015427769986023E-2</v>
      </c>
      <c r="AI15" t="s">
        <v>212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>C16*D16+E16</f>
        <v>664.75</v>
      </c>
      <c r="W16" s="160">
        <v>42398</v>
      </c>
      <c r="X16" s="12">
        <v>36.5</v>
      </c>
      <c r="Y16" s="12">
        <v>37.1</v>
      </c>
      <c r="Z16" s="12">
        <v>34.75</v>
      </c>
      <c r="AA16" s="12">
        <v>35.65</v>
      </c>
      <c r="AB16" s="115">
        <v>3251800</v>
      </c>
      <c r="AC16" s="12">
        <v>35.65</v>
      </c>
      <c r="AD16" s="2">
        <f t="shared" si="2"/>
        <v>2.3500000000000014</v>
      </c>
      <c r="AE16" s="165">
        <f t="shared" si="3"/>
        <v>8.422234699607678E-4</v>
      </c>
      <c r="AI16" t="s">
        <v>264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C17" s="7"/>
      <c r="W17" s="160">
        <v>42397</v>
      </c>
      <c r="X17" s="12">
        <v>34.29</v>
      </c>
      <c r="Y17" s="12">
        <v>38.4</v>
      </c>
      <c r="Z17" s="12">
        <v>33.58</v>
      </c>
      <c r="AA17" s="12">
        <v>35.619999999999997</v>
      </c>
      <c r="AB17" s="115">
        <v>6057800</v>
      </c>
      <c r="AC17" s="12">
        <v>35.619999999999997</v>
      </c>
      <c r="AD17" s="2">
        <f t="shared" si="2"/>
        <v>4.82</v>
      </c>
      <c r="AE17" s="165">
        <f t="shared" si="3"/>
        <v>8.465286236297187E-2</v>
      </c>
      <c r="AI17" t="s">
        <v>212</v>
      </c>
    </row>
    <row r="18" spans="1:43" x14ac:dyDescent="0.25">
      <c r="A18" s="45" t="s">
        <v>81</v>
      </c>
      <c r="B18" s="16"/>
      <c r="C18" s="16">
        <f>SUM(C2:C17)</f>
        <v>1060</v>
      </c>
      <c r="D18" s="21"/>
      <c r="E18" s="21"/>
      <c r="F18" s="21">
        <f>SUM(F2:F17)</f>
        <v>37081.5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0">
        <v>42396</v>
      </c>
      <c r="X18" s="12">
        <v>33.43</v>
      </c>
      <c r="Y18" s="12">
        <v>34.74</v>
      </c>
      <c r="Z18" s="12">
        <v>32.700000000000003</v>
      </c>
      <c r="AA18" s="12">
        <v>32.840000000000003</v>
      </c>
      <c r="AB18" s="115">
        <v>2071400</v>
      </c>
      <c r="AC18" s="12">
        <v>32.840000000000003</v>
      </c>
      <c r="AD18" s="2">
        <f t="shared" si="2"/>
        <v>2.0399999999999991</v>
      </c>
      <c r="AE18" s="165">
        <f t="shared" si="3"/>
        <v>-4.088785046728971E-2</v>
      </c>
      <c r="AI18" t="s">
        <v>235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42395</v>
      </c>
      <c r="X19" s="12">
        <v>31.03</v>
      </c>
      <c r="Y19" s="12">
        <v>35.08</v>
      </c>
      <c r="Z19" s="12">
        <v>30.05</v>
      </c>
      <c r="AA19" s="12">
        <v>34.24</v>
      </c>
      <c r="AB19" s="115">
        <v>4296900</v>
      </c>
      <c r="AC19" s="12">
        <v>34.24</v>
      </c>
      <c r="AD19" s="2">
        <f t="shared" si="2"/>
        <v>5.0299999999999976</v>
      </c>
      <c r="AE19" s="165">
        <f t="shared" si="3"/>
        <v>0.11822338340953631</v>
      </c>
      <c r="AI19" t="s">
        <v>212</v>
      </c>
    </row>
    <row r="20" spans="1:43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50" t="s">
        <v>65</v>
      </c>
      <c r="G20" s="294" t="s">
        <v>195</v>
      </c>
      <c r="H20" s="250" t="s">
        <v>92</v>
      </c>
      <c r="I20" s="294" t="s">
        <v>203</v>
      </c>
      <c r="W20" s="160">
        <v>42394</v>
      </c>
      <c r="X20" s="12">
        <v>32.06</v>
      </c>
      <c r="Y20" s="12">
        <v>32.1</v>
      </c>
      <c r="Z20" s="12">
        <v>30.14</v>
      </c>
      <c r="AA20" s="12">
        <v>30.62</v>
      </c>
      <c r="AB20" s="115">
        <v>2613200</v>
      </c>
      <c r="AC20" s="12">
        <v>30.62</v>
      </c>
      <c r="AD20" s="2">
        <f t="shared" si="2"/>
        <v>1.9600000000000009</v>
      </c>
      <c r="AE20" s="165">
        <f t="shared" si="3"/>
        <v>-4.4319600499375778E-2</v>
      </c>
      <c r="AI20" t="s">
        <v>236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8">
        <v>42304</v>
      </c>
      <c r="C21" s="12">
        <v>400</v>
      </c>
      <c r="D21" s="53">
        <v>40.69</v>
      </c>
      <c r="E21" s="53">
        <v>37.96</v>
      </c>
      <c r="F21" s="53">
        <f>C21*(E21-D21)</f>
        <v>-1091.9999999999986</v>
      </c>
      <c r="G21" s="53">
        <f>D21*C21</f>
        <v>16276</v>
      </c>
      <c r="H21" s="304">
        <f>(E21-D21)/D21</f>
        <v>-6.7092651757188426E-2</v>
      </c>
      <c r="I21" s="53"/>
      <c r="W21" s="160">
        <v>42391</v>
      </c>
      <c r="X21" s="12">
        <v>33.47</v>
      </c>
      <c r="Y21" s="12">
        <v>34.31</v>
      </c>
      <c r="Z21" s="12">
        <v>31.32</v>
      </c>
      <c r="AA21" s="12">
        <v>32.04</v>
      </c>
      <c r="AB21" s="115">
        <v>3417600</v>
      </c>
      <c r="AC21" s="12">
        <v>32.04</v>
      </c>
      <c r="AD21" s="2">
        <f t="shared" si="2"/>
        <v>2.990000000000002</v>
      </c>
      <c r="AE21" s="165">
        <f t="shared" si="3"/>
        <v>8.4985835694051381E-3</v>
      </c>
      <c r="AI21" t="s">
        <v>212</v>
      </c>
    </row>
    <row r="22" spans="1:43" x14ac:dyDescent="0.25">
      <c r="B22" s="248">
        <v>42306</v>
      </c>
      <c r="C22" s="12">
        <v>550</v>
      </c>
      <c r="D22" s="53">
        <v>37.92</v>
      </c>
      <c r="E22" s="53">
        <v>38.07</v>
      </c>
      <c r="F22" s="53">
        <f t="shared" ref="F22:F36" si="4">C22*(E22-D22)</f>
        <v>82.499999999999218</v>
      </c>
      <c r="G22" s="53">
        <f t="shared" ref="G22:G36" si="5">D22*C22</f>
        <v>20856</v>
      </c>
      <c r="H22" s="304">
        <f t="shared" ref="H22:H36" si="6">(E22-D22)/D22</f>
        <v>3.9556962025316077E-3</v>
      </c>
      <c r="I22" s="53"/>
      <c r="W22" s="160">
        <v>42390</v>
      </c>
      <c r="X22" s="12">
        <v>33.07</v>
      </c>
      <c r="Y22" s="12">
        <v>35.51</v>
      </c>
      <c r="Z22" s="12">
        <v>30.88</v>
      </c>
      <c r="AA22" s="12">
        <v>31.77</v>
      </c>
      <c r="AB22" s="115">
        <v>5215600</v>
      </c>
      <c r="AC22" s="12">
        <v>31.77</v>
      </c>
      <c r="AD22" s="2">
        <f t="shared" si="2"/>
        <v>4.629999999999999</v>
      </c>
      <c r="AE22" s="165">
        <f t="shared" si="3"/>
        <v>-6.0615020697811994E-2</v>
      </c>
      <c r="AI22" t="s">
        <v>236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8">
        <v>42309</v>
      </c>
      <c r="C23" s="12">
        <v>550</v>
      </c>
      <c r="D23" s="53">
        <v>37.92</v>
      </c>
      <c r="E23" s="53">
        <v>29.65</v>
      </c>
      <c r="F23" s="53">
        <f t="shared" si="4"/>
        <v>-4548.5000000000018</v>
      </c>
      <c r="G23" s="53">
        <f t="shared" si="5"/>
        <v>20856</v>
      </c>
      <c r="H23" s="304">
        <f t="shared" si="6"/>
        <v>-0.21809071729957813</v>
      </c>
      <c r="I23" s="53"/>
      <c r="W23" s="160">
        <v>42389</v>
      </c>
      <c r="X23" s="12">
        <v>30.01</v>
      </c>
      <c r="Y23" s="12">
        <v>34.880000000000003</v>
      </c>
      <c r="Z23" s="12">
        <v>27.5</v>
      </c>
      <c r="AA23" s="12">
        <v>33.82</v>
      </c>
      <c r="AB23" s="115">
        <v>6385700</v>
      </c>
      <c r="AC23" s="12">
        <v>33.82</v>
      </c>
      <c r="AD23" s="2">
        <f t="shared" si="2"/>
        <v>7.3800000000000026</v>
      </c>
      <c r="AE23" s="165">
        <f t="shared" si="3"/>
        <v>8.7809585075587115E-2</v>
      </c>
      <c r="AI23" t="s">
        <v>212</v>
      </c>
    </row>
    <row r="24" spans="1:43" x14ac:dyDescent="0.25">
      <c r="B24" s="248">
        <v>42311</v>
      </c>
      <c r="C24" s="12">
        <v>550</v>
      </c>
      <c r="D24" s="53">
        <v>37.69</v>
      </c>
      <c r="E24" s="53">
        <v>30.17</v>
      </c>
      <c r="F24" s="53">
        <f t="shared" si="4"/>
        <v>-4135.9999999999982</v>
      </c>
      <c r="G24" s="53">
        <f t="shared" si="5"/>
        <v>20729.5</v>
      </c>
      <c r="H24" s="304">
        <f t="shared" si="6"/>
        <v>-0.199522419739984</v>
      </c>
      <c r="I24" s="53"/>
      <c r="W24" s="160">
        <v>42388</v>
      </c>
      <c r="X24" s="12">
        <v>35.270000000000003</v>
      </c>
      <c r="Y24" s="12">
        <v>35.49</v>
      </c>
      <c r="Z24" s="12">
        <v>30.31</v>
      </c>
      <c r="AA24" s="12">
        <v>31.09</v>
      </c>
      <c r="AB24" s="115">
        <v>5345600</v>
      </c>
      <c r="AC24" s="12">
        <v>31.09</v>
      </c>
      <c r="AD24" s="2">
        <f t="shared" si="2"/>
        <v>5.1800000000000033</v>
      </c>
      <c r="AE24" s="165">
        <f t="shared" si="3"/>
        <v>-0.11676136363636369</v>
      </c>
      <c r="AI24" t="s">
        <v>265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8">
        <v>42312</v>
      </c>
      <c r="C25" s="12">
        <v>550</v>
      </c>
      <c r="D25" s="53">
        <v>37.46</v>
      </c>
      <c r="E25" s="53">
        <v>29.8</v>
      </c>
      <c r="F25" s="53">
        <f t="shared" si="4"/>
        <v>-4213</v>
      </c>
      <c r="G25" s="53">
        <f t="shared" si="5"/>
        <v>20603</v>
      </c>
      <c r="H25" s="304">
        <f t="shared" si="6"/>
        <v>-0.20448478376935397</v>
      </c>
      <c r="I25" s="53"/>
      <c r="W25" s="160">
        <v>42384</v>
      </c>
      <c r="X25" s="12">
        <v>35</v>
      </c>
      <c r="Y25" s="12">
        <v>37.450000000000003</v>
      </c>
      <c r="Z25" s="12">
        <v>33.89</v>
      </c>
      <c r="AA25" s="12">
        <v>35.200000000000003</v>
      </c>
      <c r="AB25" s="115">
        <v>4495100</v>
      </c>
      <c r="AC25" s="12">
        <v>35.200000000000003</v>
      </c>
      <c r="AD25" s="2">
        <f t="shared" si="2"/>
        <v>3.5600000000000023</v>
      </c>
      <c r="AE25" s="165">
        <f t="shared" si="3"/>
        <v>-5.1724137931034364E-2</v>
      </c>
      <c r="AI25" t="s">
        <v>212</v>
      </c>
    </row>
    <row r="26" spans="1:43" x14ac:dyDescent="0.25">
      <c r="B26" s="248">
        <v>42335</v>
      </c>
      <c r="C26" s="12">
        <v>550</v>
      </c>
      <c r="D26" s="53">
        <v>37.369999999999997</v>
      </c>
      <c r="E26" s="53">
        <v>29.87</v>
      </c>
      <c r="F26" s="53">
        <f t="shared" si="4"/>
        <v>-4124.9999999999982</v>
      </c>
      <c r="G26" s="53">
        <f t="shared" si="5"/>
        <v>20553.5</v>
      </c>
      <c r="H26" s="304">
        <f t="shared" si="6"/>
        <v>-0.20069574525020062</v>
      </c>
      <c r="I26" s="53">
        <v>36.99</v>
      </c>
      <c r="W26" s="160">
        <v>42383</v>
      </c>
      <c r="X26" s="12">
        <v>40.68</v>
      </c>
      <c r="Y26" s="12">
        <v>41</v>
      </c>
      <c r="Z26" s="12">
        <v>36.15</v>
      </c>
      <c r="AA26" s="12">
        <v>37.119999999999997</v>
      </c>
      <c r="AB26" s="115">
        <v>7022000</v>
      </c>
      <c r="AC26" s="12">
        <v>37.119999999999997</v>
      </c>
      <c r="AD26" s="2">
        <f t="shared" si="2"/>
        <v>4.8500000000000014</v>
      </c>
      <c r="AE26" s="165">
        <f t="shared" si="3"/>
        <v>-0.13189897100093551</v>
      </c>
    </row>
    <row r="27" spans="1:43" x14ac:dyDescent="0.25">
      <c r="B27" s="248">
        <v>42339</v>
      </c>
      <c r="C27" s="12">
        <v>400</v>
      </c>
      <c r="D27" s="53">
        <v>39.96</v>
      </c>
      <c r="E27" s="53">
        <v>31.39</v>
      </c>
      <c r="F27" s="53">
        <f t="shared" si="4"/>
        <v>-3428</v>
      </c>
      <c r="G27" s="53">
        <f t="shared" si="5"/>
        <v>15984</v>
      </c>
      <c r="H27" s="304">
        <f t="shared" si="6"/>
        <v>-0.21446446446446446</v>
      </c>
      <c r="I27" s="53">
        <v>39.159999999999997</v>
      </c>
      <c r="W27" s="160">
        <v>42382</v>
      </c>
      <c r="X27" s="12">
        <v>44.88</v>
      </c>
      <c r="Y27" s="12">
        <v>45.88</v>
      </c>
      <c r="Z27" s="12">
        <v>42.01</v>
      </c>
      <c r="AA27" s="12">
        <v>42.76</v>
      </c>
      <c r="AB27" s="115">
        <v>2915400</v>
      </c>
      <c r="AC27" s="12">
        <v>42.76</v>
      </c>
      <c r="AD27" s="2">
        <f t="shared" si="2"/>
        <v>3.8700000000000045</v>
      </c>
      <c r="AE27" s="165">
        <f t="shared" si="3"/>
        <v>-4.3828264758497326E-2</v>
      </c>
    </row>
    <row r="28" spans="1:43" x14ac:dyDescent="0.25">
      <c r="B28" s="248">
        <v>42340</v>
      </c>
      <c r="C28" s="12">
        <v>300</v>
      </c>
      <c r="D28" s="53">
        <v>41.78</v>
      </c>
      <c r="E28" s="53">
        <v>34.35</v>
      </c>
      <c r="F28" s="53">
        <f t="shared" si="4"/>
        <v>-2229</v>
      </c>
      <c r="G28" s="53">
        <f t="shared" si="5"/>
        <v>12534</v>
      </c>
      <c r="H28" s="304">
        <f t="shared" si="6"/>
        <v>-0.17783628530397319</v>
      </c>
      <c r="I28" s="53"/>
      <c r="W28" s="160">
        <v>42381</v>
      </c>
      <c r="X28" s="12">
        <v>47.84</v>
      </c>
      <c r="Y28" s="12">
        <v>47.98</v>
      </c>
      <c r="Z28" s="12">
        <v>43.1</v>
      </c>
      <c r="AA28" s="12">
        <v>44.72</v>
      </c>
      <c r="AB28" s="115">
        <v>3341600</v>
      </c>
      <c r="AC28" s="12">
        <v>44.72</v>
      </c>
      <c r="AD28" s="2">
        <f t="shared" si="2"/>
        <v>4.8799999999999955</v>
      </c>
      <c r="AE28" s="165">
        <f t="shared" si="3"/>
        <v>-6.2277206961627196E-2</v>
      </c>
    </row>
    <row r="29" spans="1:43" x14ac:dyDescent="0.25">
      <c r="B29" s="248">
        <v>42349</v>
      </c>
      <c r="C29" s="12">
        <v>300</v>
      </c>
      <c r="D29" s="53">
        <v>41.78</v>
      </c>
      <c r="E29" s="53">
        <v>37.04</v>
      </c>
      <c r="F29" s="53">
        <f t="shared" si="4"/>
        <v>-1422.0000000000007</v>
      </c>
      <c r="G29" s="53">
        <f t="shared" si="5"/>
        <v>12534</v>
      </c>
      <c r="H29" s="304">
        <f t="shared" si="6"/>
        <v>-0.11345141215892776</v>
      </c>
      <c r="I29" s="53">
        <v>40.94</v>
      </c>
      <c r="W29" s="160">
        <v>42380</v>
      </c>
      <c r="X29" s="12">
        <v>48.87</v>
      </c>
      <c r="Y29" s="12">
        <v>49.39</v>
      </c>
      <c r="Z29" s="12">
        <v>47.14</v>
      </c>
      <c r="AA29" s="12">
        <v>47.69</v>
      </c>
      <c r="AB29" s="115">
        <v>1673900</v>
      </c>
      <c r="AC29" s="12">
        <v>47.69</v>
      </c>
      <c r="AD29" s="2">
        <f t="shared" si="2"/>
        <v>2.25</v>
      </c>
      <c r="AE29" s="165">
        <f t="shared" si="3"/>
        <v>-2.2946117598852789E-2</v>
      </c>
    </row>
    <row r="30" spans="1:43" x14ac:dyDescent="0.25">
      <c r="B30" s="248">
        <v>42353</v>
      </c>
      <c r="C30" s="12">
        <v>150</v>
      </c>
      <c r="D30" s="53">
        <v>40.32</v>
      </c>
      <c r="E30" s="53">
        <v>40.049999999999997</v>
      </c>
      <c r="F30" s="53">
        <f t="shared" si="4"/>
        <v>-40.500000000000469</v>
      </c>
      <c r="G30" s="53">
        <f t="shared" si="5"/>
        <v>6048</v>
      </c>
      <c r="H30" s="304">
        <f t="shared" si="6"/>
        <v>-6.6964285714286491E-3</v>
      </c>
      <c r="I30" s="53"/>
      <c r="W30" s="160">
        <v>42377</v>
      </c>
      <c r="X30" s="12">
        <v>47.75</v>
      </c>
      <c r="Y30" s="12">
        <v>49.34</v>
      </c>
      <c r="Z30" s="12">
        <v>47.63</v>
      </c>
      <c r="AA30" s="12">
        <v>48.81</v>
      </c>
      <c r="AB30" s="115">
        <v>2137900</v>
      </c>
      <c r="AC30" s="12">
        <v>48.81</v>
      </c>
      <c r="AD30" s="2">
        <f t="shared" si="2"/>
        <v>1.7100000000000009</v>
      </c>
      <c r="AE30" s="165">
        <f t="shared" si="3"/>
        <v>3.6966220522625992E-2</v>
      </c>
    </row>
    <row r="31" spans="1:43" x14ac:dyDescent="0.25">
      <c r="B31" s="248">
        <v>42354</v>
      </c>
      <c r="C31" s="12">
        <v>130</v>
      </c>
      <c r="D31" s="53">
        <v>38.67</v>
      </c>
      <c r="E31" s="53">
        <v>53.69</v>
      </c>
      <c r="F31" s="53">
        <f t="shared" si="4"/>
        <v>1952.5999999999995</v>
      </c>
      <c r="G31" s="53">
        <f t="shared" si="5"/>
        <v>5027.1000000000004</v>
      </c>
      <c r="H31" s="304">
        <f t="shared" si="6"/>
        <v>0.38841479182829053</v>
      </c>
      <c r="I31" s="53"/>
      <c r="W31" s="160">
        <v>42376</v>
      </c>
      <c r="X31" s="12">
        <v>48.74</v>
      </c>
      <c r="Y31" s="12">
        <v>49.43</v>
      </c>
      <c r="Z31" s="12">
        <v>46.2</v>
      </c>
      <c r="AA31" s="12">
        <v>47.07</v>
      </c>
      <c r="AB31" s="115">
        <v>2484200</v>
      </c>
      <c r="AC31" s="12">
        <v>47.07</v>
      </c>
      <c r="AD31" s="2">
        <f t="shared" si="2"/>
        <v>3.2299999999999969</v>
      </c>
      <c r="AE31" s="165">
        <f t="shared" si="3"/>
        <v>-6.2350597609561853E-2</v>
      </c>
    </row>
    <row r="32" spans="1:43" x14ac:dyDescent="0.25">
      <c r="B32" s="248">
        <v>42356</v>
      </c>
      <c r="C32" s="12">
        <v>130</v>
      </c>
      <c r="D32" s="53">
        <v>38.67</v>
      </c>
      <c r="E32" s="53">
        <v>57.26</v>
      </c>
      <c r="F32" s="53">
        <f t="shared" si="4"/>
        <v>2416.6999999999994</v>
      </c>
      <c r="G32" s="53">
        <f t="shared" si="5"/>
        <v>5027.1000000000004</v>
      </c>
      <c r="H32" s="304">
        <f t="shared" si="6"/>
        <v>0.48073441944659934</v>
      </c>
      <c r="I32" s="53"/>
      <c r="W32" s="160">
        <v>42375</v>
      </c>
      <c r="X32" s="12">
        <v>49.3</v>
      </c>
      <c r="Y32" s="12">
        <v>51.45</v>
      </c>
      <c r="Z32" s="12">
        <v>49.3</v>
      </c>
      <c r="AA32" s="12">
        <v>50.2</v>
      </c>
      <c r="AB32" s="115">
        <v>1957200</v>
      </c>
      <c r="AC32" s="12">
        <v>50.2</v>
      </c>
      <c r="AD32" s="2">
        <f t="shared" si="2"/>
        <v>2.1500000000000057</v>
      </c>
      <c r="AE32" s="165">
        <f t="shared" si="3"/>
        <v>-4.7581284694685477E-3</v>
      </c>
    </row>
    <row r="33" spans="2:31" x14ac:dyDescent="0.25">
      <c r="B33" s="248">
        <v>42356</v>
      </c>
      <c r="C33" s="12">
        <v>100</v>
      </c>
      <c r="D33" s="53">
        <v>32.880000000000003</v>
      </c>
      <c r="E33" s="53">
        <v>56.74</v>
      </c>
      <c r="F33" s="53">
        <f t="shared" si="4"/>
        <v>2386</v>
      </c>
      <c r="G33" s="53">
        <f t="shared" si="5"/>
        <v>3288.0000000000005</v>
      </c>
      <c r="H33" s="304">
        <f t="shared" si="6"/>
        <v>0.72566909975669092</v>
      </c>
      <c r="I33" s="53">
        <v>25</v>
      </c>
      <c r="W33" s="160">
        <v>42374</v>
      </c>
      <c r="X33" s="12">
        <v>53.61</v>
      </c>
      <c r="Y33" s="12">
        <v>53.61</v>
      </c>
      <c r="Z33" s="12">
        <v>49.55</v>
      </c>
      <c r="AA33" s="12">
        <v>50.44</v>
      </c>
      <c r="AB33" s="115">
        <v>2425300</v>
      </c>
      <c r="AC33" s="12">
        <v>50.44</v>
      </c>
      <c r="AD33" s="2">
        <f t="shared" si="2"/>
        <v>4.0600000000000023</v>
      </c>
      <c r="AE33" s="165">
        <f t="shared" si="3"/>
        <v>-4.451600681947343E-2</v>
      </c>
    </row>
    <row r="34" spans="2:31" x14ac:dyDescent="0.25">
      <c r="B34" s="248">
        <v>42403</v>
      </c>
      <c r="C34" s="12">
        <v>100</v>
      </c>
      <c r="D34" s="53">
        <v>32.880000000000003</v>
      </c>
      <c r="E34" s="53">
        <v>31.36</v>
      </c>
      <c r="F34" s="53">
        <f t="shared" si="4"/>
        <v>-152.00000000000031</v>
      </c>
      <c r="G34" s="53">
        <f t="shared" si="5"/>
        <v>3288.0000000000005</v>
      </c>
      <c r="H34" s="304">
        <f t="shared" si="6"/>
        <v>-4.6228710462287194E-2</v>
      </c>
      <c r="I34" s="53"/>
      <c r="W34" s="160">
        <v>42373</v>
      </c>
      <c r="X34" s="12">
        <v>49.29</v>
      </c>
      <c r="Y34" s="12">
        <v>52.94</v>
      </c>
      <c r="Z34" s="12">
        <v>48.38</v>
      </c>
      <c r="AA34" s="12">
        <v>52.79</v>
      </c>
      <c r="AB34" s="115">
        <v>3015000</v>
      </c>
      <c r="AC34" s="12">
        <v>52.79</v>
      </c>
      <c r="AD34" s="2">
        <f t="shared" si="2"/>
        <v>4.5599999999999952</v>
      </c>
      <c r="AE34" s="165">
        <f t="shared" si="3"/>
        <v>3.4692277538220129E-2</v>
      </c>
    </row>
    <row r="35" spans="2:31" x14ac:dyDescent="0.25">
      <c r="B35" s="248">
        <v>42408</v>
      </c>
      <c r="C35" s="12">
        <v>125</v>
      </c>
      <c r="D35" s="53">
        <v>31.625</v>
      </c>
      <c r="E35" s="53">
        <v>27.94</v>
      </c>
      <c r="F35" s="53">
        <f t="shared" si="4"/>
        <v>-460.62499999999983</v>
      </c>
      <c r="G35" s="53">
        <f t="shared" si="5"/>
        <v>3953.125</v>
      </c>
      <c r="H35" s="304">
        <f t="shared" si="6"/>
        <v>-0.11652173913043475</v>
      </c>
      <c r="I35" s="53"/>
      <c r="W35" s="160">
        <v>42369</v>
      </c>
      <c r="X35" s="12">
        <v>50.5</v>
      </c>
      <c r="Y35" s="12">
        <v>51.49</v>
      </c>
      <c r="Z35" s="12">
        <v>49.35</v>
      </c>
      <c r="AA35" s="12">
        <v>51.02</v>
      </c>
      <c r="AB35" s="115">
        <v>1514500</v>
      </c>
      <c r="AC35" s="12">
        <v>51.02</v>
      </c>
      <c r="AD35" s="2">
        <f t="shared" si="2"/>
        <v>2.1400000000000006</v>
      </c>
      <c r="AE35" s="165">
        <f t="shared" si="3"/>
        <v>4.3307086614174928E-3</v>
      </c>
    </row>
    <row r="36" spans="2:31" x14ac:dyDescent="0.25">
      <c r="B36" s="248">
        <v>42415</v>
      </c>
      <c r="C36" s="12">
        <v>125</v>
      </c>
      <c r="D36" s="53">
        <v>31.625</v>
      </c>
      <c r="E36" s="53">
        <v>17.38</v>
      </c>
      <c r="F36" s="53">
        <f t="shared" si="4"/>
        <v>-1780.6250000000002</v>
      </c>
      <c r="G36" s="53">
        <f t="shared" si="5"/>
        <v>3953.125</v>
      </c>
      <c r="H36" s="304">
        <f t="shared" si="6"/>
        <v>-0.45043478260869568</v>
      </c>
      <c r="I36" s="53"/>
      <c r="W36" s="160">
        <v>42368</v>
      </c>
      <c r="X36" s="12">
        <v>49.14</v>
      </c>
      <c r="Y36" s="12">
        <v>52.22</v>
      </c>
      <c r="Z36" s="12">
        <v>49.07</v>
      </c>
      <c r="AA36" s="12">
        <v>50.8</v>
      </c>
      <c r="AB36" s="115">
        <v>2159000</v>
      </c>
      <c r="AC36" s="12">
        <v>50.8</v>
      </c>
      <c r="AD36" s="2">
        <f t="shared" si="2"/>
        <v>3.1499999999999986</v>
      </c>
      <c r="AE36" s="165">
        <f t="shared" si="3"/>
        <v>2.1310816244471065E-2</v>
      </c>
    </row>
    <row r="37" spans="2:31" x14ac:dyDescent="0.25">
      <c r="B37" s="12"/>
      <c r="C37" s="12"/>
      <c r="D37" s="53"/>
      <c r="E37" s="53"/>
      <c r="F37" s="53"/>
      <c r="G37" s="53"/>
      <c r="H37" s="305"/>
      <c r="I37" s="53"/>
      <c r="W37" s="160">
        <v>42367</v>
      </c>
      <c r="X37" s="12">
        <v>51.39</v>
      </c>
      <c r="Y37" s="12">
        <v>51.78</v>
      </c>
      <c r="Z37" s="12">
        <v>48.39</v>
      </c>
      <c r="AA37" s="12">
        <v>49.74</v>
      </c>
      <c r="AB37" s="115">
        <v>2862300</v>
      </c>
      <c r="AC37" s="12">
        <v>49.74</v>
      </c>
      <c r="AD37" s="2">
        <f t="shared" si="2"/>
        <v>3.3900000000000006</v>
      </c>
      <c r="AE37" s="165">
        <f t="shared" si="3"/>
        <v>-3.0598323913467174E-2</v>
      </c>
    </row>
    <row r="38" spans="2:31" x14ac:dyDescent="0.25">
      <c r="W38" s="160">
        <v>42366</v>
      </c>
      <c r="X38" s="12">
        <v>51.34</v>
      </c>
      <c r="Y38" s="12">
        <v>52.5</v>
      </c>
      <c r="Z38" s="12">
        <v>50.83</v>
      </c>
      <c r="AA38" s="12">
        <v>51.31</v>
      </c>
      <c r="AB38" s="115">
        <v>2116000</v>
      </c>
      <c r="AC38" s="12">
        <v>51.31</v>
      </c>
      <c r="AD38" s="2">
        <f t="shared" si="2"/>
        <v>1.6700000000000017</v>
      </c>
      <c r="AE38" s="165">
        <f t="shared" si="3"/>
        <v>-1.2889572912658576E-2</v>
      </c>
    </row>
    <row r="39" spans="2:31" x14ac:dyDescent="0.25">
      <c r="W39" s="160">
        <v>42362</v>
      </c>
      <c r="X39" s="12">
        <v>51.21</v>
      </c>
      <c r="Y39" s="12">
        <v>53</v>
      </c>
      <c r="Z39" s="12">
        <v>50.3</v>
      </c>
      <c r="AA39" s="12">
        <v>51.98</v>
      </c>
      <c r="AB39" s="115">
        <v>1625300</v>
      </c>
      <c r="AC39" s="12">
        <v>51.98</v>
      </c>
      <c r="AD39" s="2">
        <f t="shared" si="2"/>
        <v>2.7000000000000028</v>
      </c>
      <c r="AE39" s="165">
        <f t="shared" si="3"/>
        <v>9.7125097125096982E-3</v>
      </c>
    </row>
    <row r="40" spans="2:31" x14ac:dyDescent="0.25">
      <c r="W40" s="160">
        <v>42361</v>
      </c>
      <c r="X40" s="12">
        <v>51.43</v>
      </c>
      <c r="Y40" s="12">
        <v>54</v>
      </c>
      <c r="Z40" s="12">
        <v>51.4</v>
      </c>
      <c r="AA40" s="12">
        <v>51.48</v>
      </c>
      <c r="AB40" s="115">
        <v>2616500</v>
      </c>
      <c r="AC40" s="12">
        <v>51.48</v>
      </c>
      <c r="AD40" s="2">
        <f t="shared" si="2"/>
        <v>2.6000000000000014</v>
      </c>
      <c r="AE40" s="165">
        <f t="shared" si="3"/>
        <v>3.1176929072485038E-3</v>
      </c>
    </row>
    <row r="41" spans="2:31" x14ac:dyDescent="0.25">
      <c r="O41" s="47"/>
      <c r="W41" s="160">
        <v>42360</v>
      </c>
      <c r="X41" s="12">
        <v>53.4</v>
      </c>
      <c r="Y41" s="12">
        <v>53.8</v>
      </c>
      <c r="Z41" s="12">
        <v>51.23</v>
      </c>
      <c r="AA41" s="12">
        <v>51.32</v>
      </c>
      <c r="AB41" s="115">
        <v>6832700</v>
      </c>
      <c r="AC41" s="12">
        <v>51.32</v>
      </c>
      <c r="AD41" s="2">
        <f t="shared" si="2"/>
        <v>2.5700000000000003</v>
      </c>
      <c r="AE41" s="165">
        <f t="shared" si="3"/>
        <v>-6.8433472499546233E-2</v>
      </c>
    </row>
    <row r="42" spans="2:31" ht="20.25" thickBot="1" x14ac:dyDescent="0.35">
      <c r="O42" s="389" t="s">
        <v>78</v>
      </c>
      <c r="P42" s="389"/>
      <c r="Q42" s="47"/>
      <c r="T42" s="111" t="s">
        <v>121</v>
      </c>
      <c r="W42" s="160">
        <v>42359</v>
      </c>
      <c r="X42" s="12">
        <v>57.4</v>
      </c>
      <c r="Y42" s="12">
        <v>58.5</v>
      </c>
      <c r="Z42" s="12">
        <v>55</v>
      </c>
      <c r="AA42" s="12">
        <v>55.09</v>
      </c>
      <c r="AB42" s="115">
        <v>5243400</v>
      </c>
      <c r="AC42" s="12">
        <v>55.09</v>
      </c>
      <c r="AD42" s="2">
        <f t="shared" si="2"/>
        <v>3.5</v>
      </c>
      <c r="AE42" s="165">
        <f t="shared" si="3"/>
        <v>-3.1980319803197932E-2</v>
      </c>
    </row>
    <row r="43" spans="2:31" ht="15.75" thickTop="1" x14ac:dyDescent="0.25">
      <c r="O43" s="103">
        <v>1.1000000000000001</v>
      </c>
      <c r="P43" s="103">
        <f>O43*$Q$4</f>
        <v>20.702000000000002</v>
      </c>
      <c r="Q43" s="47"/>
      <c r="T43" s="155" t="s">
        <v>106</v>
      </c>
      <c r="U43" s="118">
        <v>20.05</v>
      </c>
      <c r="W43" s="160">
        <v>42356</v>
      </c>
      <c r="X43" s="12">
        <v>53.93</v>
      </c>
      <c r="Y43" s="12">
        <v>58.8</v>
      </c>
      <c r="Z43" s="12">
        <v>52.34</v>
      </c>
      <c r="AA43" s="12">
        <v>56.91</v>
      </c>
      <c r="AB43" s="115">
        <v>7704800</v>
      </c>
      <c r="AC43" s="12">
        <v>56.91</v>
      </c>
      <c r="AD43" s="2">
        <f t="shared" si="2"/>
        <v>6.4599999999999937</v>
      </c>
      <c r="AE43" s="165">
        <f t="shared" si="3"/>
        <v>-6.1124694376528677E-3</v>
      </c>
    </row>
    <row r="44" spans="2:31" x14ac:dyDescent="0.25">
      <c r="O44" s="103">
        <v>1.0900000000000001</v>
      </c>
      <c r="P44" s="103">
        <f t="shared" ref="P44:P63" si="7">O44*$Q$4</f>
        <v>20.513800000000003</v>
      </c>
      <c r="Q44" s="47"/>
      <c r="T44" s="113" t="s">
        <v>107</v>
      </c>
      <c r="U44" s="108">
        <v>19.670000000000002</v>
      </c>
      <c r="W44" s="160">
        <v>42355</v>
      </c>
      <c r="X44" s="12">
        <v>56.94</v>
      </c>
      <c r="Y44" s="12">
        <v>58.87</v>
      </c>
      <c r="Z44" s="12">
        <v>55.35</v>
      </c>
      <c r="AA44" s="12">
        <v>57.26</v>
      </c>
      <c r="AB44" s="115">
        <v>9913400</v>
      </c>
      <c r="AC44" s="12">
        <v>57.26</v>
      </c>
      <c r="AD44" s="2">
        <f t="shared" si="2"/>
        <v>3.519999999999996</v>
      </c>
      <c r="AE44" s="165">
        <f t="shared" si="3"/>
        <v>6.6492829204693571E-2</v>
      </c>
    </row>
    <row r="45" spans="2:31" x14ac:dyDescent="0.25">
      <c r="O45" s="103">
        <v>1.08</v>
      </c>
      <c r="P45" s="103">
        <f t="shared" si="7"/>
        <v>20.325600000000001</v>
      </c>
      <c r="Q45" s="47"/>
      <c r="T45" s="113" t="s">
        <v>108</v>
      </c>
      <c r="U45" s="108" t="s">
        <v>388</v>
      </c>
      <c r="W45" s="160">
        <v>42354</v>
      </c>
      <c r="X45" s="12">
        <v>46.35</v>
      </c>
      <c r="Y45" s="12">
        <v>55.29</v>
      </c>
      <c r="Z45" s="12">
        <v>46.05</v>
      </c>
      <c r="AA45" s="12">
        <v>53.69</v>
      </c>
      <c r="AB45" s="115">
        <v>17731800</v>
      </c>
      <c r="AC45" s="12">
        <v>53.69</v>
      </c>
      <c r="AD45" s="2">
        <f t="shared" si="2"/>
        <v>9.240000000000002</v>
      </c>
      <c r="AE45" s="165">
        <f t="shared" si="3"/>
        <v>0.34057428214731589</v>
      </c>
    </row>
    <row r="46" spans="2:31" x14ac:dyDescent="0.25">
      <c r="O46" s="103">
        <v>1.07</v>
      </c>
      <c r="P46" s="103">
        <f t="shared" si="7"/>
        <v>20.137400000000003</v>
      </c>
      <c r="Q46" s="103"/>
      <c r="T46" s="113" t="s">
        <v>109</v>
      </c>
      <c r="U46" s="108" t="s">
        <v>389</v>
      </c>
      <c r="W46" s="160">
        <v>42353</v>
      </c>
      <c r="X46" s="12">
        <v>41.13</v>
      </c>
      <c r="Y46" s="12">
        <v>44.5</v>
      </c>
      <c r="Z46" s="12">
        <v>39.1</v>
      </c>
      <c r="AA46" s="12">
        <v>40.049999999999997</v>
      </c>
      <c r="AB46" s="115">
        <v>6976300</v>
      </c>
      <c r="AC46" s="12">
        <v>40.049999999999997</v>
      </c>
      <c r="AD46" s="2">
        <f t="shared" si="2"/>
        <v>5.3999999999999986</v>
      </c>
      <c r="AE46" s="165">
        <f t="shared" si="3"/>
        <v>-3.7028131762443017E-2</v>
      </c>
    </row>
    <row r="47" spans="2:31" x14ac:dyDescent="0.25">
      <c r="O47" s="103">
        <v>1.06</v>
      </c>
      <c r="P47" s="103">
        <f t="shared" si="7"/>
        <v>19.949200000000001</v>
      </c>
      <c r="Q47" s="103"/>
      <c r="T47" s="113" t="s">
        <v>110</v>
      </c>
      <c r="U47" s="108">
        <v>46.78</v>
      </c>
      <c r="W47" s="160">
        <v>42352</v>
      </c>
      <c r="X47" s="12">
        <v>37.1</v>
      </c>
      <c r="Y47" s="12">
        <v>42</v>
      </c>
      <c r="Z47" s="12">
        <v>37.049999999999997</v>
      </c>
      <c r="AA47" s="12">
        <v>41.59</v>
      </c>
      <c r="AB47" s="115">
        <v>5390800</v>
      </c>
      <c r="AC47" s="12">
        <v>41.59</v>
      </c>
      <c r="AD47" s="2">
        <f t="shared" si="2"/>
        <v>4.9500000000000028</v>
      </c>
      <c r="AE47" s="165">
        <f t="shared" si="3"/>
        <v>0.1228401727861772</v>
      </c>
    </row>
    <row r="48" spans="2:31" x14ac:dyDescent="0.25">
      <c r="O48" s="103">
        <v>1.05</v>
      </c>
      <c r="P48" s="103">
        <f t="shared" si="7"/>
        <v>19.761000000000003</v>
      </c>
      <c r="Q48" s="103"/>
      <c r="T48" s="113" t="s">
        <v>111</v>
      </c>
      <c r="U48" s="108">
        <v>1.5605800000000001</v>
      </c>
      <c r="W48" s="160">
        <v>42349</v>
      </c>
      <c r="X48" s="12">
        <v>36.21</v>
      </c>
      <c r="Y48" s="12">
        <v>37.799999999999997</v>
      </c>
      <c r="Z48" s="12">
        <v>36</v>
      </c>
      <c r="AA48" s="12">
        <v>37.04</v>
      </c>
      <c r="AB48" s="115">
        <v>3222700</v>
      </c>
      <c r="AC48" s="12">
        <v>37.04</v>
      </c>
      <c r="AD48" s="2">
        <f t="shared" si="2"/>
        <v>1.7999999999999972</v>
      </c>
      <c r="AE48" s="165">
        <f t="shared" si="3"/>
        <v>1.0641200545702612E-2</v>
      </c>
    </row>
    <row r="49" spans="15:31" x14ac:dyDescent="0.25">
      <c r="O49" s="103">
        <v>1.04</v>
      </c>
      <c r="P49" s="103">
        <f t="shared" si="7"/>
        <v>19.572800000000001</v>
      </c>
      <c r="Q49" s="103"/>
      <c r="T49" s="113" t="s">
        <v>131</v>
      </c>
      <c r="U49" s="108" t="s">
        <v>305</v>
      </c>
      <c r="W49" s="160">
        <v>42348</v>
      </c>
      <c r="X49" s="12">
        <v>35.4</v>
      </c>
      <c r="Y49" s="12">
        <v>37.200000000000003</v>
      </c>
      <c r="Z49" s="12">
        <v>35.200000000000003</v>
      </c>
      <c r="AA49" s="12">
        <v>36.65</v>
      </c>
      <c r="AB49" s="115">
        <v>2093900</v>
      </c>
      <c r="AC49" s="12">
        <v>36.65</v>
      </c>
      <c r="AD49" s="2">
        <f t="shared" si="2"/>
        <v>2</v>
      </c>
      <c r="AE49" s="165">
        <f t="shared" si="3"/>
        <v>2.2600446428571397E-2</v>
      </c>
    </row>
    <row r="50" spans="15:31" x14ac:dyDescent="0.25">
      <c r="O50" s="103">
        <v>1.03</v>
      </c>
      <c r="P50" s="103">
        <f t="shared" si="7"/>
        <v>19.384600000000002</v>
      </c>
      <c r="Q50" s="103"/>
      <c r="T50" s="113"/>
      <c r="U50" s="108"/>
      <c r="W50" s="160">
        <v>42347</v>
      </c>
      <c r="X50" s="12">
        <v>34.619999999999997</v>
      </c>
      <c r="Y50" s="12">
        <v>37.200000000000003</v>
      </c>
      <c r="Z50" s="12">
        <v>34.32</v>
      </c>
      <c r="AA50" s="12">
        <v>35.840000000000003</v>
      </c>
      <c r="AB50" s="115">
        <v>2587500</v>
      </c>
      <c r="AC50" s="12">
        <v>35.840000000000003</v>
      </c>
      <c r="AD50" s="2">
        <f t="shared" si="2"/>
        <v>2.8800000000000026</v>
      </c>
      <c r="AE50" s="165">
        <f t="shared" si="3"/>
        <v>3.5239745811669776E-2</v>
      </c>
    </row>
    <row r="51" spans="15:31" x14ac:dyDescent="0.25">
      <c r="O51" s="103">
        <v>1.02</v>
      </c>
      <c r="P51" s="103">
        <f t="shared" si="7"/>
        <v>19.196400000000001</v>
      </c>
      <c r="Q51" s="103"/>
      <c r="T51" s="113" t="s">
        <v>113</v>
      </c>
      <c r="U51" s="108" t="s">
        <v>390</v>
      </c>
      <c r="W51" s="160">
        <v>42346</v>
      </c>
      <c r="X51" s="12">
        <v>34.630000000000003</v>
      </c>
      <c r="Y51" s="12">
        <v>35.4</v>
      </c>
      <c r="Z51" s="12">
        <v>31.3</v>
      </c>
      <c r="AA51" s="12">
        <v>34.619999999999997</v>
      </c>
      <c r="AB51" s="115">
        <v>4557700</v>
      </c>
      <c r="AC51" s="12">
        <v>34.619999999999997</v>
      </c>
      <c r="AD51" s="2">
        <f t="shared" si="2"/>
        <v>4.0999999999999979</v>
      </c>
      <c r="AE51" s="165">
        <f t="shared" si="3"/>
        <v>-3.5654596100278546E-2</v>
      </c>
    </row>
    <row r="52" spans="15:31" x14ac:dyDescent="0.25">
      <c r="O52" s="103">
        <v>1.01</v>
      </c>
      <c r="P52" s="103">
        <f t="shared" si="7"/>
        <v>19.008200000000002</v>
      </c>
      <c r="Q52" s="103"/>
      <c r="T52" s="113" t="s">
        <v>114</v>
      </c>
      <c r="U52" s="108" t="s">
        <v>316</v>
      </c>
      <c r="W52" s="160">
        <v>42345</v>
      </c>
      <c r="X52" s="12">
        <v>35.85</v>
      </c>
      <c r="Y52" s="12">
        <v>37.450000000000003</v>
      </c>
      <c r="Z52" s="12">
        <v>35.6</v>
      </c>
      <c r="AA52" s="12">
        <v>35.9</v>
      </c>
      <c r="AB52" s="115">
        <v>3013300</v>
      </c>
      <c r="AC52" s="12">
        <v>35.9</v>
      </c>
      <c r="AD52" s="2">
        <f t="shared" si="2"/>
        <v>1.8500000000000014</v>
      </c>
      <c r="AE52" s="165">
        <f t="shared" si="3"/>
        <v>-2.5006946373993255E-3</v>
      </c>
    </row>
    <row r="53" spans="15:31" x14ac:dyDescent="0.25">
      <c r="O53" s="103">
        <v>1</v>
      </c>
      <c r="P53" s="103">
        <f t="shared" si="7"/>
        <v>18.82</v>
      </c>
      <c r="Q53" s="103"/>
      <c r="T53" s="113" t="s">
        <v>115</v>
      </c>
      <c r="U53" s="110">
        <v>4710849</v>
      </c>
      <c r="W53" s="160">
        <v>42342</v>
      </c>
      <c r="X53" s="12">
        <v>36</v>
      </c>
      <c r="Y53" s="12">
        <v>37</v>
      </c>
      <c r="Z53" s="12">
        <v>34.86</v>
      </c>
      <c r="AA53" s="12">
        <v>35.99</v>
      </c>
      <c r="AB53" s="115">
        <v>2808200</v>
      </c>
      <c r="AC53" s="12">
        <v>35.99</v>
      </c>
      <c r="AD53" s="2">
        <f t="shared" si="2"/>
        <v>2.1400000000000006</v>
      </c>
      <c r="AE53" s="165">
        <f t="shared" si="3"/>
        <v>-6.8984547461368173E-3</v>
      </c>
    </row>
    <row r="54" spans="15:31" x14ac:dyDescent="0.25">
      <c r="O54" s="103">
        <v>0.99</v>
      </c>
      <c r="P54" s="103">
        <f t="shared" si="7"/>
        <v>18.631799999999998</v>
      </c>
      <c r="Q54" s="103"/>
      <c r="T54" s="113" t="s">
        <v>118</v>
      </c>
      <c r="U54" s="110">
        <v>5206100</v>
      </c>
      <c r="W54" s="160">
        <v>42341</v>
      </c>
      <c r="X54" s="12">
        <v>34.69</v>
      </c>
      <c r="Y54" s="12">
        <v>37.950000000000003</v>
      </c>
      <c r="Z54" s="12">
        <v>34.69</v>
      </c>
      <c r="AA54" s="12">
        <v>36.24</v>
      </c>
      <c r="AB54" s="115">
        <v>7991900</v>
      </c>
      <c r="AC54" s="12">
        <v>36.24</v>
      </c>
      <c r="AD54" s="2">
        <f t="shared" si="2"/>
        <v>3.2600000000000051</v>
      </c>
      <c r="AE54" s="165">
        <f t="shared" si="3"/>
        <v>5.5021834061135477E-2</v>
      </c>
    </row>
    <row r="55" spans="15:31" x14ac:dyDescent="0.25">
      <c r="O55" s="103">
        <v>0.98</v>
      </c>
      <c r="P55" s="103">
        <f t="shared" si="7"/>
        <v>18.4436</v>
      </c>
      <c r="Q55" s="103"/>
      <c r="T55" s="113" t="s">
        <v>116</v>
      </c>
      <c r="U55" s="108" t="s">
        <v>327</v>
      </c>
      <c r="W55" s="160">
        <v>42340</v>
      </c>
      <c r="X55" s="12">
        <v>31.13</v>
      </c>
      <c r="Y55" s="12">
        <v>34.6</v>
      </c>
      <c r="Z55" s="12">
        <v>30.71</v>
      </c>
      <c r="AA55" s="12">
        <v>34.35</v>
      </c>
      <c r="AB55" s="115">
        <v>7416400</v>
      </c>
      <c r="AC55" s="12">
        <v>34.35</v>
      </c>
      <c r="AD55" s="2">
        <f t="shared" si="2"/>
        <v>3.8900000000000006</v>
      </c>
      <c r="AE55" s="165">
        <f t="shared" si="3"/>
        <v>9.4297546989487113E-2</v>
      </c>
    </row>
    <row r="56" spans="15:31" x14ac:dyDescent="0.25">
      <c r="O56" s="103">
        <v>0.97</v>
      </c>
      <c r="P56" s="103">
        <f t="shared" si="7"/>
        <v>18.255399999999998</v>
      </c>
      <c r="Q56" s="103"/>
      <c r="T56" s="113" t="s">
        <v>119</v>
      </c>
      <c r="U56" s="108" t="s">
        <v>145</v>
      </c>
      <c r="W56" s="160">
        <v>42339</v>
      </c>
      <c r="X56" s="12">
        <v>28.69</v>
      </c>
      <c r="Y56" s="12">
        <v>31.45</v>
      </c>
      <c r="Z56" s="12">
        <v>28.62</v>
      </c>
      <c r="AA56" s="12">
        <v>31.39</v>
      </c>
      <c r="AB56" s="115">
        <v>4322300</v>
      </c>
      <c r="AC56" s="12">
        <v>31.39</v>
      </c>
      <c r="AD56" s="2">
        <f t="shared" si="2"/>
        <v>2.8299999999999983</v>
      </c>
      <c r="AE56" s="165">
        <f t="shared" si="3"/>
        <v>9.1446453407510342E-2</v>
      </c>
    </row>
    <row r="57" spans="15:31" x14ac:dyDescent="0.25">
      <c r="O57" s="103">
        <v>0.96</v>
      </c>
      <c r="P57" s="103">
        <f t="shared" si="7"/>
        <v>18.0672</v>
      </c>
      <c r="Q57" s="103"/>
      <c r="T57" s="113" t="s">
        <v>120</v>
      </c>
      <c r="U57" s="108">
        <v>-0.6</v>
      </c>
      <c r="W57" s="160">
        <v>42338</v>
      </c>
      <c r="X57" s="12">
        <v>29.98</v>
      </c>
      <c r="Y57" s="12">
        <v>30.01</v>
      </c>
      <c r="Z57" s="12">
        <v>28.35</v>
      </c>
      <c r="AA57" s="12">
        <v>28.76</v>
      </c>
      <c r="AB57" s="115">
        <v>2299600</v>
      </c>
      <c r="AC57" s="12">
        <v>28.76</v>
      </c>
      <c r="AD57" s="2">
        <f t="shared" si="2"/>
        <v>1.6600000000000001</v>
      </c>
      <c r="AE57" s="165">
        <f t="shared" si="3"/>
        <v>-3.7161031134917977E-2</v>
      </c>
    </row>
    <row r="58" spans="15:31" x14ac:dyDescent="0.25">
      <c r="O58" s="103">
        <v>0.95</v>
      </c>
      <c r="P58" s="103">
        <f t="shared" si="7"/>
        <v>17.878999999999998</v>
      </c>
      <c r="Q58" s="103"/>
      <c r="T58" s="113" t="s">
        <v>117</v>
      </c>
      <c r="U58" s="108" t="s">
        <v>132</v>
      </c>
      <c r="W58" s="160">
        <v>42335</v>
      </c>
      <c r="X58" s="12">
        <v>29.26</v>
      </c>
      <c r="Y58" s="12">
        <v>31.57</v>
      </c>
      <c r="Z58" s="12">
        <v>29.24</v>
      </c>
      <c r="AA58" s="12">
        <v>29.87</v>
      </c>
      <c r="AB58" s="115">
        <v>2346000</v>
      </c>
      <c r="AC58" s="12">
        <v>29.87</v>
      </c>
      <c r="AD58" s="2">
        <f t="shared" si="2"/>
        <v>2.3300000000000018</v>
      </c>
      <c r="AE58" s="165">
        <f t="shared" si="3"/>
        <v>2.0847573479152448E-2</v>
      </c>
    </row>
    <row r="59" spans="15:31" x14ac:dyDescent="0.25">
      <c r="O59" s="103">
        <v>0.94</v>
      </c>
      <c r="P59" s="103">
        <f t="shared" si="7"/>
        <v>17.690799999999999</v>
      </c>
      <c r="Q59" s="103"/>
      <c r="W59" s="160">
        <v>42333</v>
      </c>
      <c r="X59" s="12">
        <v>28.01</v>
      </c>
      <c r="Y59" s="12">
        <v>29.46</v>
      </c>
      <c r="Z59" s="12">
        <v>28.01</v>
      </c>
      <c r="AA59" s="12">
        <v>29.26</v>
      </c>
      <c r="AB59" s="115">
        <v>1562300</v>
      </c>
      <c r="AC59" s="12">
        <v>29.26</v>
      </c>
      <c r="AD59" s="2">
        <f t="shared" si="2"/>
        <v>1.4499999999999993</v>
      </c>
      <c r="AE59" s="165">
        <f t="shared" si="3"/>
        <v>2.415120756037803E-2</v>
      </c>
    </row>
    <row r="60" spans="15:31" x14ac:dyDescent="0.25">
      <c r="O60" s="103">
        <v>0.93</v>
      </c>
      <c r="P60" s="103">
        <f t="shared" si="7"/>
        <v>17.502600000000001</v>
      </c>
      <c r="Q60" s="103"/>
      <c r="W60" s="160">
        <v>42332</v>
      </c>
      <c r="X60" s="12">
        <v>28.22</v>
      </c>
      <c r="Y60" s="12">
        <v>28.85</v>
      </c>
      <c r="Z60" s="12">
        <v>27.68</v>
      </c>
      <c r="AA60" s="12">
        <v>28.57</v>
      </c>
      <c r="AB60" s="115">
        <v>2711700</v>
      </c>
      <c r="AC60" s="12">
        <v>28.57</v>
      </c>
      <c r="AD60" s="2">
        <f t="shared" si="2"/>
        <v>1.1700000000000017</v>
      </c>
      <c r="AE60" s="165">
        <f t="shared" si="3"/>
        <v>1.2761432116270788E-2</v>
      </c>
    </row>
    <row r="61" spans="15:31" x14ac:dyDescent="0.25">
      <c r="O61" s="103">
        <v>0.92</v>
      </c>
      <c r="P61" s="103">
        <f t="shared" si="7"/>
        <v>17.314400000000003</v>
      </c>
      <c r="Q61" s="103"/>
      <c r="W61" s="160">
        <v>42331</v>
      </c>
      <c r="X61" s="12">
        <v>29</v>
      </c>
      <c r="Y61" s="12">
        <v>29.35</v>
      </c>
      <c r="Z61" s="12">
        <v>27.92</v>
      </c>
      <c r="AA61" s="12">
        <v>28.21</v>
      </c>
      <c r="AB61" s="115">
        <v>4468800</v>
      </c>
      <c r="AC61" s="12">
        <v>28.21</v>
      </c>
      <c r="AD61" s="2">
        <f t="shared" si="2"/>
        <v>1.4299999999999997</v>
      </c>
      <c r="AE61" s="165">
        <f t="shared" si="3"/>
        <v>-2.8581267217630768E-2</v>
      </c>
    </row>
    <row r="62" spans="15:31" x14ac:dyDescent="0.25">
      <c r="O62" s="103">
        <v>0.91</v>
      </c>
      <c r="P62" s="103">
        <f t="shared" si="7"/>
        <v>17.126200000000001</v>
      </c>
      <c r="Q62" s="103"/>
      <c r="W62" s="160">
        <v>42328</v>
      </c>
      <c r="X62" s="12">
        <v>28.86</v>
      </c>
      <c r="Y62" s="12">
        <v>29.68</v>
      </c>
      <c r="Z62" s="12">
        <v>28.52</v>
      </c>
      <c r="AA62" s="12">
        <v>29.04</v>
      </c>
      <c r="AB62" s="115">
        <v>3895300</v>
      </c>
      <c r="AC62" s="12">
        <v>29.04</v>
      </c>
      <c r="AD62" s="2">
        <f t="shared" si="2"/>
        <v>1.1600000000000001</v>
      </c>
      <c r="AE62" s="165">
        <f t="shared" si="3"/>
        <v>1.184668989547033E-2</v>
      </c>
    </row>
    <row r="63" spans="15:31" x14ac:dyDescent="0.25">
      <c r="O63" s="103">
        <v>0.9</v>
      </c>
      <c r="P63" s="103">
        <f t="shared" si="7"/>
        <v>16.938000000000002</v>
      </c>
      <c r="Q63" s="103"/>
      <c r="W63" s="160">
        <v>42327</v>
      </c>
      <c r="X63" s="12">
        <v>27.47</v>
      </c>
      <c r="Y63" s="12">
        <v>28.85</v>
      </c>
      <c r="Z63" s="12">
        <v>27.08</v>
      </c>
      <c r="AA63" s="12">
        <v>28.7</v>
      </c>
      <c r="AB63" s="115">
        <v>4927200</v>
      </c>
      <c r="AC63" s="12">
        <v>28.7</v>
      </c>
      <c r="AD63" s="2">
        <f t="shared" si="2"/>
        <v>1.7700000000000031</v>
      </c>
      <c r="AE63" s="165">
        <f t="shared" si="3"/>
        <v>3.4234234234234107E-2</v>
      </c>
    </row>
    <row r="64" spans="15:31" x14ac:dyDescent="0.25">
      <c r="O64" s="47"/>
      <c r="W64" s="160">
        <v>42326</v>
      </c>
      <c r="X64" s="12">
        <v>26.87</v>
      </c>
      <c r="Y64" s="12">
        <v>27.79</v>
      </c>
      <c r="Z64" s="12">
        <v>26.01</v>
      </c>
      <c r="AA64" s="12">
        <v>27.75</v>
      </c>
      <c r="AB64" s="115">
        <v>6373600</v>
      </c>
      <c r="AC64" s="12">
        <v>27.75</v>
      </c>
      <c r="AD64" s="2">
        <f t="shared" si="2"/>
        <v>1.7799999999999976</v>
      </c>
      <c r="AE64" s="165">
        <f t="shared" si="3"/>
        <v>6.7307692307692291E-2</v>
      </c>
    </row>
    <row r="65" spans="15:31" x14ac:dyDescent="0.25">
      <c r="O65" s="47"/>
      <c r="W65" s="160">
        <v>42325</v>
      </c>
      <c r="X65" s="12">
        <v>27.87</v>
      </c>
      <c r="Y65" s="12">
        <v>28.09</v>
      </c>
      <c r="Z65" s="12">
        <v>25.58</v>
      </c>
      <c r="AA65" s="12">
        <v>26</v>
      </c>
      <c r="AB65" s="115">
        <v>5339400</v>
      </c>
      <c r="AC65" s="12">
        <v>26</v>
      </c>
      <c r="AD65" s="2">
        <f t="shared" si="2"/>
        <v>2.5100000000000016</v>
      </c>
      <c r="AE65" s="165">
        <f t="shared" si="3"/>
        <v>-6.6091954022988508E-2</v>
      </c>
    </row>
    <row r="66" spans="15:31" x14ac:dyDescent="0.25">
      <c r="O66" s="47"/>
      <c r="W66" s="160">
        <v>42324</v>
      </c>
      <c r="X66" s="12">
        <v>26.27</v>
      </c>
      <c r="Y66" s="12">
        <v>27.95</v>
      </c>
      <c r="Z66" s="12">
        <v>25.33</v>
      </c>
      <c r="AA66" s="12">
        <v>27.84</v>
      </c>
      <c r="AB66" s="115">
        <v>5287600</v>
      </c>
      <c r="AC66" s="12">
        <v>27.84</v>
      </c>
      <c r="AD66" s="2">
        <f t="shared" si="2"/>
        <v>2.620000000000001</v>
      </c>
      <c r="AE66" s="165">
        <f t="shared" si="3"/>
        <v>7.6982591876208817E-2</v>
      </c>
    </row>
    <row r="67" spans="15:31" x14ac:dyDescent="0.25">
      <c r="W67" s="160">
        <v>42321</v>
      </c>
      <c r="X67" s="12">
        <v>24.69</v>
      </c>
      <c r="Y67" s="12">
        <v>26.3</v>
      </c>
      <c r="Z67" s="12">
        <v>24.64</v>
      </c>
      <c r="AA67" s="12">
        <v>25.85</v>
      </c>
      <c r="AB67" s="115">
        <v>3817300</v>
      </c>
      <c r="AC67" s="12">
        <v>25.85</v>
      </c>
      <c r="AD67" s="2">
        <f t="shared" ref="AD67:AD68" si="8">Y67-Z67</f>
        <v>1.6600000000000001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2:P42"/>
  </mergeCells>
  <conditionalFormatting sqref="Q7 H37 F37">
    <cfRule type="expression" dxfId="167" priority="19">
      <formula>F7&gt;0</formula>
    </cfRule>
    <cfRule type="expression" dxfId="166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6">
    <cfRule type="expression" dxfId="165" priority="3">
      <formula>F21&gt;0</formula>
    </cfRule>
    <cfRule type="expression" dxfId="164" priority="4">
      <formula>F21&lt;0</formula>
    </cfRule>
  </conditionalFormatting>
  <conditionalFormatting sqref="H21:H36">
    <cfRule type="expression" dxfId="163" priority="1">
      <formula>H21&gt;0</formula>
    </cfRule>
    <cfRule type="expression" dxfId="16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177</v>
      </c>
      <c r="W2" s="160">
        <v>42419</v>
      </c>
      <c r="X2" s="12">
        <v>8.76</v>
      </c>
      <c r="Y2" s="12">
        <v>8.8000000000000007</v>
      </c>
      <c r="Z2" s="12">
        <v>8.75</v>
      </c>
      <c r="AA2" s="12">
        <v>8.8000000000000007</v>
      </c>
      <c r="AB2" s="115">
        <v>3400</v>
      </c>
      <c r="AC2" s="12">
        <v>8.8000000000000007</v>
      </c>
      <c r="AD2" s="2">
        <f>Y2-Z2</f>
        <v>5.0000000000000711E-2</v>
      </c>
      <c r="AE2" s="165">
        <f>AC2/AC3-1</f>
        <v>-2.1134593993325845E-2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8.8000000000000007</v>
      </c>
      <c r="W3" s="160">
        <v>42418</v>
      </c>
      <c r="X3" s="12">
        <v>9.11</v>
      </c>
      <c r="Y3" s="12">
        <v>9.11</v>
      </c>
      <c r="Z3" s="12">
        <v>8.89</v>
      </c>
      <c r="AA3" s="12">
        <v>8.99</v>
      </c>
      <c r="AB3" s="115">
        <v>13200</v>
      </c>
      <c r="AC3" s="12">
        <v>8.99</v>
      </c>
      <c r="AD3" s="2">
        <f t="shared" ref="AD3:AD66" si="1">Y3-Z3</f>
        <v>0.21999999999999886</v>
      </c>
      <c r="AE3" s="165">
        <f t="shared" ref="AE3:AE66" si="2">AC3/AC4-1</f>
        <v>4.4692737430167551E-3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8.8000000000000007</v>
      </c>
      <c r="W4" s="160">
        <v>42417</v>
      </c>
      <c r="X4" s="12">
        <v>8.9</v>
      </c>
      <c r="Y4" s="12">
        <v>8.98</v>
      </c>
      <c r="Z4" s="12">
        <v>8.9</v>
      </c>
      <c r="AA4" s="12">
        <v>8.9499999999999993</v>
      </c>
      <c r="AB4" s="115">
        <v>5900</v>
      </c>
      <c r="AC4" s="12">
        <v>8.9499999999999993</v>
      </c>
      <c r="AD4" s="2">
        <f t="shared" si="1"/>
        <v>8.0000000000000071E-2</v>
      </c>
      <c r="AE4" s="165">
        <f t="shared" si="2"/>
        <v>-5.5555555555556468E-3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42416</v>
      </c>
      <c r="X5" s="12">
        <v>8.99</v>
      </c>
      <c r="Y5" s="12">
        <v>9.01</v>
      </c>
      <c r="Z5" s="12">
        <v>8.9600000000000009</v>
      </c>
      <c r="AA5" s="12">
        <v>9</v>
      </c>
      <c r="AB5" s="115">
        <v>11800</v>
      </c>
      <c r="AC5" s="12">
        <v>9</v>
      </c>
      <c r="AD5" s="2">
        <f t="shared" si="1"/>
        <v>4.9999999999998934E-2</v>
      </c>
      <c r="AE5" s="165">
        <f t="shared" si="2"/>
        <v>1.2373453318335059E-2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42412</v>
      </c>
      <c r="X6" s="12">
        <v>8.73</v>
      </c>
      <c r="Y6" s="12">
        <v>8.89</v>
      </c>
      <c r="Z6" s="12">
        <v>8.68</v>
      </c>
      <c r="AA6" s="12">
        <v>8.89</v>
      </c>
      <c r="AB6" s="115">
        <v>2500</v>
      </c>
      <c r="AC6" s="12">
        <v>8.89</v>
      </c>
      <c r="AD6" s="2">
        <f t="shared" si="1"/>
        <v>0.21000000000000085</v>
      </c>
      <c r="AE6" s="165">
        <f t="shared" si="2"/>
        <v>2.5374855824682907E-2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42411</v>
      </c>
      <c r="X7" s="12">
        <v>8.66</v>
      </c>
      <c r="Y7" s="12">
        <v>8.74</v>
      </c>
      <c r="Z7" s="12">
        <v>8.61</v>
      </c>
      <c r="AA7" s="12">
        <v>8.67</v>
      </c>
      <c r="AB7" s="115">
        <v>3700</v>
      </c>
      <c r="AC7" s="12">
        <v>8.67</v>
      </c>
      <c r="AD7" s="2">
        <f t="shared" si="1"/>
        <v>0.13000000000000078</v>
      </c>
      <c r="AE7" s="165">
        <f t="shared" si="2"/>
        <v>-2.4746906636670452E-2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42410</v>
      </c>
      <c r="X8" s="12">
        <v>8.9700000000000006</v>
      </c>
      <c r="Y8" s="12">
        <v>8.9700000000000006</v>
      </c>
      <c r="Z8" s="12">
        <v>8.84</v>
      </c>
      <c r="AA8" s="12">
        <v>8.89</v>
      </c>
      <c r="AB8" s="115">
        <v>1400</v>
      </c>
      <c r="AC8" s="12">
        <v>8.89</v>
      </c>
      <c r="AD8" s="2">
        <f t="shared" si="1"/>
        <v>0.13000000000000078</v>
      </c>
      <c r="AE8" s="165">
        <f t="shared" si="2"/>
        <v>0</v>
      </c>
    </row>
    <row r="9" spans="1:31" x14ac:dyDescent="0.25">
      <c r="E9" s="2"/>
      <c r="F9" s="2"/>
      <c r="W9" s="160">
        <v>42409</v>
      </c>
      <c r="X9" s="12">
        <v>8.82</v>
      </c>
      <c r="Y9" s="12">
        <v>8.93</v>
      </c>
      <c r="Z9" s="12">
        <v>8.81</v>
      </c>
      <c r="AA9" s="12">
        <v>8.89</v>
      </c>
      <c r="AB9" s="115">
        <v>6900</v>
      </c>
      <c r="AC9" s="12">
        <v>8.89</v>
      </c>
      <c r="AD9" s="2">
        <f t="shared" si="1"/>
        <v>0.11999999999999922</v>
      </c>
      <c r="AE9" s="165">
        <f t="shared" si="2"/>
        <v>-1.8763796909492259E-2</v>
      </c>
    </row>
    <row r="10" spans="1:31" x14ac:dyDescent="0.25">
      <c r="E10" s="2"/>
      <c r="F10" s="2"/>
      <c r="W10" s="160">
        <v>42408</v>
      </c>
      <c r="X10" s="12">
        <v>9.14</v>
      </c>
      <c r="Y10" s="12">
        <v>9.17</v>
      </c>
      <c r="Z10" s="12">
        <v>8.9</v>
      </c>
      <c r="AA10" s="12">
        <v>9.06</v>
      </c>
      <c r="AB10" s="115">
        <v>30700</v>
      </c>
      <c r="AC10" s="12">
        <v>9.06</v>
      </c>
      <c r="AD10" s="2">
        <f t="shared" si="1"/>
        <v>0.26999999999999957</v>
      </c>
      <c r="AE10" s="165">
        <f t="shared" si="2"/>
        <v>2.8376844494892195E-2</v>
      </c>
    </row>
    <row r="11" spans="1:31" x14ac:dyDescent="0.25">
      <c r="E11" s="2"/>
      <c r="F11" s="2"/>
      <c r="W11" s="160">
        <v>42405</v>
      </c>
      <c r="X11" s="12">
        <v>8.92</v>
      </c>
      <c r="Y11" s="12">
        <v>8.92</v>
      </c>
      <c r="Z11" s="12">
        <v>8.7899999999999991</v>
      </c>
      <c r="AA11" s="12">
        <v>8.81</v>
      </c>
      <c r="AB11" s="115">
        <v>5100</v>
      </c>
      <c r="AC11" s="12">
        <v>8.81</v>
      </c>
      <c r="AD11" s="2">
        <f t="shared" si="1"/>
        <v>0.13000000000000078</v>
      </c>
      <c r="AE11" s="165">
        <f t="shared" si="2"/>
        <v>-2.5442477876106095E-2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164</v>
      </c>
      <c r="W12" s="160">
        <v>42404</v>
      </c>
      <c r="X12" s="12">
        <v>8.98</v>
      </c>
      <c r="Y12" s="12">
        <v>9.06</v>
      </c>
      <c r="Z12" s="12">
        <v>8.98</v>
      </c>
      <c r="AA12" s="12">
        <v>9.0399999999999991</v>
      </c>
      <c r="AB12" s="115">
        <v>1800</v>
      </c>
      <c r="AC12" s="12">
        <v>9.0399999999999991</v>
      </c>
      <c r="AD12" s="2">
        <f t="shared" si="1"/>
        <v>8.0000000000000071E-2</v>
      </c>
      <c r="AE12" s="165">
        <f t="shared" si="2"/>
        <v>2.4943310657596252E-2</v>
      </c>
    </row>
    <row r="13" spans="1:31" x14ac:dyDescent="0.25">
      <c r="W13" s="160">
        <v>42403</v>
      </c>
      <c r="X13" s="12">
        <v>8.9</v>
      </c>
      <c r="Y13" s="12">
        <v>8.92</v>
      </c>
      <c r="Z13" s="12">
        <v>8.7200000000000006</v>
      </c>
      <c r="AA13" s="12">
        <v>8.82</v>
      </c>
      <c r="AB13" s="115">
        <v>9100</v>
      </c>
      <c r="AC13" s="12">
        <v>8.82</v>
      </c>
      <c r="AD13" s="2">
        <f t="shared" si="1"/>
        <v>0.19999999999999929</v>
      </c>
      <c r="AE13" s="165">
        <f t="shared" si="2"/>
        <v>-3.076923076923066E-2</v>
      </c>
    </row>
    <row r="14" spans="1:31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50" t="s">
        <v>65</v>
      </c>
      <c r="G14" s="294" t="s">
        <v>195</v>
      </c>
      <c r="H14" s="250" t="s">
        <v>92</v>
      </c>
      <c r="R14" s="47"/>
      <c r="W14" s="160">
        <v>42402</v>
      </c>
      <c r="X14" s="12">
        <v>9.11</v>
      </c>
      <c r="Y14" s="12">
        <v>9.1300000000000008</v>
      </c>
      <c r="Z14" s="12">
        <v>9.0399999999999991</v>
      </c>
      <c r="AA14" s="12">
        <v>9.1</v>
      </c>
      <c r="AB14" s="115">
        <v>12600</v>
      </c>
      <c r="AC14" s="12">
        <v>9.1</v>
      </c>
      <c r="AD14" s="2">
        <f t="shared" si="1"/>
        <v>9.0000000000001634E-2</v>
      </c>
      <c r="AE14" s="165">
        <f t="shared" si="2"/>
        <v>-2.0452099031216364E-2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42401</v>
      </c>
      <c r="X15" s="12">
        <v>9.1999999999999993</v>
      </c>
      <c r="Y15" s="12">
        <v>9.2899999999999991</v>
      </c>
      <c r="Z15" s="12">
        <v>9.1999999999999993</v>
      </c>
      <c r="AA15" s="12">
        <v>9.2899999999999991</v>
      </c>
      <c r="AB15" s="115">
        <v>27100</v>
      </c>
      <c r="AC15" s="12">
        <v>9.2899999999999991</v>
      </c>
      <c r="AD15" s="2">
        <f t="shared" si="1"/>
        <v>8.9999999999999858E-2</v>
      </c>
      <c r="AE15" s="165">
        <f t="shared" si="2"/>
        <v>9.7826086956520619E-3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42398</v>
      </c>
      <c r="X16" s="12">
        <v>8.85</v>
      </c>
      <c r="Y16" s="12">
        <v>9.1999999999999993</v>
      </c>
      <c r="Z16" s="12">
        <v>8.6</v>
      </c>
      <c r="AA16" s="12">
        <v>9.1999999999999993</v>
      </c>
      <c r="AB16" s="115">
        <v>30500</v>
      </c>
      <c r="AC16" s="12">
        <v>9.1999999999999993</v>
      </c>
      <c r="AD16" s="2">
        <f t="shared" si="1"/>
        <v>0.59999999999999964</v>
      </c>
      <c r="AE16" s="165">
        <f t="shared" si="2"/>
        <v>7.6670317634170981E-3</v>
      </c>
    </row>
    <row r="17" spans="2:31" x14ac:dyDescent="0.25">
      <c r="B17" s="248">
        <v>42327</v>
      </c>
      <c r="C17" s="12">
        <v>0</v>
      </c>
      <c r="D17" s="259" t="s">
        <v>145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42397</v>
      </c>
      <c r="X17" s="12">
        <v>9.31</v>
      </c>
      <c r="Y17" s="12">
        <v>9.31</v>
      </c>
      <c r="Z17" s="12">
        <v>9.06</v>
      </c>
      <c r="AA17" s="12">
        <v>9.1300000000000008</v>
      </c>
      <c r="AB17" s="115">
        <v>48600</v>
      </c>
      <c r="AC17" s="12">
        <v>9.1300000000000008</v>
      </c>
      <c r="AD17" s="2">
        <f t="shared" si="1"/>
        <v>0.25</v>
      </c>
      <c r="AE17" s="165">
        <f t="shared" si="2"/>
        <v>0.10000000000000009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42396</v>
      </c>
      <c r="X18" s="12">
        <v>7.91</v>
      </c>
      <c r="Y18" s="12">
        <v>8.4</v>
      </c>
      <c r="Z18" s="12">
        <v>7.91</v>
      </c>
      <c r="AA18" s="12">
        <v>8.3000000000000007</v>
      </c>
      <c r="AB18" s="115">
        <v>7500</v>
      </c>
      <c r="AC18" s="12">
        <v>8.3000000000000007</v>
      </c>
      <c r="AD18" s="2">
        <f t="shared" si="1"/>
        <v>0.49000000000000021</v>
      </c>
      <c r="AE18" s="165">
        <f t="shared" si="2"/>
        <v>2.091020910209096E-2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42395</v>
      </c>
      <c r="X19" s="12">
        <v>8.06</v>
      </c>
      <c r="Y19" s="12">
        <v>8.14</v>
      </c>
      <c r="Z19" s="12">
        <v>8.01</v>
      </c>
      <c r="AA19" s="12">
        <v>8.1300000000000008</v>
      </c>
      <c r="AB19" s="115">
        <v>2300</v>
      </c>
      <c r="AC19" s="12">
        <v>8.1300000000000008</v>
      </c>
      <c r="AD19" s="2">
        <f t="shared" si="1"/>
        <v>0.13000000000000078</v>
      </c>
      <c r="AE19" s="165">
        <f t="shared" si="2"/>
        <v>2.4660912453762229E-3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42394</v>
      </c>
      <c r="X20" s="12">
        <v>8.1199999999999992</v>
      </c>
      <c r="Y20" s="12">
        <v>8.1999999999999993</v>
      </c>
      <c r="Z20" s="12">
        <v>8.01</v>
      </c>
      <c r="AA20" s="12">
        <v>8.11</v>
      </c>
      <c r="AB20" s="115">
        <v>13400</v>
      </c>
      <c r="AC20" s="12">
        <v>8.11</v>
      </c>
      <c r="AD20" s="2">
        <f t="shared" si="1"/>
        <v>0.1899999999999995</v>
      </c>
      <c r="AE20" s="165">
        <f t="shared" si="2"/>
        <v>-2.2891566265060392E-2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42391</v>
      </c>
      <c r="X21" s="12">
        <v>8.19</v>
      </c>
      <c r="Y21" s="12">
        <v>8.3000000000000007</v>
      </c>
      <c r="Z21" s="12">
        <v>8.19</v>
      </c>
      <c r="AA21" s="12">
        <v>8.3000000000000007</v>
      </c>
      <c r="AB21" s="115">
        <v>16000</v>
      </c>
      <c r="AC21" s="12">
        <v>8.3000000000000007</v>
      </c>
      <c r="AD21" s="2">
        <f t="shared" si="1"/>
        <v>0.11000000000000121</v>
      </c>
      <c r="AE21" s="165">
        <f t="shared" si="2"/>
        <v>3.2338308457711573E-2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42390</v>
      </c>
      <c r="X22" s="12">
        <v>7.96</v>
      </c>
      <c r="Y22" s="12">
        <v>8.1199999999999992</v>
      </c>
      <c r="Z22" s="12">
        <v>7.95</v>
      </c>
      <c r="AA22" s="12">
        <v>8.0399999999999991</v>
      </c>
      <c r="AB22" s="115">
        <v>9400</v>
      </c>
      <c r="AC22" s="12">
        <v>8.0399999999999991</v>
      </c>
      <c r="AD22" s="2">
        <f t="shared" si="1"/>
        <v>0.16999999999999904</v>
      </c>
      <c r="AE22" s="165">
        <f t="shared" si="2"/>
        <v>1.7721518987341645E-2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42389</v>
      </c>
      <c r="X23" s="12">
        <v>7.95</v>
      </c>
      <c r="Y23" s="12">
        <v>7.96</v>
      </c>
      <c r="Z23" s="12">
        <v>7.74</v>
      </c>
      <c r="AA23" s="12">
        <v>7.9</v>
      </c>
      <c r="AB23" s="115">
        <v>6000</v>
      </c>
      <c r="AC23" s="12">
        <v>7.9</v>
      </c>
      <c r="AD23" s="2">
        <f t="shared" si="1"/>
        <v>0.21999999999999975</v>
      </c>
      <c r="AE23" s="165">
        <f t="shared" si="2"/>
        <v>-4.0097205346294018E-2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42388</v>
      </c>
      <c r="X24" s="12">
        <v>8.32</v>
      </c>
      <c r="Y24" s="12">
        <v>8.33</v>
      </c>
      <c r="Z24" s="12">
        <v>8.16</v>
      </c>
      <c r="AA24" s="12">
        <v>8.23</v>
      </c>
      <c r="AB24" s="115">
        <v>24100</v>
      </c>
      <c r="AC24" s="12">
        <v>8.23</v>
      </c>
      <c r="AD24" s="2">
        <f t="shared" si="1"/>
        <v>0.16999999999999993</v>
      </c>
      <c r="AE24" s="165">
        <f t="shared" si="2"/>
        <v>3.7831021437578993E-2</v>
      </c>
    </row>
    <row r="25" spans="2:31" x14ac:dyDescent="0.25">
      <c r="R25" s="47"/>
      <c r="W25" s="160">
        <v>42384</v>
      </c>
      <c r="X25" s="12">
        <v>7.93</v>
      </c>
      <c r="Y25" s="12">
        <v>7.98</v>
      </c>
      <c r="Z25" s="12">
        <v>7.9</v>
      </c>
      <c r="AA25" s="12">
        <v>7.93</v>
      </c>
      <c r="AB25" s="115">
        <v>7000</v>
      </c>
      <c r="AC25" s="12">
        <v>7.93</v>
      </c>
      <c r="AD25" s="2">
        <f t="shared" si="1"/>
        <v>8.0000000000000071E-2</v>
      </c>
      <c r="AE25" s="165">
        <f t="shared" si="2"/>
        <v>-4.2270531400966149E-2</v>
      </c>
    </row>
    <row r="26" spans="2:31" x14ac:dyDescent="0.25">
      <c r="R26" s="47"/>
      <c r="W26" s="160">
        <v>42383</v>
      </c>
      <c r="X26" s="12">
        <v>8.14</v>
      </c>
      <c r="Y26" s="12">
        <v>8.34</v>
      </c>
      <c r="Z26" s="12">
        <v>8.1300000000000008</v>
      </c>
      <c r="AA26" s="12">
        <v>8.2799999999999994</v>
      </c>
      <c r="AB26" s="115">
        <v>31100</v>
      </c>
      <c r="AC26" s="12">
        <v>8.2799999999999994</v>
      </c>
      <c r="AD26" s="2">
        <f t="shared" si="1"/>
        <v>0.20999999999999908</v>
      </c>
      <c r="AE26" s="165">
        <f t="shared" si="2"/>
        <v>2.4752475247524774E-2</v>
      </c>
    </row>
    <row r="27" spans="2:31" x14ac:dyDescent="0.25">
      <c r="R27" s="47"/>
      <c r="W27" s="160">
        <v>42382</v>
      </c>
      <c r="X27" s="12">
        <v>8.27</v>
      </c>
      <c r="Y27" s="12">
        <v>8.27</v>
      </c>
      <c r="Z27" s="12">
        <v>8.06</v>
      </c>
      <c r="AA27" s="12">
        <v>8.08</v>
      </c>
      <c r="AB27" s="115">
        <v>18800</v>
      </c>
      <c r="AC27" s="12">
        <v>8.08</v>
      </c>
      <c r="AD27" s="2">
        <f t="shared" si="1"/>
        <v>0.20999999999999908</v>
      </c>
      <c r="AE27" s="165">
        <f t="shared" si="2"/>
        <v>-7.3710073710073765E-3</v>
      </c>
    </row>
    <row r="28" spans="2:31" x14ac:dyDescent="0.25">
      <c r="W28" s="160">
        <v>42381</v>
      </c>
      <c r="X28" s="12">
        <v>8.16</v>
      </c>
      <c r="Y28" s="12">
        <v>8.2100000000000009</v>
      </c>
      <c r="Z28" s="12">
        <v>8.07</v>
      </c>
      <c r="AA28" s="12">
        <v>8.14</v>
      </c>
      <c r="AB28" s="115">
        <v>18200</v>
      </c>
      <c r="AC28" s="12">
        <v>8.14</v>
      </c>
      <c r="AD28" s="2">
        <f t="shared" si="1"/>
        <v>0.14000000000000057</v>
      </c>
      <c r="AE28" s="165">
        <f t="shared" si="2"/>
        <v>2.518891687657443E-2</v>
      </c>
    </row>
    <row r="29" spans="2:31" x14ac:dyDescent="0.25">
      <c r="W29" s="160">
        <v>42380</v>
      </c>
      <c r="X29" s="12">
        <v>7.93</v>
      </c>
      <c r="Y29" s="12">
        <v>8.02</v>
      </c>
      <c r="Z29" s="12">
        <v>7.65</v>
      </c>
      <c r="AA29" s="12">
        <v>7.94</v>
      </c>
      <c r="AB29" s="115">
        <v>22000</v>
      </c>
      <c r="AC29" s="12">
        <v>7.94</v>
      </c>
      <c r="AD29" s="2">
        <f t="shared" si="1"/>
        <v>0.36999999999999922</v>
      </c>
      <c r="AE29" s="165">
        <f t="shared" si="2"/>
        <v>1.1464968152866239E-2</v>
      </c>
    </row>
    <row r="30" spans="2:31" x14ac:dyDescent="0.25">
      <c r="W30" s="160">
        <v>42377</v>
      </c>
      <c r="X30" s="12">
        <v>8</v>
      </c>
      <c r="Y30" s="12">
        <v>8.02</v>
      </c>
      <c r="Z30" s="12">
        <v>7.85</v>
      </c>
      <c r="AA30" s="12">
        <v>7.85</v>
      </c>
      <c r="AB30" s="115">
        <v>10700</v>
      </c>
      <c r="AC30" s="12">
        <v>7.85</v>
      </c>
      <c r="AD30" s="2">
        <f t="shared" si="1"/>
        <v>0.16999999999999993</v>
      </c>
      <c r="AE30" s="165">
        <f t="shared" si="2"/>
        <v>6.4102564102563875E-3</v>
      </c>
    </row>
    <row r="31" spans="2:31" x14ac:dyDescent="0.25">
      <c r="W31" s="160">
        <v>42376</v>
      </c>
      <c r="X31" s="12">
        <v>7.89</v>
      </c>
      <c r="Y31" s="12">
        <v>7.94</v>
      </c>
      <c r="Z31" s="12">
        <v>7.76</v>
      </c>
      <c r="AA31" s="12">
        <v>7.8</v>
      </c>
      <c r="AB31" s="115">
        <v>32000</v>
      </c>
      <c r="AC31" s="12">
        <v>7.8</v>
      </c>
      <c r="AD31" s="2">
        <f t="shared" si="1"/>
        <v>0.1800000000000006</v>
      </c>
      <c r="AE31" s="165">
        <f t="shared" si="2"/>
        <v>-2.5000000000000022E-2</v>
      </c>
    </row>
    <row r="32" spans="2:31" x14ac:dyDescent="0.25">
      <c r="W32" s="160">
        <v>42375</v>
      </c>
      <c r="X32" s="12">
        <v>8.02</v>
      </c>
      <c r="Y32" s="12">
        <v>8.07</v>
      </c>
      <c r="Z32" s="12">
        <v>7.98</v>
      </c>
      <c r="AA32" s="12">
        <v>8</v>
      </c>
      <c r="AB32" s="115">
        <v>16300</v>
      </c>
      <c r="AC32" s="12">
        <v>8</v>
      </c>
      <c r="AD32" s="2">
        <f t="shared" si="1"/>
        <v>8.9999999999999858E-2</v>
      </c>
      <c r="AE32" s="165">
        <f t="shared" si="2"/>
        <v>-3.3816425120772875E-2</v>
      </c>
    </row>
    <row r="33" spans="15:31" x14ac:dyDescent="0.25">
      <c r="W33" s="160">
        <v>42374</v>
      </c>
      <c r="X33" s="12">
        <v>8.17</v>
      </c>
      <c r="Y33" s="12">
        <v>8.2799999999999994</v>
      </c>
      <c r="Z33" s="12">
        <v>8.17</v>
      </c>
      <c r="AA33" s="12">
        <v>8.2799999999999994</v>
      </c>
      <c r="AB33" s="115">
        <v>19100</v>
      </c>
      <c r="AC33" s="12">
        <v>8.2799999999999994</v>
      </c>
      <c r="AD33" s="2">
        <f t="shared" si="1"/>
        <v>0.10999999999999943</v>
      </c>
      <c r="AE33" s="165">
        <f t="shared" si="2"/>
        <v>4.5454545454545414E-2</v>
      </c>
    </row>
    <row r="34" spans="15:31" x14ac:dyDescent="0.25">
      <c r="W34" s="160">
        <v>42373</v>
      </c>
      <c r="X34" s="12">
        <v>7.96</v>
      </c>
      <c r="Y34" s="12">
        <v>7.97</v>
      </c>
      <c r="Z34" s="12">
        <v>7.85</v>
      </c>
      <c r="AA34" s="12">
        <v>7.92</v>
      </c>
      <c r="AB34" s="115">
        <v>16900</v>
      </c>
      <c r="AC34" s="12">
        <v>7.92</v>
      </c>
      <c r="AD34" s="2">
        <f t="shared" si="1"/>
        <v>0.12000000000000011</v>
      </c>
      <c r="AE34" s="165">
        <f t="shared" si="2"/>
        <v>-4.5783132530120563E-2</v>
      </c>
    </row>
    <row r="35" spans="15:31" x14ac:dyDescent="0.25">
      <c r="W35" s="160">
        <v>42369</v>
      </c>
      <c r="X35" s="12">
        <v>8.26</v>
      </c>
      <c r="Y35" s="12">
        <v>8.35</v>
      </c>
      <c r="Z35" s="12">
        <v>8.26</v>
      </c>
      <c r="AA35" s="12">
        <v>8.3000000000000007</v>
      </c>
      <c r="AB35" s="115">
        <v>14700</v>
      </c>
      <c r="AC35" s="12">
        <v>8.3000000000000007</v>
      </c>
      <c r="AD35" s="2">
        <f t="shared" si="1"/>
        <v>8.9999999999999858E-2</v>
      </c>
      <c r="AE35" s="165">
        <f t="shared" si="2"/>
        <v>-5.9880239520956335E-3</v>
      </c>
    </row>
    <row r="36" spans="15:31" x14ac:dyDescent="0.25">
      <c r="W36" s="160">
        <v>42368</v>
      </c>
      <c r="X36" s="12">
        <v>8.36</v>
      </c>
      <c r="Y36" s="12">
        <v>8.43</v>
      </c>
      <c r="Z36" s="12">
        <v>8.33</v>
      </c>
      <c r="AA36" s="12">
        <v>8.35</v>
      </c>
      <c r="AB36" s="115">
        <v>4700</v>
      </c>
      <c r="AC36" s="12">
        <v>8.35</v>
      </c>
      <c r="AD36" s="2">
        <f t="shared" si="1"/>
        <v>9.9999999999999645E-2</v>
      </c>
      <c r="AE36" s="165">
        <f t="shared" si="2"/>
        <v>-2.4532710280373959E-2</v>
      </c>
    </row>
    <row r="37" spans="15:31" ht="20.25" thickBot="1" x14ac:dyDescent="0.35">
      <c r="O37" s="389" t="s">
        <v>78</v>
      </c>
      <c r="P37" s="389"/>
      <c r="T37" s="111" t="s">
        <v>121</v>
      </c>
      <c r="W37" s="160">
        <v>42367</v>
      </c>
      <c r="X37" s="12">
        <v>8.5500000000000007</v>
      </c>
      <c r="Y37" s="12">
        <v>8.59</v>
      </c>
      <c r="Z37" s="12">
        <v>8.5399999999999991</v>
      </c>
      <c r="AA37" s="12">
        <v>8.56</v>
      </c>
      <c r="AB37" s="115">
        <v>6600</v>
      </c>
      <c r="AC37" s="12">
        <v>8.56</v>
      </c>
      <c r="AD37" s="2">
        <f t="shared" si="1"/>
        <v>5.0000000000000711E-2</v>
      </c>
      <c r="AE37" s="165">
        <f t="shared" si="2"/>
        <v>1.542111506524324E-2</v>
      </c>
    </row>
    <row r="38" spans="15:31" ht="15.75" thickTop="1" x14ac:dyDescent="0.25">
      <c r="O38" s="103">
        <v>1.1000000000000001</v>
      </c>
      <c r="P38" s="103">
        <f>O38*$Q$4</f>
        <v>9.6800000000000015</v>
      </c>
      <c r="Q38" s="2"/>
      <c r="T38" s="155" t="s">
        <v>106</v>
      </c>
      <c r="U38" s="118">
        <v>8.99</v>
      </c>
      <c r="W38" s="160">
        <v>42366</v>
      </c>
      <c r="X38" s="12">
        <v>8.44</v>
      </c>
      <c r="Y38" s="12">
        <v>8.44</v>
      </c>
      <c r="Z38" s="12">
        <v>8.4</v>
      </c>
      <c r="AA38" s="12">
        <v>8.43</v>
      </c>
      <c r="AB38" s="115">
        <v>3300</v>
      </c>
      <c r="AC38" s="12">
        <v>8.43</v>
      </c>
      <c r="AD38" s="2">
        <f t="shared" si="1"/>
        <v>3.9999999999999147E-2</v>
      </c>
      <c r="AE38" s="165">
        <f t="shared" si="2"/>
        <v>-3.5460992907803135E-3</v>
      </c>
    </row>
    <row r="39" spans="15:31" x14ac:dyDescent="0.25">
      <c r="O39" s="103">
        <v>1.0900000000000001</v>
      </c>
      <c r="P39" s="103">
        <f t="shared" ref="P39:P58" si="6">O39*$Q$4</f>
        <v>9.5920000000000023</v>
      </c>
      <c r="Q39" s="2"/>
      <c r="T39" s="113" t="s">
        <v>107</v>
      </c>
      <c r="U39" s="108">
        <v>8.76</v>
      </c>
      <c r="W39" s="160">
        <v>42362</v>
      </c>
      <c r="X39" s="12">
        <v>8.52</v>
      </c>
      <c r="Y39" s="12">
        <v>8.52</v>
      </c>
      <c r="Z39" s="12">
        <v>8.4600000000000009</v>
      </c>
      <c r="AA39" s="12">
        <v>8.4600000000000009</v>
      </c>
      <c r="AB39" s="115">
        <v>2200</v>
      </c>
      <c r="AC39" s="12">
        <v>8.4600000000000009</v>
      </c>
      <c r="AD39" s="2">
        <f t="shared" si="1"/>
        <v>5.9999999999998721E-2</v>
      </c>
      <c r="AE39" s="165">
        <f t="shared" si="2"/>
        <v>-1.1682242990654124E-2</v>
      </c>
    </row>
    <row r="40" spans="15:31" x14ac:dyDescent="0.25">
      <c r="O40" s="103">
        <v>1.08</v>
      </c>
      <c r="P40" s="103">
        <f t="shared" si="6"/>
        <v>9.5040000000000013</v>
      </c>
      <c r="Q40" s="2"/>
      <c r="T40" s="113" t="s">
        <v>108</v>
      </c>
      <c r="U40" s="108" t="s">
        <v>391</v>
      </c>
      <c r="W40" s="160">
        <v>42361</v>
      </c>
      <c r="X40" s="12">
        <v>8.5</v>
      </c>
      <c r="Y40" s="12">
        <v>8.58</v>
      </c>
      <c r="Z40" s="12">
        <v>8.5</v>
      </c>
      <c r="AA40" s="12">
        <v>8.56</v>
      </c>
      <c r="AB40" s="115">
        <v>2600</v>
      </c>
      <c r="AC40" s="12">
        <v>8.56</v>
      </c>
      <c r="AD40" s="2">
        <f t="shared" si="1"/>
        <v>8.0000000000000071E-2</v>
      </c>
      <c r="AE40" s="165">
        <f t="shared" si="2"/>
        <v>1.0625737898465104E-2</v>
      </c>
    </row>
    <row r="41" spans="15:31" x14ac:dyDescent="0.25">
      <c r="O41" s="103">
        <v>1.07</v>
      </c>
      <c r="P41" s="103">
        <f t="shared" si="6"/>
        <v>9.4160000000000021</v>
      </c>
      <c r="Q41" s="2"/>
      <c r="T41" s="113" t="s">
        <v>109</v>
      </c>
      <c r="U41" s="108" t="s">
        <v>392</v>
      </c>
      <c r="W41" s="160">
        <v>42360</v>
      </c>
      <c r="X41" s="12">
        <v>8.4600000000000009</v>
      </c>
      <c r="Y41" s="12">
        <v>8.4700000000000006</v>
      </c>
      <c r="Z41" s="12">
        <v>8.41</v>
      </c>
      <c r="AA41" s="12">
        <v>8.4700000000000006</v>
      </c>
      <c r="AB41" s="115">
        <v>26200</v>
      </c>
      <c r="AC41" s="12">
        <v>8.4700000000000006</v>
      </c>
      <c r="AD41" s="2">
        <f t="shared" si="1"/>
        <v>6.0000000000000497E-2</v>
      </c>
      <c r="AE41" s="165">
        <f t="shared" si="2"/>
        <v>-2.3557126030623321E-3</v>
      </c>
    </row>
    <row r="42" spans="15:31" x14ac:dyDescent="0.25">
      <c r="O42" s="103">
        <v>1.06</v>
      </c>
      <c r="P42" s="103">
        <f t="shared" si="6"/>
        <v>9.3280000000000012</v>
      </c>
      <c r="Q42" s="2"/>
      <c r="T42" s="113" t="s">
        <v>110</v>
      </c>
      <c r="U42" s="108">
        <v>28</v>
      </c>
      <c r="W42" s="160">
        <v>42359</v>
      </c>
      <c r="X42" s="12">
        <v>8.4700000000000006</v>
      </c>
      <c r="Y42" s="12">
        <v>8.51</v>
      </c>
      <c r="Z42" s="12">
        <v>8.43</v>
      </c>
      <c r="AA42" s="12">
        <v>8.49</v>
      </c>
      <c r="AB42" s="115">
        <v>1400</v>
      </c>
      <c r="AC42" s="12">
        <v>8.49</v>
      </c>
      <c r="AD42" s="2">
        <f t="shared" si="1"/>
        <v>8.0000000000000071E-2</v>
      </c>
      <c r="AE42" s="165">
        <f t="shared" si="2"/>
        <v>-8.1775700934579865E-3</v>
      </c>
    </row>
    <row r="43" spans="15:31" x14ac:dyDescent="0.25">
      <c r="O43" s="103">
        <v>1.05</v>
      </c>
      <c r="P43" s="103">
        <f t="shared" si="6"/>
        <v>9.240000000000002</v>
      </c>
      <c r="Q43" s="2"/>
      <c r="T43" s="113" t="s">
        <v>111</v>
      </c>
      <c r="U43" s="108">
        <v>0.46177200000000002</v>
      </c>
      <c r="W43" s="160">
        <v>42356</v>
      </c>
      <c r="X43" s="12">
        <v>8.59</v>
      </c>
      <c r="Y43" s="12">
        <v>8.61</v>
      </c>
      <c r="Z43" s="12">
        <v>8.5399999999999991</v>
      </c>
      <c r="AA43" s="12">
        <v>8.56</v>
      </c>
      <c r="AB43" s="115">
        <v>2000</v>
      </c>
      <c r="AC43" s="12">
        <v>8.56</v>
      </c>
      <c r="AD43" s="2">
        <f t="shared" si="1"/>
        <v>7.0000000000000284E-2</v>
      </c>
      <c r="AE43" s="165">
        <f t="shared" si="2"/>
        <v>-1.4959723820483162E-2</v>
      </c>
    </row>
    <row r="44" spans="15:31" x14ac:dyDescent="0.25">
      <c r="O44" s="103">
        <v>1.04</v>
      </c>
      <c r="P44" s="103">
        <f t="shared" si="6"/>
        <v>9.152000000000001</v>
      </c>
      <c r="Q44" s="2"/>
      <c r="T44" s="113" t="s">
        <v>112</v>
      </c>
      <c r="U44" s="108" t="s">
        <v>145</v>
      </c>
      <c r="W44" s="160">
        <v>42355</v>
      </c>
      <c r="X44" s="12">
        <v>8.8000000000000007</v>
      </c>
      <c r="Y44" s="12">
        <v>8.8000000000000007</v>
      </c>
      <c r="Z44" s="12">
        <v>8.65</v>
      </c>
      <c r="AA44" s="12">
        <v>8.69</v>
      </c>
      <c r="AB44" s="115">
        <v>6000</v>
      </c>
      <c r="AC44" s="12">
        <v>8.69</v>
      </c>
      <c r="AD44" s="2">
        <f t="shared" si="1"/>
        <v>0.15000000000000036</v>
      </c>
      <c r="AE44" s="165">
        <f t="shared" si="2"/>
        <v>-1.8079096045197751E-2</v>
      </c>
    </row>
    <row r="45" spans="15:31" x14ac:dyDescent="0.25">
      <c r="O45" s="103">
        <v>1.03</v>
      </c>
      <c r="P45" s="103">
        <f t="shared" si="6"/>
        <v>9.0640000000000018</v>
      </c>
      <c r="Q45" s="2"/>
      <c r="T45" s="113"/>
      <c r="U45" s="108"/>
      <c r="W45" s="160">
        <v>42354</v>
      </c>
      <c r="X45" s="12">
        <v>8.8000000000000007</v>
      </c>
      <c r="Y45" s="12">
        <v>8.91</v>
      </c>
      <c r="Z45" s="12">
        <v>8.73</v>
      </c>
      <c r="AA45" s="12">
        <v>8.85</v>
      </c>
      <c r="AB45" s="115">
        <v>4400</v>
      </c>
      <c r="AC45" s="12">
        <v>8.85</v>
      </c>
      <c r="AD45" s="2">
        <f t="shared" si="1"/>
        <v>0.17999999999999972</v>
      </c>
      <c r="AE45" s="165">
        <f t="shared" si="2"/>
        <v>1.2585812356979309E-2</v>
      </c>
    </row>
    <row r="46" spans="15:31" x14ac:dyDescent="0.25">
      <c r="O46" s="103">
        <v>1.02</v>
      </c>
      <c r="P46" s="103">
        <f t="shared" si="6"/>
        <v>8.9760000000000009</v>
      </c>
      <c r="Q46" s="2"/>
      <c r="T46" s="113" t="s">
        <v>113</v>
      </c>
      <c r="U46" s="108" t="s">
        <v>393</v>
      </c>
      <c r="W46" s="160">
        <v>42353</v>
      </c>
      <c r="X46" s="12">
        <v>8.74</v>
      </c>
      <c r="Y46" s="12">
        <v>8.74</v>
      </c>
      <c r="Z46" s="12">
        <v>8.74</v>
      </c>
      <c r="AA46" s="12">
        <v>8.74</v>
      </c>
      <c r="AB46" s="115">
        <v>400</v>
      </c>
      <c r="AC46" s="12">
        <v>8.74</v>
      </c>
      <c r="AD46" s="2">
        <f t="shared" si="1"/>
        <v>0</v>
      </c>
      <c r="AE46" s="165">
        <f t="shared" si="2"/>
        <v>-7.9455164585698901E-3</v>
      </c>
    </row>
    <row r="47" spans="15:31" x14ac:dyDescent="0.25">
      <c r="O47" s="103">
        <v>1.01</v>
      </c>
      <c r="P47" s="103">
        <f t="shared" si="6"/>
        <v>8.8880000000000017</v>
      </c>
      <c r="Q47" s="2"/>
      <c r="T47" s="113" t="s">
        <v>114</v>
      </c>
      <c r="U47" s="108" t="s">
        <v>163</v>
      </c>
      <c r="W47" s="160">
        <v>42352</v>
      </c>
      <c r="X47" s="12">
        <v>8.83</v>
      </c>
      <c r="Y47" s="12">
        <v>8.83</v>
      </c>
      <c r="Z47" s="12">
        <v>8.73</v>
      </c>
      <c r="AA47" s="12">
        <v>8.81</v>
      </c>
      <c r="AB47" s="115">
        <v>1900</v>
      </c>
      <c r="AC47" s="12">
        <v>8.81</v>
      </c>
      <c r="AD47" s="2">
        <f t="shared" si="1"/>
        <v>9.9999999999999645E-2</v>
      </c>
      <c r="AE47" s="165">
        <f t="shared" si="2"/>
        <v>-4.5197740112993268E-3</v>
      </c>
    </row>
    <row r="48" spans="15:31" x14ac:dyDescent="0.25">
      <c r="O48" s="103">
        <v>1</v>
      </c>
      <c r="P48" s="103">
        <f t="shared" si="6"/>
        <v>8.8000000000000007</v>
      </c>
      <c r="Q48" s="2"/>
      <c r="T48" s="113" t="s">
        <v>115</v>
      </c>
      <c r="U48" s="110">
        <v>3435</v>
      </c>
      <c r="W48" s="160">
        <v>42349</v>
      </c>
      <c r="X48" s="12">
        <v>8.8699999999999992</v>
      </c>
      <c r="Y48" s="12">
        <v>8.93</v>
      </c>
      <c r="Z48" s="12">
        <v>8.85</v>
      </c>
      <c r="AA48" s="12">
        <v>8.85</v>
      </c>
      <c r="AB48" s="115">
        <v>3000</v>
      </c>
      <c r="AC48" s="12">
        <v>8.85</v>
      </c>
      <c r="AD48" s="2">
        <f t="shared" si="1"/>
        <v>8.0000000000000071E-2</v>
      </c>
      <c r="AE48" s="165">
        <f t="shared" si="2"/>
        <v>-1.1173184357541888E-2</v>
      </c>
    </row>
    <row r="49" spans="15:31" x14ac:dyDescent="0.25">
      <c r="O49" s="103">
        <v>0.99</v>
      </c>
      <c r="P49" s="103">
        <f t="shared" si="6"/>
        <v>8.7119999999999997</v>
      </c>
      <c r="Q49" s="2"/>
      <c r="T49" s="113" t="s">
        <v>118</v>
      </c>
      <c r="U49" s="110">
        <v>10528</v>
      </c>
      <c r="W49" s="160">
        <v>42348</v>
      </c>
      <c r="X49" s="12">
        <v>8.91</v>
      </c>
      <c r="Y49" s="12">
        <v>8.98</v>
      </c>
      <c r="Z49" s="12">
        <v>8.91</v>
      </c>
      <c r="AA49" s="12">
        <v>8.9499999999999993</v>
      </c>
      <c r="AB49" s="115">
        <v>4200</v>
      </c>
      <c r="AC49" s="12">
        <v>8.9499999999999993</v>
      </c>
      <c r="AD49" s="2">
        <f t="shared" si="1"/>
        <v>7.0000000000000284E-2</v>
      </c>
      <c r="AE49" s="165">
        <f t="shared" si="2"/>
        <v>-7.7605321507761005E-3</v>
      </c>
    </row>
    <row r="50" spans="15:31" x14ac:dyDescent="0.25">
      <c r="O50" s="103">
        <v>0.98</v>
      </c>
      <c r="P50" s="103">
        <f t="shared" si="6"/>
        <v>8.6240000000000006</v>
      </c>
      <c r="Q50" s="2"/>
      <c r="T50" s="113" t="s">
        <v>116</v>
      </c>
      <c r="U50" s="108" t="s">
        <v>394</v>
      </c>
      <c r="W50" s="160">
        <v>42347</v>
      </c>
      <c r="X50" s="12">
        <v>8.99</v>
      </c>
      <c r="Y50" s="12">
        <v>9.18</v>
      </c>
      <c r="Z50" s="12">
        <v>8.99</v>
      </c>
      <c r="AA50" s="12">
        <v>9.02</v>
      </c>
      <c r="AB50" s="115">
        <v>9500</v>
      </c>
      <c r="AC50" s="12">
        <v>9.02</v>
      </c>
      <c r="AD50" s="2">
        <f t="shared" si="1"/>
        <v>0.1899999999999995</v>
      </c>
      <c r="AE50" s="165">
        <f t="shared" si="2"/>
        <v>1.348314606741563E-2</v>
      </c>
    </row>
    <row r="51" spans="15:31" x14ac:dyDescent="0.25">
      <c r="O51" s="103">
        <v>0.97</v>
      </c>
      <c r="P51" s="103">
        <f t="shared" si="6"/>
        <v>8.5359999999999996</v>
      </c>
      <c r="T51" s="113" t="s">
        <v>119</v>
      </c>
      <c r="U51" s="108">
        <v>26.43</v>
      </c>
      <c r="W51" s="160">
        <v>42346</v>
      </c>
      <c r="X51" s="12">
        <v>8.8699999999999992</v>
      </c>
      <c r="Y51" s="12">
        <v>8.91</v>
      </c>
      <c r="Z51" s="12">
        <v>8.8699999999999992</v>
      </c>
      <c r="AA51" s="12">
        <v>8.9</v>
      </c>
      <c r="AB51" s="115">
        <v>1400</v>
      </c>
      <c r="AC51" s="12">
        <v>8.9</v>
      </c>
      <c r="AD51" s="2">
        <f t="shared" si="1"/>
        <v>4.0000000000000924E-2</v>
      </c>
      <c r="AE51" s="165">
        <f t="shared" si="2"/>
        <v>-3.5752979414951258E-2</v>
      </c>
    </row>
    <row r="52" spans="15:31" x14ac:dyDescent="0.25">
      <c r="O52" s="103">
        <v>0.96</v>
      </c>
      <c r="P52" s="103">
        <f t="shared" si="6"/>
        <v>8.4480000000000004</v>
      </c>
      <c r="T52" s="113" t="s">
        <v>120</v>
      </c>
      <c r="U52" s="108">
        <v>0.33</v>
      </c>
      <c r="W52" s="160">
        <v>42345</v>
      </c>
      <c r="X52" s="12">
        <v>9.2100000000000009</v>
      </c>
      <c r="Y52" s="12">
        <v>9.24</v>
      </c>
      <c r="Z52" s="12">
        <v>9.2100000000000009</v>
      </c>
      <c r="AA52" s="12">
        <v>9.23</v>
      </c>
      <c r="AB52" s="115">
        <v>1800</v>
      </c>
      <c r="AC52" s="12">
        <v>9.23</v>
      </c>
      <c r="AD52" s="2">
        <f t="shared" si="1"/>
        <v>2.9999999999999361E-2</v>
      </c>
      <c r="AE52" s="165">
        <f t="shared" si="2"/>
        <v>7.6419213973799582E-3</v>
      </c>
    </row>
    <row r="53" spans="15:31" x14ac:dyDescent="0.25">
      <c r="O53" s="103">
        <v>0.95</v>
      </c>
      <c r="P53" s="103">
        <f t="shared" si="6"/>
        <v>8.36</v>
      </c>
      <c r="T53" s="113" t="s">
        <v>117</v>
      </c>
      <c r="U53" s="108" t="s">
        <v>395</v>
      </c>
      <c r="W53" s="160">
        <v>42342</v>
      </c>
      <c r="X53" s="12">
        <v>9.1</v>
      </c>
      <c r="Y53" s="12">
        <v>9.18</v>
      </c>
      <c r="Z53" s="12">
        <v>9.1</v>
      </c>
      <c r="AA53" s="12">
        <v>9.16</v>
      </c>
      <c r="AB53" s="115">
        <v>3900</v>
      </c>
      <c r="AC53" s="12">
        <v>9.16</v>
      </c>
      <c r="AD53" s="2">
        <f t="shared" si="1"/>
        <v>8.0000000000000071E-2</v>
      </c>
      <c r="AE53" s="165">
        <f t="shared" si="2"/>
        <v>6.59340659340657E-3</v>
      </c>
    </row>
    <row r="54" spans="15:31" x14ac:dyDescent="0.25">
      <c r="O54" s="103">
        <v>0.94</v>
      </c>
      <c r="P54" s="103">
        <f t="shared" si="6"/>
        <v>8.2720000000000002</v>
      </c>
      <c r="W54" s="160">
        <v>42341</v>
      </c>
      <c r="X54" s="12">
        <v>9.17</v>
      </c>
      <c r="Y54" s="12">
        <v>9.2200000000000006</v>
      </c>
      <c r="Z54" s="12">
        <v>9.07</v>
      </c>
      <c r="AA54" s="12">
        <v>9.1</v>
      </c>
      <c r="AB54" s="115">
        <v>10100</v>
      </c>
      <c r="AC54" s="12">
        <v>9.1</v>
      </c>
      <c r="AD54" s="2">
        <f t="shared" si="1"/>
        <v>0.15000000000000036</v>
      </c>
      <c r="AE54" s="165">
        <f t="shared" si="2"/>
        <v>-9.7932535364526618E-3</v>
      </c>
    </row>
    <row r="55" spans="15:31" x14ac:dyDescent="0.25">
      <c r="O55" s="103">
        <v>0.93</v>
      </c>
      <c r="P55" s="103">
        <f t="shared" si="6"/>
        <v>8.1840000000000011</v>
      </c>
      <c r="W55" s="160">
        <v>42340</v>
      </c>
      <c r="X55" s="12">
        <v>9.27</v>
      </c>
      <c r="Y55" s="12">
        <v>9.2899999999999991</v>
      </c>
      <c r="Z55" s="12">
        <v>9.19</v>
      </c>
      <c r="AA55" s="12">
        <v>9.19</v>
      </c>
      <c r="AB55" s="115">
        <v>10800</v>
      </c>
      <c r="AC55" s="12">
        <v>9.19</v>
      </c>
      <c r="AD55" s="2">
        <f t="shared" si="1"/>
        <v>9.9999999999999645E-2</v>
      </c>
      <c r="AE55" s="165">
        <f t="shared" si="2"/>
        <v>-2.2340425531914954E-2</v>
      </c>
    </row>
    <row r="56" spans="15:31" x14ac:dyDescent="0.25">
      <c r="O56" s="103">
        <v>0.92</v>
      </c>
      <c r="P56" s="103">
        <f t="shared" si="6"/>
        <v>8.0960000000000019</v>
      </c>
      <c r="W56" s="160">
        <v>42339</v>
      </c>
      <c r="X56" s="12">
        <v>9.2899999999999991</v>
      </c>
      <c r="Y56" s="12">
        <v>9.4</v>
      </c>
      <c r="Z56" s="12">
        <v>9.2899999999999991</v>
      </c>
      <c r="AA56" s="12">
        <v>9.4</v>
      </c>
      <c r="AB56" s="115">
        <v>11400</v>
      </c>
      <c r="AC56" s="12">
        <v>9.4</v>
      </c>
      <c r="AD56" s="2">
        <f t="shared" si="1"/>
        <v>0.11000000000000121</v>
      </c>
      <c r="AE56" s="165">
        <f t="shared" si="2"/>
        <v>3.524229074889873E-2</v>
      </c>
    </row>
    <row r="57" spans="15:31" x14ac:dyDescent="0.25">
      <c r="O57" s="103">
        <v>0.91</v>
      </c>
      <c r="P57" s="103">
        <f t="shared" si="6"/>
        <v>8.0080000000000009</v>
      </c>
      <c r="W57" s="160">
        <v>42338</v>
      </c>
      <c r="X57" s="12">
        <v>9.24</v>
      </c>
      <c r="Y57" s="12">
        <v>9.24</v>
      </c>
      <c r="Z57" s="12">
        <v>9.08</v>
      </c>
      <c r="AA57" s="12">
        <v>9.08</v>
      </c>
      <c r="AB57" s="115">
        <v>2900</v>
      </c>
      <c r="AC57" s="12">
        <v>9.08</v>
      </c>
      <c r="AD57" s="2">
        <f t="shared" si="1"/>
        <v>0.16000000000000014</v>
      </c>
      <c r="AE57" s="165">
        <f t="shared" si="2"/>
        <v>-2.3655913978494647E-2</v>
      </c>
    </row>
    <row r="58" spans="15:31" x14ac:dyDescent="0.25">
      <c r="O58" s="103">
        <v>0.9</v>
      </c>
      <c r="P58" s="103">
        <f t="shared" si="6"/>
        <v>7.9200000000000008</v>
      </c>
      <c r="W58" s="160">
        <v>42335</v>
      </c>
      <c r="X58" s="12">
        <v>9.3000000000000007</v>
      </c>
      <c r="Y58" s="12">
        <v>9.3000000000000007</v>
      </c>
      <c r="Z58" s="12">
        <v>9.3000000000000007</v>
      </c>
      <c r="AA58" s="12">
        <v>9.3000000000000007</v>
      </c>
      <c r="AB58" s="115">
        <v>0</v>
      </c>
      <c r="AC58" s="12">
        <v>9.3000000000000007</v>
      </c>
      <c r="AD58" s="2">
        <f t="shared" si="1"/>
        <v>0</v>
      </c>
      <c r="AE58" s="165">
        <f t="shared" si="2"/>
        <v>0</v>
      </c>
    </row>
    <row r="59" spans="15:31" x14ac:dyDescent="0.25">
      <c r="O59" s="47"/>
      <c r="W59" s="160">
        <v>42333</v>
      </c>
      <c r="X59" s="12">
        <v>9.24</v>
      </c>
      <c r="Y59" s="12">
        <v>9.3000000000000007</v>
      </c>
      <c r="Z59" s="12">
        <v>9.23</v>
      </c>
      <c r="AA59" s="12">
        <v>9.3000000000000007</v>
      </c>
      <c r="AB59" s="115">
        <v>6800</v>
      </c>
      <c r="AC59" s="12">
        <v>9.3000000000000007</v>
      </c>
      <c r="AD59" s="2">
        <f t="shared" si="1"/>
        <v>7.0000000000000284E-2</v>
      </c>
      <c r="AE59" s="165">
        <f t="shared" si="2"/>
        <v>6.4935064935065512E-3</v>
      </c>
    </row>
    <row r="60" spans="15:31" x14ac:dyDescent="0.25">
      <c r="W60" s="160">
        <v>42332</v>
      </c>
      <c r="X60" s="12">
        <v>9.1300000000000008</v>
      </c>
      <c r="Y60" s="12">
        <v>9.25</v>
      </c>
      <c r="Z60" s="12">
        <v>9.1300000000000008</v>
      </c>
      <c r="AA60" s="12">
        <v>9.24</v>
      </c>
      <c r="AB60" s="115">
        <v>8900</v>
      </c>
      <c r="AC60" s="12">
        <v>9.24</v>
      </c>
      <c r="AD60" s="2">
        <f t="shared" si="1"/>
        <v>0.11999999999999922</v>
      </c>
      <c r="AE60" s="165">
        <f t="shared" si="2"/>
        <v>3.125E-2</v>
      </c>
    </row>
    <row r="61" spans="15:31" x14ac:dyDescent="0.25">
      <c r="W61" s="160">
        <v>42331</v>
      </c>
      <c r="X61" s="12">
        <v>8.92</v>
      </c>
      <c r="Y61" s="12">
        <v>8.99</v>
      </c>
      <c r="Z61" s="12">
        <v>8.92</v>
      </c>
      <c r="AA61" s="12">
        <v>8.9600000000000009</v>
      </c>
      <c r="AB61" s="115">
        <v>1100</v>
      </c>
      <c r="AC61" s="12">
        <v>8.9600000000000009</v>
      </c>
      <c r="AD61" s="2">
        <f t="shared" si="1"/>
        <v>7.0000000000000284E-2</v>
      </c>
      <c r="AE61" s="165">
        <f t="shared" si="2"/>
        <v>-2.2271714922048602E-3</v>
      </c>
    </row>
    <row r="62" spans="15:31" x14ac:dyDescent="0.25">
      <c r="W62" s="160">
        <v>42328</v>
      </c>
      <c r="X62" s="12">
        <v>8.99</v>
      </c>
      <c r="Y62" s="12">
        <v>9</v>
      </c>
      <c r="Z62" s="12">
        <v>8.9499999999999993</v>
      </c>
      <c r="AA62" s="12">
        <v>8.98</v>
      </c>
      <c r="AB62" s="115">
        <v>2000</v>
      </c>
      <c r="AC62" s="12">
        <v>8.98</v>
      </c>
      <c r="AD62" s="2">
        <f t="shared" si="1"/>
        <v>5.0000000000000711E-2</v>
      </c>
      <c r="AE62" s="165">
        <f t="shared" si="2"/>
        <v>-8.8300220750552327E-3</v>
      </c>
    </row>
    <row r="63" spans="15:31" x14ac:dyDescent="0.25">
      <c r="W63" s="160">
        <v>42327</v>
      </c>
      <c r="X63" s="12">
        <v>8.99</v>
      </c>
      <c r="Y63" s="12">
        <v>9.09</v>
      </c>
      <c r="Z63" s="12">
        <v>8.99</v>
      </c>
      <c r="AA63" s="12">
        <v>9.06</v>
      </c>
      <c r="AB63" s="115">
        <v>11900</v>
      </c>
      <c r="AC63" s="12">
        <v>9.06</v>
      </c>
      <c r="AD63" s="2">
        <f t="shared" si="1"/>
        <v>9.9999999999999645E-2</v>
      </c>
      <c r="AE63" s="165">
        <f t="shared" si="2"/>
        <v>3.6613272311212919E-2</v>
      </c>
    </row>
    <row r="64" spans="15:31" x14ac:dyDescent="0.25">
      <c r="W64" s="160">
        <v>42326</v>
      </c>
      <c r="X64" s="12">
        <v>8.6300000000000008</v>
      </c>
      <c r="Y64" s="12">
        <v>8.74</v>
      </c>
      <c r="Z64" s="12">
        <v>8.6199999999999992</v>
      </c>
      <c r="AA64" s="12">
        <v>8.74</v>
      </c>
      <c r="AB64" s="115">
        <v>9600</v>
      </c>
      <c r="AC64" s="12">
        <v>8.74</v>
      </c>
      <c r="AD64" s="2">
        <f t="shared" si="1"/>
        <v>0.12000000000000099</v>
      </c>
      <c r="AE64" s="165">
        <f t="shared" si="2"/>
        <v>7.1078431372548989E-2</v>
      </c>
    </row>
    <row r="65" spans="23:31" x14ac:dyDescent="0.25">
      <c r="W65" s="160">
        <v>42325</v>
      </c>
      <c r="X65" s="12">
        <v>8.14</v>
      </c>
      <c r="Y65" s="12">
        <v>8.2100000000000009</v>
      </c>
      <c r="Z65" s="12">
        <v>8.1</v>
      </c>
      <c r="AA65" s="12">
        <v>8.16</v>
      </c>
      <c r="AB65" s="115">
        <v>9800</v>
      </c>
      <c r="AC65" s="12">
        <v>8.16</v>
      </c>
      <c r="AD65" s="2">
        <f t="shared" si="1"/>
        <v>0.11000000000000121</v>
      </c>
      <c r="AE65" s="165">
        <f t="shared" si="2"/>
        <v>-1.223990208078285E-3</v>
      </c>
    </row>
    <row r="66" spans="23:31" x14ac:dyDescent="0.25">
      <c r="W66" s="160">
        <v>42324</v>
      </c>
      <c r="X66" s="12">
        <v>8.15</v>
      </c>
      <c r="Y66" s="12">
        <v>8.19</v>
      </c>
      <c r="Z66" s="12">
        <v>8.14</v>
      </c>
      <c r="AA66" s="12">
        <v>8.17</v>
      </c>
      <c r="AB66" s="115">
        <v>2700</v>
      </c>
      <c r="AC66" s="12">
        <v>8.17</v>
      </c>
      <c r="AD66" s="2">
        <f t="shared" si="1"/>
        <v>4.9999999999998934E-2</v>
      </c>
      <c r="AE66" s="165">
        <f t="shared" si="2"/>
        <v>1.225490196078427E-3</v>
      </c>
    </row>
    <row r="67" spans="23:31" x14ac:dyDescent="0.25">
      <c r="W67" s="160">
        <v>42321</v>
      </c>
      <c r="X67" s="12">
        <v>8.19</v>
      </c>
      <c r="Y67" s="12">
        <v>8.19</v>
      </c>
      <c r="Z67" s="12">
        <v>8.15</v>
      </c>
      <c r="AA67" s="12">
        <v>8.16</v>
      </c>
      <c r="AB67" s="115">
        <v>3200</v>
      </c>
      <c r="AC67" s="12">
        <v>8.16</v>
      </c>
      <c r="AD67" s="2">
        <f t="shared" ref="AD67:AD68" si="7">Y67-Z67</f>
        <v>3.9999999999999147E-2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61" priority="12">
      <formula>Q7&gt;0</formula>
    </cfRule>
    <cfRule type="expression" dxfId="16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59" priority="5">
      <formula>F15&gt;0</formula>
    </cfRule>
    <cfRule type="expression" dxfId="158" priority="6">
      <formula>F15&lt;0</formula>
    </cfRule>
  </conditionalFormatting>
  <conditionalFormatting sqref="F16:F17">
    <cfRule type="expression" dxfId="157" priority="3">
      <formula>F16&gt;0</formula>
    </cfRule>
    <cfRule type="expression" dxfId="156" priority="4">
      <formula>F16&lt;0</formula>
    </cfRule>
  </conditionalFormatting>
  <conditionalFormatting sqref="H15:H17">
    <cfRule type="expression" dxfId="155" priority="1">
      <formula>H15&gt;0</formula>
    </cfRule>
    <cfRule type="expression" dxfId="15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42419</v>
      </c>
      <c r="X2" s="12">
        <v>127.05</v>
      </c>
      <c r="Y2" s="12">
        <v>128.79</v>
      </c>
      <c r="Z2" s="12">
        <v>125</v>
      </c>
      <c r="AA2" s="12">
        <v>128.66999999999999</v>
      </c>
      <c r="AB2" s="115">
        <v>3106600</v>
      </c>
      <c r="AC2" s="12">
        <v>128.66999999999999</v>
      </c>
      <c r="AD2" s="2">
        <f>Y2-Z2</f>
        <v>3.789999999999992</v>
      </c>
      <c r="AE2" s="165">
        <f>AC2/AC3-1</f>
        <v>1.2591485008263126E-2</v>
      </c>
    </row>
    <row r="3" spans="1:31" x14ac:dyDescent="0.25">
      <c r="A3" s="26" t="s">
        <v>71</v>
      </c>
      <c r="B3" s="390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128.66999999999999</v>
      </c>
      <c r="T3" s="81">
        <v>42242</v>
      </c>
      <c r="U3" t="s">
        <v>99</v>
      </c>
      <c r="W3" s="160">
        <v>42418</v>
      </c>
      <c r="X3" s="12">
        <v>131.76</v>
      </c>
      <c r="Y3" s="12">
        <v>131.99</v>
      </c>
      <c r="Z3" s="12">
        <v>126.08</v>
      </c>
      <c r="AA3" s="12">
        <v>127.07</v>
      </c>
      <c r="AB3" s="115">
        <v>3890500</v>
      </c>
      <c r="AC3" s="12">
        <v>127.07</v>
      </c>
      <c r="AD3" s="2">
        <f t="shared" ref="AD3:AD66" si="1">Y3-Z3</f>
        <v>5.9100000000000108</v>
      </c>
      <c r="AE3" s="165">
        <f t="shared" ref="AE3:AE66" si="2">AC3/AC4-1</f>
        <v>-2.7624732170186794E-2</v>
      </c>
    </row>
    <row r="4" spans="1:31" x14ac:dyDescent="0.25">
      <c r="B4" s="390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128.66999999999999</v>
      </c>
      <c r="T4" s="81">
        <v>42246</v>
      </c>
      <c r="U4" t="s">
        <v>97</v>
      </c>
      <c r="W4" s="160">
        <v>42417</v>
      </c>
      <c r="X4" s="12">
        <v>127</v>
      </c>
      <c r="Y4" s="12">
        <v>130.82</v>
      </c>
      <c r="Z4" s="12">
        <v>126.73</v>
      </c>
      <c r="AA4" s="12">
        <v>130.68</v>
      </c>
      <c r="AB4" s="115">
        <v>3240200</v>
      </c>
      <c r="AC4" s="12">
        <v>130.68</v>
      </c>
      <c r="AD4" s="2">
        <f t="shared" si="1"/>
        <v>4.0899999999999892</v>
      </c>
      <c r="AE4" s="165">
        <f t="shared" si="2"/>
        <v>3.5171102661597065E-2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42416</v>
      </c>
      <c r="X5" s="12">
        <v>123.27</v>
      </c>
      <c r="Y5" s="12">
        <v>126.79</v>
      </c>
      <c r="Z5" s="12">
        <v>122.95</v>
      </c>
      <c r="AA5" s="12">
        <v>126.24</v>
      </c>
      <c r="AB5" s="115">
        <v>3717000</v>
      </c>
      <c r="AC5" s="12">
        <v>126.24</v>
      </c>
      <c r="AD5" s="2">
        <f t="shared" si="1"/>
        <v>3.8400000000000034</v>
      </c>
      <c r="AE5" s="165">
        <f t="shared" si="2"/>
        <v>3.7645898405392009E-2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135</v>
      </c>
      <c r="W6" s="160">
        <v>42412</v>
      </c>
      <c r="X6" s="12">
        <v>117.76</v>
      </c>
      <c r="Y6" s="12">
        <v>122.33</v>
      </c>
      <c r="Z6" s="12">
        <v>115.73</v>
      </c>
      <c r="AA6" s="12">
        <v>121.66</v>
      </c>
      <c r="AB6" s="115">
        <v>3980200</v>
      </c>
      <c r="AC6" s="12">
        <v>121.66</v>
      </c>
      <c r="AD6" s="2">
        <f t="shared" si="1"/>
        <v>6.5999999999999943</v>
      </c>
      <c r="AE6" s="165">
        <f t="shared" si="2"/>
        <v>4.5997764594617685E-2</v>
      </c>
    </row>
    <row r="7" spans="1:31" ht="15.75" x14ac:dyDescent="0.25">
      <c r="B7" s="390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202</v>
      </c>
      <c r="T7" s="81"/>
      <c r="W7" s="160">
        <v>42411</v>
      </c>
      <c r="X7" s="12">
        <v>116.5</v>
      </c>
      <c r="Y7" s="12">
        <v>117.64</v>
      </c>
      <c r="Z7" s="12">
        <v>114.25</v>
      </c>
      <c r="AA7" s="12">
        <v>116.31</v>
      </c>
      <c r="AB7" s="115">
        <v>6575100</v>
      </c>
      <c r="AC7" s="12">
        <v>116.31</v>
      </c>
      <c r="AD7" s="2">
        <f t="shared" si="1"/>
        <v>3.3900000000000006</v>
      </c>
      <c r="AE7" s="165">
        <f t="shared" si="2"/>
        <v>-2.4244966442953042E-2</v>
      </c>
    </row>
    <row r="8" spans="1:31" x14ac:dyDescent="0.25">
      <c r="B8" s="397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42410</v>
      </c>
      <c r="X8" s="12">
        <v>122.49</v>
      </c>
      <c r="Y8" s="12">
        <v>123.67</v>
      </c>
      <c r="Z8" s="12">
        <v>118.65</v>
      </c>
      <c r="AA8" s="12">
        <v>119.2</v>
      </c>
      <c r="AB8" s="115">
        <v>4260300</v>
      </c>
      <c r="AC8" s="12">
        <v>119.2</v>
      </c>
      <c r="AD8" s="2">
        <f t="shared" si="1"/>
        <v>5.019999999999996</v>
      </c>
      <c r="AE8" s="165">
        <f t="shared" si="2"/>
        <v>-4.2602957146435916E-3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105</v>
      </c>
      <c r="W9" s="160">
        <v>42409</v>
      </c>
      <c r="X9" s="12">
        <v>119.83</v>
      </c>
      <c r="Y9" s="12">
        <v>125.72</v>
      </c>
      <c r="Z9" s="12">
        <v>118.77</v>
      </c>
      <c r="AA9" s="12">
        <v>119.71</v>
      </c>
      <c r="AB9" s="115">
        <v>5925700</v>
      </c>
      <c r="AC9" s="12">
        <v>119.71</v>
      </c>
      <c r="AD9" s="2">
        <f t="shared" si="1"/>
        <v>6.9500000000000028</v>
      </c>
      <c r="AE9" s="165">
        <f t="shared" si="2"/>
        <v>-1.7643197111439357E-2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42408</v>
      </c>
      <c r="X10" s="12">
        <v>126.99</v>
      </c>
      <c r="Y10" s="12">
        <v>126.99</v>
      </c>
      <c r="Z10" s="12">
        <v>119.22</v>
      </c>
      <c r="AA10" s="12">
        <v>121.86</v>
      </c>
      <c r="AB10" s="115">
        <v>9105500</v>
      </c>
      <c r="AC10" s="12">
        <v>121.86</v>
      </c>
      <c r="AD10" s="2">
        <f t="shared" si="1"/>
        <v>7.769999999999996</v>
      </c>
      <c r="AE10" s="165">
        <f t="shared" si="2"/>
        <v>-5.0638828295419214E-2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42405</v>
      </c>
      <c r="X11" s="12">
        <v>137</v>
      </c>
      <c r="Y11" s="12">
        <v>137</v>
      </c>
      <c r="Z11" s="12">
        <v>126.98</v>
      </c>
      <c r="AA11" s="12">
        <v>128.36000000000001</v>
      </c>
      <c r="AB11" s="115">
        <v>7045600</v>
      </c>
      <c r="AC11" s="12">
        <v>128.36000000000001</v>
      </c>
      <c r="AD11" s="2">
        <f t="shared" si="1"/>
        <v>10.019999999999996</v>
      </c>
      <c r="AE11" s="165">
        <f t="shared" si="2"/>
        <v>-5.7008521892447761E-2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42404</v>
      </c>
      <c r="X12" s="12">
        <v>131.4</v>
      </c>
      <c r="Y12" s="12">
        <v>137.27000000000001</v>
      </c>
      <c r="Z12" s="12">
        <v>130.5</v>
      </c>
      <c r="AA12" s="12">
        <v>136.12</v>
      </c>
      <c r="AB12" s="115">
        <v>5989100</v>
      </c>
      <c r="AC12" s="12">
        <v>136.12</v>
      </c>
      <c r="AD12" s="2">
        <f t="shared" si="1"/>
        <v>6.7700000000000102</v>
      </c>
      <c r="AE12" s="165">
        <f t="shared" si="2"/>
        <v>3.6236297198538381E-2</v>
      </c>
    </row>
    <row r="13" spans="1:31" x14ac:dyDescent="0.25">
      <c r="W13" s="160">
        <v>42403</v>
      </c>
      <c r="X13" s="12">
        <v>137.25</v>
      </c>
      <c r="Y13" s="12">
        <v>137.61000000000001</v>
      </c>
      <c r="Z13" s="12">
        <v>130.29</v>
      </c>
      <c r="AA13" s="12">
        <v>131.36000000000001</v>
      </c>
      <c r="AB13" s="115">
        <v>5619300</v>
      </c>
      <c r="AC13" s="12">
        <v>131.36000000000001</v>
      </c>
      <c r="AD13" s="2">
        <f t="shared" si="1"/>
        <v>7.3200000000000216</v>
      </c>
      <c r="AE13" s="165">
        <f t="shared" si="2"/>
        <v>-1.4109876913839692E-2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42402</v>
      </c>
      <c r="X14" s="12">
        <v>135.01</v>
      </c>
      <c r="Y14" s="12">
        <v>137.59</v>
      </c>
      <c r="Z14" s="12">
        <v>131.69999999999999</v>
      </c>
      <c r="AA14" s="12">
        <v>133.24</v>
      </c>
      <c r="AB14" s="115">
        <v>5900500</v>
      </c>
      <c r="AC14" s="12">
        <v>133.24</v>
      </c>
      <c r="AD14" s="2">
        <f t="shared" si="1"/>
        <v>5.8900000000000148</v>
      </c>
      <c r="AE14" s="165">
        <f t="shared" si="2"/>
        <v>-3.2248692620569397E-2</v>
      </c>
    </row>
    <row r="15" spans="1:31" x14ac:dyDescent="0.25">
      <c r="W15" s="160">
        <v>42401</v>
      </c>
      <c r="X15" s="12">
        <v>133.34</v>
      </c>
      <c r="Y15" s="12">
        <v>138.69</v>
      </c>
      <c r="Z15" s="12">
        <v>132.96</v>
      </c>
      <c r="AA15" s="12">
        <v>137.68</v>
      </c>
      <c r="AB15" s="115">
        <v>4561900</v>
      </c>
      <c r="AC15" s="12">
        <v>137.68</v>
      </c>
      <c r="AD15" s="2">
        <f t="shared" si="1"/>
        <v>5.7299999999999898</v>
      </c>
      <c r="AE15" s="165">
        <f t="shared" si="2"/>
        <v>2.969112257871509E-2</v>
      </c>
    </row>
    <row r="16" spans="1:31" x14ac:dyDescent="0.25">
      <c r="B16" s="246" t="s">
        <v>122</v>
      </c>
      <c r="C16" s="246" t="s">
        <v>189</v>
      </c>
      <c r="D16" s="247" t="s">
        <v>188</v>
      </c>
      <c r="E16" s="249" t="s">
        <v>190</v>
      </c>
      <c r="F16" s="250" t="s">
        <v>65</v>
      </c>
      <c r="G16" s="294" t="s">
        <v>195</v>
      </c>
      <c r="H16" s="250" t="s">
        <v>92</v>
      </c>
      <c r="W16" s="160">
        <v>42398</v>
      </c>
      <c r="X16" s="12">
        <v>129.44</v>
      </c>
      <c r="Y16" s="12">
        <v>134.34</v>
      </c>
      <c r="Z16" s="12">
        <v>128.11000000000001</v>
      </c>
      <c r="AA16" s="12">
        <v>133.71</v>
      </c>
      <c r="AB16" s="115">
        <v>25944900</v>
      </c>
      <c r="AC16" s="12">
        <v>133.71</v>
      </c>
      <c r="AD16" s="2">
        <f t="shared" si="1"/>
        <v>6.2299999999999898</v>
      </c>
      <c r="AE16" s="165">
        <f t="shared" si="2"/>
        <v>5.8083405871646843E-2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42397</v>
      </c>
      <c r="X17" s="12">
        <v>122.94</v>
      </c>
      <c r="Y17" s="12">
        <v>126.55</v>
      </c>
      <c r="Z17" s="12">
        <v>122</v>
      </c>
      <c r="AA17" s="12">
        <v>126.37</v>
      </c>
      <c r="AB17" s="115">
        <v>4996900</v>
      </c>
      <c r="AC17" s="12">
        <v>126.37</v>
      </c>
      <c r="AD17" s="2">
        <f t="shared" si="1"/>
        <v>4.5499999999999972</v>
      </c>
      <c r="AE17" s="165">
        <f t="shared" si="2"/>
        <v>3.2856559051900325E-2</v>
      </c>
    </row>
    <row r="18" spans="2:31" x14ac:dyDescent="0.25">
      <c r="B18" s="248">
        <v>42314</v>
      </c>
      <c r="C18" s="12">
        <v>0</v>
      </c>
      <c r="D18" s="259" t="s">
        <v>145</v>
      </c>
      <c r="E18" s="259" t="s">
        <v>145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42396</v>
      </c>
      <c r="X18" s="12">
        <v>123.65</v>
      </c>
      <c r="Y18" s="12">
        <v>125.41</v>
      </c>
      <c r="Z18" s="12">
        <v>120.09</v>
      </c>
      <c r="AA18" s="12">
        <v>122.35</v>
      </c>
      <c r="AB18" s="115">
        <v>5815600</v>
      </c>
      <c r="AC18" s="12">
        <v>122.35</v>
      </c>
      <c r="AD18" s="2">
        <f t="shared" si="1"/>
        <v>5.3199999999999932</v>
      </c>
      <c r="AE18" s="165">
        <f t="shared" si="2"/>
        <v>-1.640003215692587E-2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42395</v>
      </c>
      <c r="X19" s="12">
        <v>125</v>
      </c>
      <c r="Y19" s="12">
        <v>126.51</v>
      </c>
      <c r="Z19" s="12">
        <v>124</v>
      </c>
      <c r="AA19" s="12">
        <v>124.39</v>
      </c>
      <c r="AB19" s="115">
        <v>11913400</v>
      </c>
      <c r="AC19" s="12">
        <v>124.39</v>
      </c>
      <c r="AD19" s="2">
        <f t="shared" si="1"/>
        <v>2.5100000000000051</v>
      </c>
      <c r="AE19" s="165">
        <f t="shared" si="2"/>
        <v>-8.0327737167640301E-4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42394</v>
      </c>
      <c r="X20" s="12">
        <v>124.43</v>
      </c>
      <c r="Y20" s="12">
        <v>124.98</v>
      </c>
      <c r="Z20" s="12">
        <v>124</v>
      </c>
      <c r="AA20" s="12">
        <v>124.49</v>
      </c>
      <c r="AB20" s="115">
        <v>6135900</v>
      </c>
      <c r="AC20" s="12">
        <v>124.49</v>
      </c>
      <c r="AD20" s="2">
        <f t="shared" si="1"/>
        <v>0.98000000000000398</v>
      </c>
      <c r="AE20" s="165">
        <f t="shared" si="2"/>
        <v>-1.606296682997721E-4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42391</v>
      </c>
      <c r="X21" s="12">
        <v>126.48</v>
      </c>
      <c r="Y21" s="12">
        <v>126.48</v>
      </c>
      <c r="Z21" s="12">
        <v>124.23</v>
      </c>
      <c r="AA21" s="12">
        <v>124.51</v>
      </c>
      <c r="AB21" s="115">
        <v>5842800</v>
      </c>
      <c r="AC21" s="12">
        <v>124.51</v>
      </c>
      <c r="AD21" s="2">
        <f t="shared" si="1"/>
        <v>2.25</v>
      </c>
      <c r="AE21" s="165">
        <f t="shared" si="2"/>
        <v>-1.6060387055327752E-4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42390</v>
      </c>
      <c r="X22" s="12">
        <v>124.8</v>
      </c>
      <c r="Y22" s="12">
        <v>126</v>
      </c>
      <c r="Z22" s="12">
        <v>123.35</v>
      </c>
      <c r="AA22" s="12">
        <v>124.53</v>
      </c>
      <c r="AB22" s="115">
        <v>4847500</v>
      </c>
      <c r="AC22" s="12">
        <v>124.53</v>
      </c>
      <c r="AD22" s="2">
        <f t="shared" si="1"/>
        <v>2.6500000000000057</v>
      </c>
      <c r="AE22" s="165">
        <f t="shared" si="2"/>
        <v>5.6529112492933464E-3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42389</v>
      </c>
      <c r="X23" s="12">
        <v>117.83</v>
      </c>
      <c r="Y23" s="12">
        <v>125.58</v>
      </c>
      <c r="Z23" s="12">
        <v>117.17</v>
      </c>
      <c r="AA23" s="12">
        <v>123.83</v>
      </c>
      <c r="AB23" s="115">
        <v>10398800</v>
      </c>
      <c r="AC23" s="12">
        <v>123.83</v>
      </c>
      <c r="AD23" s="2">
        <f t="shared" si="1"/>
        <v>8.4099999999999966</v>
      </c>
      <c r="AE23" s="165">
        <f t="shared" si="2"/>
        <v>3.1315066211376807E-2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42388</v>
      </c>
      <c r="X24" s="12">
        <v>122.76</v>
      </c>
      <c r="Y24" s="12">
        <v>124.8</v>
      </c>
      <c r="Z24" s="12">
        <v>119.01</v>
      </c>
      <c r="AA24" s="12">
        <v>120.07</v>
      </c>
      <c r="AB24" s="115">
        <v>5477300</v>
      </c>
      <c r="AC24" s="12">
        <v>120.07</v>
      </c>
      <c r="AD24" s="2">
        <f t="shared" si="1"/>
        <v>5.789999999999992</v>
      </c>
      <c r="AE24" s="165">
        <f t="shared" si="2"/>
        <v>8.3354171876304228E-4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42384</v>
      </c>
      <c r="X25" s="12">
        <v>120.21</v>
      </c>
      <c r="Y25" s="12">
        <v>123.79</v>
      </c>
      <c r="Z25" s="12">
        <v>119.3</v>
      </c>
      <c r="AA25" s="12">
        <v>119.97</v>
      </c>
      <c r="AB25" s="115">
        <v>7591600</v>
      </c>
      <c r="AC25" s="12">
        <v>119.97</v>
      </c>
      <c r="AD25" s="2">
        <f t="shared" si="1"/>
        <v>4.4900000000000091</v>
      </c>
      <c r="AE25" s="165">
        <f t="shared" si="2"/>
        <v>-4.1696621135873468E-2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42383</v>
      </c>
      <c r="X26" s="12">
        <v>124.19</v>
      </c>
      <c r="Y26" s="12">
        <v>126.68</v>
      </c>
      <c r="Z26" s="12">
        <v>120.29</v>
      </c>
      <c r="AA26" s="12">
        <v>125.19</v>
      </c>
      <c r="AB26" s="115">
        <v>6394200</v>
      </c>
      <c r="AC26" s="12">
        <v>125.19</v>
      </c>
      <c r="AD26" s="2">
        <f t="shared" si="1"/>
        <v>6.3900000000000006</v>
      </c>
      <c r="AE26" s="165">
        <f t="shared" si="2"/>
        <v>1.5246127645770713E-2</v>
      </c>
    </row>
    <row r="27" spans="2:31" x14ac:dyDescent="0.25">
      <c r="W27" s="160">
        <v>42382</v>
      </c>
      <c r="X27" s="12">
        <v>127.75</v>
      </c>
      <c r="Y27" s="12">
        <v>129.97999999999999</v>
      </c>
      <c r="Z27" s="12">
        <v>123.08</v>
      </c>
      <c r="AA27" s="12">
        <v>123.31</v>
      </c>
      <c r="AB27" s="115">
        <v>4847000</v>
      </c>
      <c r="AC27" s="12">
        <v>123.31</v>
      </c>
      <c r="AD27" s="2">
        <f t="shared" si="1"/>
        <v>6.8999999999999915</v>
      </c>
      <c r="AE27" s="165">
        <f t="shared" si="2"/>
        <v>-5.0877463054187055E-2</v>
      </c>
    </row>
    <row r="28" spans="2:31" x14ac:dyDescent="0.25">
      <c r="W28" s="160">
        <v>42381</v>
      </c>
      <c r="X28" s="12">
        <v>129.86000000000001</v>
      </c>
      <c r="Y28" s="12">
        <v>131.66999999999999</v>
      </c>
      <c r="Z28" s="12">
        <v>126.86</v>
      </c>
      <c r="AA28" s="12">
        <v>129.91999999999999</v>
      </c>
      <c r="AB28" s="115">
        <v>4111200</v>
      </c>
      <c r="AC28" s="12">
        <v>129.91999999999999</v>
      </c>
      <c r="AD28" s="2">
        <f t="shared" si="1"/>
        <v>4.8099999999999881</v>
      </c>
      <c r="AE28" s="165">
        <f t="shared" si="2"/>
        <v>1.4682911590128134E-2</v>
      </c>
    </row>
    <row r="29" spans="2:31" x14ac:dyDescent="0.25">
      <c r="W29" s="160">
        <v>42380</v>
      </c>
      <c r="X29" s="12">
        <v>129.5</v>
      </c>
      <c r="Y29" s="12">
        <v>129.97</v>
      </c>
      <c r="Z29" s="12">
        <v>125.42</v>
      </c>
      <c r="AA29" s="12">
        <v>128.04</v>
      </c>
      <c r="AB29" s="115">
        <v>3894100</v>
      </c>
      <c r="AC29" s="12">
        <v>128.04</v>
      </c>
      <c r="AD29" s="2">
        <f t="shared" si="1"/>
        <v>4.5499999999999972</v>
      </c>
      <c r="AE29" s="165">
        <f t="shared" si="2"/>
        <v>-1.2480499219968966E-3</v>
      </c>
    </row>
    <row r="30" spans="2:31" x14ac:dyDescent="0.25">
      <c r="W30" s="160">
        <v>42377</v>
      </c>
      <c r="X30" s="12">
        <v>130.03</v>
      </c>
      <c r="Y30" s="12">
        <v>133.46</v>
      </c>
      <c r="Z30" s="12">
        <v>128.06</v>
      </c>
      <c r="AA30" s="12">
        <v>128.19999999999999</v>
      </c>
      <c r="AB30" s="115">
        <v>6464100</v>
      </c>
      <c r="AC30" s="12">
        <v>128.19999999999999</v>
      </c>
      <c r="AD30" s="2">
        <f t="shared" si="1"/>
        <v>5.4000000000000057</v>
      </c>
      <c r="AE30" s="165">
        <f t="shared" si="2"/>
        <v>-6.5865943432780183E-3</v>
      </c>
    </row>
    <row r="31" spans="2:31" x14ac:dyDescent="0.25">
      <c r="W31" s="160">
        <v>42376</v>
      </c>
      <c r="X31" s="12">
        <v>131.31</v>
      </c>
      <c r="Y31" s="12">
        <v>133.77000000000001</v>
      </c>
      <c r="Z31" s="12">
        <v>128.19</v>
      </c>
      <c r="AA31" s="12">
        <v>129.05000000000001</v>
      </c>
      <c r="AB31" s="115">
        <v>5005600</v>
      </c>
      <c r="AC31" s="12">
        <v>129.05000000000001</v>
      </c>
      <c r="AD31" s="2">
        <f t="shared" si="1"/>
        <v>5.5800000000000125</v>
      </c>
      <c r="AE31" s="165">
        <f t="shared" si="2"/>
        <v>-3.1810338359966828E-2</v>
      </c>
    </row>
    <row r="32" spans="2:31" x14ac:dyDescent="0.25">
      <c r="W32" s="160">
        <v>42375</v>
      </c>
      <c r="X32" s="12">
        <v>134.57</v>
      </c>
      <c r="Y32" s="12">
        <v>136.06</v>
      </c>
      <c r="Z32" s="12">
        <v>132.28</v>
      </c>
      <c r="AA32" s="12">
        <v>133.29</v>
      </c>
      <c r="AB32" s="115">
        <v>5082400</v>
      </c>
      <c r="AC32" s="12">
        <v>133.29</v>
      </c>
      <c r="AD32" s="2">
        <f t="shared" si="1"/>
        <v>3.7800000000000011</v>
      </c>
      <c r="AE32" s="165">
        <f t="shared" si="2"/>
        <v>-3.0759162303665044E-2</v>
      </c>
    </row>
    <row r="33" spans="15:31" x14ac:dyDescent="0.25">
      <c r="W33" s="160">
        <v>42374</v>
      </c>
      <c r="X33" s="12">
        <v>143.13999999999999</v>
      </c>
      <c r="Y33" s="12">
        <v>143.30000000000001</v>
      </c>
      <c r="Z33" s="12">
        <v>137.21</v>
      </c>
      <c r="AA33" s="12">
        <v>137.52000000000001</v>
      </c>
      <c r="AB33" s="115">
        <v>3817300</v>
      </c>
      <c r="AC33" s="12">
        <v>137.52000000000001</v>
      </c>
      <c r="AD33" s="2">
        <f t="shared" si="1"/>
        <v>6.0900000000000034</v>
      </c>
      <c r="AE33" s="165">
        <f t="shared" si="2"/>
        <v>-3.3455158841720456E-2</v>
      </c>
    </row>
    <row r="34" spans="15:31" x14ac:dyDescent="0.25">
      <c r="W34" s="160">
        <v>42373</v>
      </c>
      <c r="X34" s="12">
        <v>142.07</v>
      </c>
      <c r="Y34" s="12">
        <v>142.35</v>
      </c>
      <c r="Z34" s="12">
        <v>139.88</v>
      </c>
      <c r="AA34" s="12">
        <v>142.28</v>
      </c>
      <c r="AB34" s="115">
        <v>3097000</v>
      </c>
      <c r="AC34" s="12">
        <v>142.28</v>
      </c>
      <c r="AD34" s="2">
        <f t="shared" si="1"/>
        <v>2.4699999999999989</v>
      </c>
      <c r="AE34" s="165">
        <f t="shared" si="2"/>
        <v>-1.9772648983809926E-2</v>
      </c>
    </row>
    <row r="35" spans="15:31" x14ac:dyDescent="0.25">
      <c r="W35" s="160">
        <v>42369</v>
      </c>
      <c r="X35" s="12">
        <v>146.58000000000001</v>
      </c>
      <c r="Y35" s="12">
        <v>147.5</v>
      </c>
      <c r="Z35" s="12">
        <v>145.12</v>
      </c>
      <c r="AA35" s="12">
        <v>145.15</v>
      </c>
      <c r="AB35" s="115">
        <v>1967300</v>
      </c>
      <c r="AC35" s="12">
        <v>145.15</v>
      </c>
      <c r="AD35" s="2">
        <f t="shared" si="1"/>
        <v>2.3799999999999955</v>
      </c>
      <c r="AE35" s="165">
        <f t="shared" si="2"/>
        <v>-1.5064124312953786E-2</v>
      </c>
    </row>
    <row r="36" spans="15:31" x14ac:dyDescent="0.25">
      <c r="W36" s="160">
        <v>42368</v>
      </c>
      <c r="X36" s="12">
        <v>147.51</v>
      </c>
      <c r="Y36" s="12">
        <v>148.88999999999999</v>
      </c>
      <c r="Z36" s="12">
        <v>147.12</v>
      </c>
      <c r="AA36" s="12">
        <v>147.37</v>
      </c>
      <c r="AB36" s="115">
        <v>1739600</v>
      </c>
      <c r="AC36" s="12">
        <v>147.37</v>
      </c>
      <c r="AD36" s="2">
        <f t="shared" si="1"/>
        <v>1.7699999999999818</v>
      </c>
      <c r="AE36" s="165">
        <f t="shared" si="2"/>
        <v>-3.8529133432472218E-3</v>
      </c>
    </row>
    <row r="37" spans="15:31" x14ac:dyDescent="0.25">
      <c r="W37" s="160">
        <v>42367</v>
      </c>
      <c r="X37" s="12">
        <v>147</v>
      </c>
      <c r="Y37" s="12">
        <v>148.78</v>
      </c>
      <c r="Z37" s="12">
        <v>145.01</v>
      </c>
      <c r="AA37" s="12">
        <v>147.94</v>
      </c>
      <c r="AB37" s="115">
        <v>2253300</v>
      </c>
      <c r="AC37" s="12">
        <v>147.94</v>
      </c>
      <c r="AD37" s="2">
        <f t="shared" si="1"/>
        <v>3.7700000000000102</v>
      </c>
      <c r="AE37" s="165">
        <f t="shared" si="2"/>
        <v>1.0864366245302293E-2</v>
      </c>
    </row>
    <row r="38" spans="15:31" x14ac:dyDescent="0.25">
      <c r="W38" s="160">
        <v>42366</v>
      </c>
      <c r="X38" s="12">
        <v>145.9</v>
      </c>
      <c r="Y38" s="12">
        <v>146.4</v>
      </c>
      <c r="Z38" s="12">
        <v>143.93</v>
      </c>
      <c r="AA38" s="12">
        <v>146.35</v>
      </c>
      <c r="AB38" s="115">
        <v>1387300</v>
      </c>
      <c r="AC38" s="12">
        <v>146.35</v>
      </c>
      <c r="AD38" s="2">
        <f t="shared" si="1"/>
        <v>2.4699999999999989</v>
      </c>
      <c r="AE38" s="165">
        <f t="shared" si="2"/>
        <v>2.0503007107719462E-4</v>
      </c>
    </row>
    <row r="39" spans="15:31" x14ac:dyDescent="0.25">
      <c r="W39" s="160">
        <v>42362</v>
      </c>
      <c r="X39" s="12">
        <v>146.41</v>
      </c>
      <c r="Y39" s="12">
        <v>147.29</v>
      </c>
      <c r="Z39" s="12">
        <v>145.72</v>
      </c>
      <c r="AA39" s="12">
        <v>146.32</v>
      </c>
      <c r="AB39" s="115">
        <v>743600</v>
      </c>
      <c r="AC39" s="12">
        <v>146.32</v>
      </c>
      <c r="AD39" s="2">
        <f t="shared" si="1"/>
        <v>1.5699999999999932</v>
      </c>
      <c r="AE39" s="165">
        <f t="shared" si="2"/>
        <v>-1.29683980615658E-3</v>
      </c>
    </row>
    <row r="40" spans="15:31" x14ac:dyDescent="0.25">
      <c r="W40" s="160">
        <v>42361</v>
      </c>
      <c r="X40" s="12">
        <v>146.02000000000001</v>
      </c>
      <c r="Y40" s="12">
        <v>146.66</v>
      </c>
      <c r="Z40" s="12">
        <v>144.38999999999999</v>
      </c>
      <c r="AA40" s="12">
        <v>146.51</v>
      </c>
      <c r="AB40" s="115">
        <v>1617000</v>
      </c>
      <c r="AC40" s="12">
        <v>146.51</v>
      </c>
      <c r="AD40" s="2">
        <f t="shared" si="1"/>
        <v>2.2700000000000102</v>
      </c>
      <c r="AE40" s="165">
        <f t="shared" si="2"/>
        <v>9.7174362508614109E-3</v>
      </c>
    </row>
    <row r="41" spans="15:31" ht="20.25" thickBot="1" x14ac:dyDescent="0.35">
      <c r="O41" s="389" t="s">
        <v>78</v>
      </c>
      <c r="P41" s="389"/>
      <c r="T41" s="111" t="s">
        <v>121</v>
      </c>
      <c r="W41" s="160">
        <v>42360</v>
      </c>
      <c r="X41" s="12">
        <v>147.22999999999999</v>
      </c>
      <c r="Y41" s="12">
        <v>147.22999999999999</v>
      </c>
      <c r="Z41" s="12">
        <v>142.76</v>
      </c>
      <c r="AA41" s="12">
        <v>145.1</v>
      </c>
      <c r="AB41" s="115">
        <v>2168400</v>
      </c>
      <c r="AC41" s="12">
        <v>145.1</v>
      </c>
      <c r="AD41" s="2">
        <f t="shared" si="1"/>
        <v>4.4699999999999989</v>
      </c>
      <c r="AE41" s="165">
        <f t="shared" si="2"/>
        <v>-4.8010973936900569E-3</v>
      </c>
    </row>
    <row r="42" spans="15:31" ht="15.75" thickTop="1" x14ac:dyDescent="0.25">
      <c r="O42" s="103">
        <v>1.1000000000000001</v>
      </c>
      <c r="P42" s="103">
        <f>O42*$Q$4</f>
        <v>141.53700000000001</v>
      </c>
      <c r="Q42" s="2"/>
      <c r="T42" s="162" t="s">
        <v>106</v>
      </c>
      <c r="U42" s="118">
        <v>127.07</v>
      </c>
      <c r="W42" s="160">
        <v>42359</v>
      </c>
      <c r="X42" s="12">
        <v>143.1</v>
      </c>
      <c r="Y42" s="12">
        <v>146</v>
      </c>
      <c r="Z42" s="12">
        <v>141.86000000000001</v>
      </c>
      <c r="AA42" s="12">
        <v>145.80000000000001</v>
      </c>
      <c r="AB42" s="115">
        <v>2662700</v>
      </c>
      <c r="AC42" s="12">
        <v>145.80000000000001</v>
      </c>
      <c r="AD42" s="2">
        <f t="shared" si="1"/>
        <v>4.1399999999999864</v>
      </c>
      <c r="AE42" s="165">
        <f t="shared" si="2"/>
        <v>3.9942938659058624E-2</v>
      </c>
    </row>
    <row r="43" spans="15:31" x14ac:dyDescent="0.25">
      <c r="O43" s="103">
        <v>1.0900000000000001</v>
      </c>
      <c r="P43" s="103">
        <f t="shared" ref="P43:P62" si="5">O43*$Q$4</f>
        <v>140.25030000000001</v>
      </c>
      <c r="Q43" s="2"/>
      <c r="T43" s="163" t="s">
        <v>107</v>
      </c>
      <c r="U43" s="108">
        <v>127.05</v>
      </c>
      <c r="W43" s="160">
        <v>42356</v>
      </c>
      <c r="X43" s="12">
        <v>140.22999999999999</v>
      </c>
      <c r="Y43" s="12">
        <v>141.91</v>
      </c>
      <c r="Z43" s="12">
        <v>138.55000000000001</v>
      </c>
      <c r="AA43" s="12">
        <v>140.19999999999999</v>
      </c>
      <c r="AB43" s="115">
        <v>5196400</v>
      </c>
      <c r="AC43" s="12">
        <v>140.19999999999999</v>
      </c>
      <c r="AD43" s="2">
        <f t="shared" si="1"/>
        <v>3.3599999999999852</v>
      </c>
      <c r="AE43" s="165">
        <f t="shared" si="2"/>
        <v>-1.9931662870159572E-3</v>
      </c>
    </row>
    <row r="44" spans="15:31" x14ac:dyDescent="0.25">
      <c r="O44" s="103">
        <v>1.08</v>
      </c>
      <c r="P44" s="103">
        <f t="shared" si="5"/>
        <v>138.96359999999999</v>
      </c>
      <c r="Q44" s="2"/>
      <c r="T44" s="163" t="s">
        <v>108</v>
      </c>
      <c r="U44" s="108" t="s">
        <v>396</v>
      </c>
      <c r="W44" s="160">
        <v>42355</v>
      </c>
      <c r="X44" s="12">
        <v>144.93</v>
      </c>
      <c r="Y44" s="12">
        <v>145.5</v>
      </c>
      <c r="Z44" s="12">
        <v>140.41</v>
      </c>
      <c r="AA44" s="12">
        <v>140.47999999999999</v>
      </c>
      <c r="AB44" s="115">
        <v>2437800</v>
      </c>
      <c r="AC44" s="12">
        <v>140.47999999999999</v>
      </c>
      <c r="AD44" s="2">
        <f t="shared" si="1"/>
        <v>5.0900000000000034</v>
      </c>
      <c r="AE44" s="165">
        <f t="shared" si="2"/>
        <v>-2.3630803447317272E-2</v>
      </c>
    </row>
    <row r="45" spans="15:31" x14ac:dyDescent="0.25">
      <c r="O45" s="103">
        <v>1.07</v>
      </c>
      <c r="P45" s="103">
        <f t="shared" si="5"/>
        <v>137.67689999999999</v>
      </c>
      <c r="Q45" s="2"/>
      <c r="T45" s="163" t="s">
        <v>109</v>
      </c>
      <c r="U45" s="108" t="s">
        <v>397</v>
      </c>
      <c r="W45" s="160">
        <v>42354</v>
      </c>
      <c r="X45" s="12">
        <v>143.16999999999999</v>
      </c>
      <c r="Y45" s="12">
        <v>144.28</v>
      </c>
      <c r="Z45" s="12">
        <v>140.4</v>
      </c>
      <c r="AA45" s="12">
        <v>143.88</v>
      </c>
      <c r="AB45" s="115">
        <v>2964400</v>
      </c>
      <c r="AC45" s="12">
        <v>143.88</v>
      </c>
      <c r="AD45" s="2">
        <f t="shared" si="1"/>
        <v>3.8799999999999955</v>
      </c>
      <c r="AE45" s="165" t="e">
        <f t="shared" si="2"/>
        <v>#DIV/0!</v>
      </c>
    </row>
    <row r="46" spans="15:31" x14ac:dyDescent="0.25">
      <c r="O46" s="103">
        <v>1.06</v>
      </c>
      <c r="P46" s="103">
        <f t="shared" si="5"/>
        <v>136.39019999999999</v>
      </c>
      <c r="Q46" s="2"/>
      <c r="T46" s="163" t="s">
        <v>110</v>
      </c>
      <c r="U46" s="108">
        <v>170.04</v>
      </c>
      <c r="W46" s="160">
        <v>42354</v>
      </c>
      <c r="X46" s="12" t="s">
        <v>272</v>
      </c>
      <c r="Y46" s="12"/>
      <c r="Z46" s="12"/>
      <c r="AA46" s="12"/>
      <c r="AB46" s="115"/>
      <c r="AC46" s="12"/>
      <c r="AD46" s="2">
        <f t="shared" si="1"/>
        <v>0</v>
      </c>
      <c r="AE46" s="165">
        <f t="shared" si="2"/>
        <v>-1</v>
      </c>
    </row>
    <row r="47" spans="15:31" x14ac:dyDescent="0.25">
      <c r="O47" s="103">
        <v>1.05</v>
      </c>
      <c r="P47" s="103">
        <f t="shared" si="5"/>
        <v>135.1035</v>
      </c>
      <c r="Q47" s="2"/>
      <c r="T47" s="163" t="s">
        <v>111</v>
      </c>
      <c r="U47" s="108">
        <v>0.88382499999999997</v>
      </c>
      <c r="W47" s="160">
        <v>42353</v>
      </c>
      <c r="X47" s="12">
        <v>142.68</v>
      </c>
      <c r="Y47" s="12">
        <v>144.22999999999999</v>
      </c>
      <c r="Z47" s="12">
        <v>141.31</v>
      </c>
      <c r="AA47" s="12">
        <v>143.27000000000001</v>
      </c>
      <c r="AB47" s="115">
        <v>3525000</v>
      </c>
      <c r="AC47" s="12">
        <v>142.83000000000001</v>
      </c>
      <c r="AD47" s="2">
        <f t="shared" si="1"/>
        <v>2.9199999999999875</v>
      </c>
      <c r="AE47" s="165">
        <f t="shared" si="2"/>
        <v>5.3494756106147179E-3</v>
      </c>
    </row>
    <row r="48" spans="15:31" x14ac:dyDescent="0.25">
      <c r="O48" s="103">
        <v>1.04</v>
      </c>
      <c r="P48" s="103">
        <f t="shared" si="5"/>
        <v>133.8168</v>
      </c>
      <c r="Q48" s="2"/>
      <c r="T48" s="163" t="s">
        <v>112</v>
      </c>
      <c r="U48" s="108" t="s">
        <v>308</v>
      </c>
      <c r="W48" s="160">
        <v>42352</v>
      </c>
      <c r="X48" s="12">
        <v>144.13999999999999</v>
      </c>
      <c r="Y48" s="12">
        <v>145.36000000000001</v>
      </c>
      <c r="Z48" s="12">
        <v>141.24</v>
      </c>
      <c r="AA48" s="12">
        <v>142.51</v>
      </c>
      <c r="AB48" s="115">
        <v>3699300</v>
      </c>
      <c r="AC48" s="12">
        <v>142.07</v>
      </c>
      <c r="AD48" s="2">
        <f t="shared" si="1"/>
        <v>4.1200000000000045</v>
      </c>
      <c r="AE48" s="165">
        <f t="shared" si="2"/>
        <v>-1.3265731351576604E-2</v>
      </c>
    </row>
    <row r="49" spans="15:31" x14ac:dyDescent="0.25">
      <c r="O49" s="103">
        <v>1.03</v>
      </c>
      <c r="P49" s="103">
        <f t="shared" si="5"/>
        <v>132.5301</v>
      </c>
      <c r="Q49" s="2"/>
      <c r="T49" s="163"/>
      <c r="U49" s="108"/>
      <c r="W49" s="160">
        <v>42349</v>
      </c>
      <c r="X49" s="12">
        <v>144.62</v>
      </c>
      <c r="Y49" s="12">
        <v>147.72</v>
      </c>
      <c r="Z49" s="12">
        <v>144.30000000000001</v>
      </c>
      <c r="AA49" s="12">
        <v>144.41999999999999</v>
      </c>
      <c r="AB49" s="115">
        <v>2777700</v>
      </c>
      <c r="AC49" s="12">
        <v>143.97999999999999</v>
      </c>
      <c r="AD49" s="2">
        <f t="shared" si="1"/>
        <v>3.4199999999999875</v>
      </c>
      <c r="AE49" s="165">
        <f t="shared" si="2"/>
        <v>-1.9744008714597028E-2</v>
      </c>
    </row>
    <row r="50" spans="15:31" x14ac:dyDescent="0.25">
      <c r="O50" s="103">
        <v>1.02</v>
      </c>
      <c r="P50" s="103">
        <f t="shared" si="5"/>
        <v>131.24339999999998</v>
      </c>
      <c r="Q50" s="2"/>
      <c r="T50" s="163" t="s">
        <v>113</v>
      </c>
      <c r="U50" s="108" t="s">
        <v>398</v>
      </c>
      <c r="W50" s="160">
        <v>42348</v>
      </c>
      <c r="X50" s="12">
        <v>146.11000000000001</v>
      </c>
      <c r="Y50" s="12">
        <v>149.44</v>
      </c>
      <c r="Z50" s="12">
        <v>145.19</v>
      </c>
      <c r="AA50" s="12">
        <v>147.33000000000001</v>
      </c>
      <c r="AB50" s="115">
        <v>3307800</v>
      </c>
      <c r="AC50" s="12">
        <v>146.88</v>
      </c>
      <c r="AD50" s="2">
        <f t="shared" si="1"/>
        <v>4.25</v>
      </c>
      <c r="AE50" s="165">
        <f t="shared" si="2"/>
        <v>1.1570247933884392E-2</v>
      </c>
    </row>
    <row r="51" spans="15:31" x14ac:dyDescent="0.25">
      <c r="O51" s="103">
        <v>1.01</v>
      </c>
      <c r="P51" s="103">
        <f t="shared" si="5"/>
        <v>129.95669999999998</v>
      </c>
      <c r="Q51" s="2"/>
      <c r="T51" s="163" t="s">
        <v>114</v>
      </c>
      <c r="U51" s="108" t="s">
        <v>295</v>
      </c>
      <c r="W51" s="160">
        <v>42347</v>
      </c>
      <c r="X51" s="12">
        <v>147.13999999999999</v>
      </c>
      <c r="Y51" s="12">
        <v>148</v>
      </c>
      <c r="Z51" s="12">
        <v>144.41999999999999</v>
      </c>
      <c r="AA51" s="12">
        <v>145.65</v>
      </c>
      <c r="AB51" s="115">
        <v>3080300</v>
      </c>
      <c r="AC51" s="12">
        <v>145.19999999999999</v>
      </c>
      <c r="AD51" s="2">
        <f t="shared" si="1"/>
        <v>3.5800000000000125</v>
      </c>
      <c r="AE51" s="165">
        <f t="shared" si="2"/>
        <v>-1.4457340663816098E-2</v>
      </c>
    </row>
    <row r="52" spans="15:31" x14ac:dyDescent="0.25">
      <c r="O52" s="103">
        <v>1</v>
      </c>
      <c r="P52" s="103">
        <f t="shared" si="5"/>
        <v>128.66999999999999</v>
      </c>
      <c r="Q52" s="2"/>
      <c r="T52" s="163" t="s">
        <v>115</v>
      </c>
      <c r="U52" s="110">
        <v>3111806</v>
      </c>
      <c r="W52" s="160">
        <v>42346</v>
      </c>
      <c r="X52" s="12">
        <v>146.84</v>
      </c>
      <c r="Y52" s="12">
        <v>148.59</v>
      </c>
      <c r="Z52" s="12">
        <v>145.77000000000001</v>
      </c>
      <c r="AA52" s="12">
        <v>147.78</v>
      </c>
      <c r="AB52" s="115">
        <v>3456000</v>
      </c>
      <c r="AC52" s="12">
        <v>147.33000000000001</v>
      </c>
      <c r="AD52" s="2">
        <f t="shared" si="1"/>
        <v>2.8199999999999932</v>
      </c>
      <c r="AE52" s="165">
        <f t="shared" si="2"/>
        <v>-7.0095032688548553E-3</v>
      </c>
    </row>
    <row r="53" spans="15:31" x14ac:dyDescent="0.25">
      <c r="O53" s="103">
        <v>0.99</v>
      </c>
      <c r="P53" s="103">
        <f t="shared" si="5"/>
        <v>127.38329999999999</v>
      </c>
      <c r="Q53" s="2"/>
      <c r="T53" s="163" t="s">
        <v>118</v>
      </c>
      <c r="U53" s="110">
        <v>4881820</v>
      </c>
      <c r="W53" s="160">
        <v>42345</v>
      </c>
      <c r="X53" s="12">
        <v>146.69</v>
      </c>
      <c r="Y53" s="12">
        <v>149.72</v>
      </c>
      <c r="Z53" s="12">
        <v>145.55000000000001</v>
      </c>
      <c r="AA53" s="12">
        <v>148.83000000000001</v>
      </c>
      <c r="AB53" s="115">
        <v>4476900</v>
      </c>
      <c r="AC53" s="12">
        <v>148.37</v>
      </c>
      <c r="AD53" s="2">
        <f t="shared" si="1"/>
        <v>4.1699999999999875</v>
      </c>
      <c r="AE53" s="165">
        <f t="shared" si="2"/>
        <v>8.5650193732580426E-3</v>
      </c>
    </row>
    <row r="54" spans="15:31" x14ac:dyDescent="0.25">
      <c r="O54" s="103">
        <v>0.98</v>
      </c>
      <c r="P54" s="103">
        <f t="shared" si="5"/>
        <v>126.09659999999998</v>
      </c>
      <c r="Q54" s="2"/>
      <c r="T54" s="163" t="s">
        <v>116</v>
      </c>
      <c r="U54" s="108" t="s">
        <v>399</v>
      </c>
      <c r="W54" s="160">
        <v>42342</v>
      </c>
      <c r="X54" s="12">
        <v>144.80000000000001</v>
      </c>
      <c r="Y54" s="12">
        <v>147.88999999999999</v>
      </c>
      <c r="Z54" s="12">
        <v>143.24</v>
      </c>
      <c r="AA54" s="12">
        <v>147.56</v>
      </c>
      <c r="AB54" s="115">
        <v>6032900</v>
      </c>
      <c r="AC54" s="12">
        <v>147.11000000000001</v>
      </c>
      <c r="AD54" s="2">
        <f t="shared" si="1"/>
        <v>4.6499999999999773</v>
      </c>
      <c r="AE54" s="165">
        <f t="shared" si="2"/>
        <v>1.9190799501177747E-2</v>
      </c>
    </row>
    <row r="55" spans="15:31" x14ac:dyDescent="0.25">
      <c r="O55" s="103">
        <v>0.97</v>
      </c>
      <c r="P55" s="103">
        <f t="shared" si="5"/>
        <v>124.80989999999998</v>
      </c>
      <c r="T55" s="163" t="s">
        <v>119</v>
      </c>
      <c r="U55" s="108">
        <v>26.51</v>
      </c>
      <c r="W55" s="160">
        <v>42341</v>
      </c>
      <c r="X55" s="12">
        <v>144.86000000000001</v>
      </c>
      <c r="Y55" s="12">
        <v>146.86000000000001</v>
      </c>
      <c r="Z55" s="12">
        <v>142.88</v>
      </c>
      <c r="AA55" s="12">
        <v>144.78</v>
      </c>
      <c r="AB55" s="115">
        <v>12066100</v>
      </c>
      <c r="AC55" s="12">
        <v>144.34</v>
      </c>
      <c r="AD55" s="2">
        <f t="shared" si="1"/>
        <v>3.9800000000000182</v>
      </c>
      <c r="AE55" s="165">
        <f t="shared" si="2"/>
        <v>9.5144157814870844E-2</v>
      </c>
    </row>
    <row r="56" spans="15:31" x14ac:dyDescent="0.25">
      <c r="O56" s="103">
        <v>0.96</v>
      </c>
      <c r="P56" s="103">
        <f t="shared" si="5"/>
        <v>123.52319999999999</v>
      </c>
      <c r="T56" s="163" t="s">
        <v>120</v>
      </c>
      <c r="U56" s="108">
        <v>4.8499999999999996</v>
      </c>
      <c r="W56" s="160">
        <v>42340</v>
      </c>
      <c r="X56" s="12">
        <v>133.07</v>
      </c>
      <c r="Y56" s="12">
        <v>135</v>
      </c>
      <c r="Z56" s="12">
        <v>131.54</v>
      </c>
      <c r="AA56" s="12">
        <v>132.21</v>
      </c>
      <c r="AB56" s="115">
        <v>5436400</v>
      </c>
      <c r="AC56" s="12">
        <v>131.80000000000001</v>
      </c>
      <c r="AD56" s="2">
        <f t="shared" si="1"/>
        <v>3.460000000000008</v>
      </c>
      <c r="AE56" s="165">
        <f t="shared" si="2"/>
        <v>-5.13285024154575E-3</v>
      </c>
    </row>
    <row r="57" spans="15:31" x14ac:dyDescent="0.25">
      <c r="O57" s="103">
        <v>0.95</v>
      </c>
      <c r="P57" s="103">
        <f t="shared" si="5"/>
        <v>122.23649999999998</v>
      </c>
      <c r="T57" s="163" t="s">
        <v>117</v>
      </c>
      <c r="U57" s="108" t="s">
        <v>400</v>
      </c>
      <c r="W57" s="160">
        <v>42339</v>
      </c>
      <c r="X57" s="12">
        <v>131.16999999999999</v>
      </c>
      <c r="Y57" s="12">
        <v>133.77000000000001</v>
      </c>
      <c r="Z57" s="12">
        <v>130.91</v>
      </c>
      <c r="AA57" s="12">
        <v>132.88999999999999</v>
      </c>
      <c r="AB57" s="115">
        <v>4325500</v>
      </c>
      <c r="AC57" s="12">
        <v>132.47999999999999</v>
      </c>
      <c r="AD57" s="2">
        <f t="shared" si="1"/>
        <v>2.8600000000000136</v>
      </c>
      <c r="AE57" s="165">
        <f t="shared" si="2"/>
        <v>1.8685121107266278E-2</v>
      </c>
    </row>
    <row r="58" spans="15:31" x14ac:dyDescent="0.25">
      <c r="O58" s="103">
        <v>0.94</v>
      </c>
      <c r="P58" s="103">
        <f t="shared" si="5"/>
        <v>120.94979999999998</v>
      </c>
      <c r="W58" s="160">
        <v>42338</v>
      </c>
      <c r="X58" s="12">
        <v>129.43</v>
      </c>
      <c r="Y58" s="12">
        <v>130.69999999999999</v>
      </c>
      <c r="Z58" s="12">
        <v>127.12</v>
      </c>
      <c r="AA58" s="12">
        <v>130.44999999999999</v>
      </c>
      <c r="AB58" s="115">
        <v>3261500</v>
      </c>
      <c r="AC58" s="12">
        <v>130.05000000000001</v>
      </c>
      <c r="AD58" s="2">
        <f t="shared" si="1"/>
        <v>3.5799999999999841</v>
      </c>
      <c r="AE58" s="165">
        <f t="shared" si="2"/>
        <v>3.1626041345265143E-3</v>
      </c>
    </row>
    <row r="59" spans="15:31" x14ac:dyDescent="0.25">
      <c r="O59" s="103">
        <v>0.93</v>
      </c>
      <c r="P59" s="103">
        <f t="shared" si="5"/>
        <v>119.6631</v>
      </c>
      <c r="W59" s="160">
        <v>42335</v>
      </c>
      <c r="X59" s="12">
        <v>128.63</v>
      </c>
      <c r="Y59" s="12">
        <v>130.44999999999999</v>
      </c>
      <c r="Z59" s="12">
        <v>127.86</v>
      </c>
      <c r="AA59" s="12">
        <v>130.04</v>
      </c>
      <c r="AB59" s="115">
        <v>1326200</v>
      </c>
      <c r="AC59" s="12">
        <v>129.63999999999999</v>
      </c>
      <c r="AD59" s="2">
        <f t="shared" si="1"/>
        <v>2.5899999999999892</v>
      </c>
      <c r="AE59" s="165">
        <f t="shared" si="2"/>
        <v>1.2812499999999893E-2</v>
      </c>
    </row>
    <row r="60" spans="15:31" x14ac:dyDescent="0.25">
      <c r="O60" s="103">
        <v>0.92</v>
      </c>
      <c r="P60" s="103">
        <f t="shared" si="5"/>
        <v>118.37639999999999</v>
      </c>
      <c r="W60" s="160">
        <v>42333</v>
      </c>
      <c r="X60" s="12">
        <v>129</v>
      </c>
      <c r="Y60" s="12">
        <v>129.16999999999999</v>
      </c>
      <c r="Z60" s="12">
        <v>127.66</v>
      </c>
      <c r="AA60" s="12">
        <v>128.38999999999999</v>
      </c>
      <c r="AB60" s="115">
        <v>2139600</v>
      </c>
      <c r="AC60" s="12">
        <v>128</v>
      </c>
      <c r="AD60" s="2">
        <f t="shared" si="1"/>
        <v>1.5099999999999909</v>
      </c>
      <c r="AE60" s="165">
        <f t="shared" si="2"/>
        <v>3.9077764751849209E-4</v>
      </c>
    </row>
    <row r="61" spans="15:31" x14ac:dyDescent="0.25">
      <c r="O61" s="103">
        <v>0.91</v>
      </c>
      <c r="P61" s="103">
        <f t="shared" si="5"/>
        <v>117.08969999999999</v>
      </c>
      <c r="W61" s="160">
        <v>42332</v>
      </c>
      <c r="X61" s="12">
        <v>123.41</v>
      </c>
      <c r="Y61" s="12">
        <v>128.59</v>
      </c>
      <c r="Z61" s="12">
        <v>123.41</v>
      </c>
      <c r="AA61" s="12">
        <v>128.34</v>
      </c>
      <c r="AB61" s="115">
        <v>3565900</v>
      </c>
      <c r="AC61" s="12">
        <v>127.95</v>
      </c>
      <c r="AD61" s="2">
        <f t="shared" si="1"/>
        <v>5.1800000000000068</v>
      </c>
      <c r="AE61" s="165">
        <f t="shared" si="2"/>
        <v>3.1605256792711423E-2</v>
      </c>
    </row>
    <row r="62" spans="15:31" x14ac:dyDescent="0.25">
      <c r="O62" s="103">
        <v>0.9</v>
      </c>
      <c r="P62" s="103">
        <f t="shared" si="5"/>
        <v>115.803</v>
      </c>
      <c r="W62" s="160">
        <v>42331</v>
      </c>
      <c r="X62" s="12">
        <v>126.75</v>
      </c>
      <c r="Y62" s="12">
        <v>126.75</v>
      </c>
      <c r="Z62" s="12">
        <v>124.21</v>
      </c>
      <c r="AA62" s="12">
        <v>124.41</v>
      </c>
      <c r="AB62" s="115">
        <v>1600300</v>
      </c>
      <c r="AC62" s="12">
        <v>124.03</v>
      </c>
      <c r="AD62" s="2">
        <f t="shared" si="1"/>
        <v>2.5400000000000063</v>
      </c>
      <c r="AE62" s="165">
        <f t="shared" si="2"/>
        <v>-1.5713038647726441E-2</v>
      </c>
    </row>
    <row r="63" spans="15:31" x14ac:dyDescent="0.25">
      <c r="W63" s="160">
        <v>42328</v>
      </c>
      <c r="X63" s="12">
        <v>126.21</v>
      </c>
      <c r="Y63" s="12">
        <v>126.67</v>
      </c>
      <c r="Z63" s="12">
        <v>123.73</v>
      </c>
      <c r="AA63" s="12">
        <v>126.4</v>
      </c>
      <c r="AB63" s="115">
        <v>2805700</v>
      </c>
      <c r="AC63" s="12">
        <v>126.01</v>
      </c>
      <c r="AD63" s="2">
        <f t="shared" si="1"/>
        <v>2.9399999999999977</v>
      </c>
      <c r="AE63" s="165">
        <f t="shared" si="2"/>
        <v>9.4528558840023535E-3</v>
      </c>
    </row>
    <row r="64" spans="15:31" x14ac:dyDescent="0.25">
      <c r="W64" s="160">
        <v>42327</v>
      </c>
      <c r="X64" s="12">
        <v>126.1</v>
      </c>
      <c r="Y64" s="12">
        <v>126.13</v>
      </c>
      <c r="Z64" s="12">
        <v>123.01</v>
      </c>
      <c r="AA64" s="12">
        <v>125.21</v>
      </c>
      <c r="AB64" s="115">
        <v>3278000</v>
      </c>
      <c r="AC64" s="12">
        <v>124.83</v>
      </c>
      <c r="AD64" s="2">
        <f t="shared" si="1"/>
        <v>3.1199999999999903</v>
      </c>
      <c r="AE64" s="165">
        <f t="shared" si="2"/>
        <v>-5.5763562495021457E-3</v>
      </c>
    </row>
    <row r="65" spans="23:31" x14ac:dyDescent="0.25">
      <c r="W65" s="160">
        <v>42326</v>
      </c>
      <c r="X65" s="12">
        <v>121.92</v>
      </c>
      <c r="Y65" s="12">
        <v>126.1</v>
      </c>
      <c r="Z65" s="12">
        <v>121.6</v>
      </c>
      <c r="AA65" s="12">
        <v>125.92</v>
      </c>
      <c r="AB65" s="115">
        <v>2027000</v>
      </c>
      <c r="AC65" s="12">
        <v>125.53</v>
      </c>
      <c r="AD65" s="2">
        <f t="shared" si="1"/>
        <v>4.5</v>
      </c>
      <c r="AE65" s="165">
        <f t="shared" si="2"/>
        <v>3.1555592078231554E-2</v>
      </c>
    </row>
    <row r="66" spans="23:31" x14ac:dyDescent="0.25">
      <c r="W66" s="160">
        <v>42325</v>
      </c>
      <c r="X66" s="12">
        <v>121.46</v>
      </c>
      <c r="Y66" s="12">
        <v>123.68</v>
      </c>
      <c r="Z66" s="12">
        <v>121</v>
      </c>
      <c r="AA66" s="12">
        <v>122.06</v>
      </c>
      <c r="AB66" s="115">
        <v>1986800</v>
      </c>
      <c r="AC66" s="12">
        <v>121.69</v>
      </c>
      <c r="AD66" s="2">
        <f t="shared" si="1"/>
        <v>2.6800000000000068</v>
      </c>
      <c r="AE66" s="165">
        <f t="shared" si="2"/>
        <v>4.872006606110757E-3</v>
      </c>
    </row>
    <row r="67" spans="23:31" x14ac:dyDescent="0.25">
      <c r="W67" s="160">
        <v>42324</v>
      </c>
      <c r="X67" s="12">
        <v>117.47</v>
      </c>
      <c r="Y67" s="12">
        <v>121.77</v>
      </c>
      <c r="Z67" s="12">
        <v>117.08</v>
      </c>
      <c r="AA67" s="12">
        <v>121.47</v>
      </c>
      <c r="AB67" s="115">
        <v>2779600</v>
      </c>
      <c r="AC67" s="12">
        <v>121.1</v>
      </c>
      <c r="AD67" s="2">
        <f t="shared" ref="AD67:AD68" si="6">Y67-Z67</f>
        <v>4.6899999999999977</v>
      </c>
      <c r="AE67" s="165">
        <f t="shared" ref="AE67" si="7">AC67/AC68-1</f>
        <v>3.3452807646355831E-2</v>
      </c>
    </row>
    <row r="68" spans="23:31" x14ac:dyDescent="0.25">
      <c r="W68" s="160">
        <v>42321</v>
      </c>
      <c r="X68" s="12">
        <v>119</v>
      </c>
      <c r="Y68" s="12">
        <v>119.89</v>
      </c>
      <c r="Z68" s="12">
        <v>115.21</v>
      </c>
      <c r="AA68" s="12">
        <v>117.54</v>
      </c>
      <c r="AB68" s="115">
        <v>3982400</v>
      </c>
      <c r="AC68" s="12">
        <v>117.18</v>
      </c>
      <c r="AD68" s="2">
        <f t="shared" si="6"/>
        <v>4.6800000000000068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53" priority="10">
      <formula>Q7&gt;0</formula>
    </cfRule>
    <cfRule type="expression" dxfId="1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51" priority="3">
      <formula>F17&gt;0</formula>
    </cfRule>
    <cfRule type="expression" dxfId="150" priority="4">
      <formula>F17&lt;0</formula>
    </cfRule>
  </conditionalFormatting>
  <conditionalFormatting sqref="H17:H19">
    <cfRule type="expression" dxfId="149" priority="1">
      <formula>H17&gt;0</formula>
    </cfRule>
    <cfRule type="expression" dxfId="14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>
        <v>42419</v>
      </c>
      <c r="X2" s="12">
        <v>46.46</v>
      </c>
      <c r="Y2" s="12">
        <v>47.15</v>
      </c>
      <c r="Z2" s="12">
        <v>46.24</v>
      </c>
      <c r="AA2" s="12">
        <v>46.72</v>
      </c>
      <c r="AB2" s="115">
        <v>10572300</v>
      </c>
      <c r="AC2" s="12">
        <v>46.72</v>
      </c>
      <c r="AD2" s="2">
        <f>Y2-Z2</f>
        <v>0.90999999999999659</v>
      </c>
      <c r="AE2" s="165">
        <f>AC2/AC3-1</f>
        <v>5.5962117950925094E-3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>
        <v>42418</v>
      </c>
      <c r="X3" s="12">
        <v>46.4</v>
      </c>
      <c r="Y3" s="12">
        <v>46.68</v>
      </c>
      <c r="Z3" s="12">
        <v>45.98</v>
      </c>
      <c r="AA3" s="12">
        <v>46.46</v>
      </c>
      <c r="AB3" s="115">
        <v>10915500</v>
      </c>
      <c r="AC3" s="12">
        <v>46.46</v>
      </c>
      <c r="AD3" s="2">
        <f t="shared" ref="AD3:AD66" si="0">Y3-Z3</f>
        <v>0.70000000000000284</v>
      </c>
      <c r="AE3" s="165">
        <f t="shared" ref="AE3:AE66" si="1">AC3/AC4-1</f>
        <v>7.8091106290671952E-3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46.72</v>
      </c>
      <c r="T4" s="198"/>
      <c r="W4" s="160">
        <v>42417</v>
      </c>
      <c r="X4" s="12">
        <v>44.98</v>
      </c>
      <c r="Y4" s="12">
        <v>46.27</v>
      </c>
      <c r="Z4" s="12">
        <v>44.95</v>
      </c>
      <c r="AA4" s="12">
        <v>46.1</v>
      </c>
      <c r="AB4" s="115">
        <v>10328100</v>
      </c>
      <c r="AC4" s="12">
        <v>46.1</v>
      </c>
      <c r="AD4" s="2">
        <f t="shared" si="0"/>
        <v>1.3200000000000003</v>
      </c>
      <c r="AE4" s="165">
        <f t="shared" si="1"/>
        <v>3.4096007178106902E-2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1401.6</v>
      </c>
      <c r="W5" s="160">
        <v>42416</v>
      </c>
      <c r="X5" s="12">
        <v>43.49</v>
      </c>
      <c r="Y5" s="12">
        <v>44.67</v>
      </c>
      <c r="Z5" s="12">
        <v>43.09</v>
      </c>
      <c r="AA5" s="12">
        <v>44.58</v>
      </c>
      <c r="AB5" s="115">
        <v>8095400</v>
      </c>
      <c r="AC5" s="12">
        <v>44.58</v>
      </c>
      <c r="AD5" s="2">
        <f t="shared" si="0"/>
        <v>1.5799999999999983</v>
      </c>
      <c r="AE5" s="165">
        <f t="shared" si="1"/>
        <v>3.6985345429169536E-2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>
        <v>42412</v>
      </c>
      <c r="X6" s="12">
        <v>43</v>
      </c>
      <c r="Y6" s="12">
        <v>43.14</v>
      </c>
      <c r="Z6" s="12">
        <v>42.14</v>
      </c>
      <c r="AA6" s="12">
        <v>42.99</v>
      </c>
      <c r="AB6" s="115">
        <v>7552700</v>
      </c>
      <c r="AC6" s="12">
        <v>42.99</v>
      </c>
      <c r="AD6" s="2">
        <f t="shared" si="0"/>
        <v>1</v>
      </c>
      <c r="AE6" s="165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143.09999999999991</v>
      </c>
      <c r="R7" s="243"/>
      <c r="W7" s="160">
        <v>42412</v>
      </c>
      <c r="X7" s="12" t="s">
        <v>311</v>
      </c>
      <c r="Y7" s="12"/>
      <c r="Z7" s="12"/>
      <c r="AA7" s="12"/>
      <c r="AB7" s="115"/>
      <c r="AC7" s="12"/>
      <c r="AD7" s="2">
        <f t="shared" si="0"/>
        <v>0</v>
      </c>
      <c r="AE7" s="165">
        <f t="shared" si="1"/>
        <v>-1</v>
      </c>
    </row>
    <row r="8" spans="1:31" x14ac:dyDescent="0.25">
      <c r="O8" s="13" t="s">
        <v>92</v>
      </c>
      <c r="Q8" s="165">
        <f>(Q4-Q3)/Q3</f>
        <v>0.11370679380214531</v>
      </c>
      <c r="W8" s="160">
        <v>42411</v>
      </c>
      <c r="X8" s="12">
        <v>42.62</v>
      </c>
      <c r="Y8" s="12">
        <v>43.52</v>
      </c>
      <c r="Z8" s="12">
        <v>42.14</v>
      </c>
      <c r="AA8" s="12">
        <v>42.7</v>
      </c>
      <c r="AB8" s="115">
        <v>10019500</v>
      </c>
      <c r="AC8" s="12">
        <v>42.57</v>
      </c>
      <c r="AD8" s="2">
        <f t="shared" si="0"/>
        <v>1.3800000000000026</v>
      </c>
      <c r="AE8" s="165">
        <f t="shared" si="1"/>
        <v>-1.2984001854857485E-2</v>
      </c>
    </row>
    <row r="9" spans="1:31" x14ac:dyDescent="0.25">
      <c r="W9" s="160">
        <v>42410</v>
      </c>
      <c r="X9" s="12">
        <v>42.63</v>
      </c>
      <c r="Y9" s="12">
        <v>43.78</v>
      </c>
      <c r="Z9" s="12">
        <v>42.47</v>
      </c>
      <c r="AA9" s="12">
        <v>43.27</v>
      </c>
      <c r="AB9" s="115">
        <v>11356200</v>
      </c>
      <c r="AC9" s="12">
        <v>43.13</v>
      </c>
      <c r="AD9" s="2">
        <f t="shared" si="0"/>
        <v>1.3100000000000023</v>
      </c>
      <c r="AE9" s="165">
        <f t="shared" si="1"/>
        <v>3.0585424133811268E-2</v>
      </c>
    </row>
    <row r="10" spans="1:31" x14ac:dyDescent="0.25">
      <c r="W10" s="160">
        <v>42409</v>
      </c>
      <c r="X10" s="12">
        <v>40.35</v>
      </c>
      <c r="Y10" s="12">
        <v>42.49</v>
      </c>
      <c r="Z10" s="12">
        <v>40.03</v>
      </c>
      <c r="AA10" s="12">
        <v>41.98</v>
      </c>
      <c r="AB10" s="115">
        <v>12082600</v>
      </c>
      <c r="AC10" s="12">
        <v>41.85</v>
      </c>
      <c r="AD10" s="2">
        <f t="shared" si="0"/>
        <v>2.4600000000000009</v>
      </c>
      <c r="AE10" s="165">
        <f t="shared" si="1"/>
        <v>2.9773622047244208E-2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>
        <v>42408</v>
      </c>
      <c r="X11" s="12">
        <v>41.31</v>
      </c>
      <c r="Y11" s="12">
        <v>41.6</v>
      </c>
      <c r="Z11" s="12">
        <v>40.049999999999997</v>
      </c>
      <c r="AA11" s="12">
        <v>40.770000000000003</v>
      </c>
      <c r="AB11" s="115">
        <v>15450900</v>
      </c>
      <c r="AC11" s="12">
        <v>40.64</v>
      </c>
      <c r="AD11" s="2">
        <f t="shared" si="0"/>
        <v>1.5500000000000043</v>
      </c>
      <c r="AE11" s="165">
        <f t="shared" si="1"/>
        <v>-2.9608404966571245E-2</v>
      </c>
    </row>
    <row r="12" spans="1:31" x14ac:dyDescent="0.25">
      <c r="W12" s="160">
        <v>42405</v>
      </c>
      <c r="X12" s="12">
        <v>44.14</v>
      </c>
      <c r="Y12" s="12">
        <v>44.55</v>
      </c>
      <c r="Z12" s="12">
        <v>41.67</v>
      </c>
      <c r="AA12" s="12">
        <v>42.01</v>
      </c>
      <c r="AB12" s="115">
        <v>14206000</v>
      </c>
      <c r="AC12" s="12">
        <v>41.88</v>
      </c>
      <c r="AD12" s="2">
        <f t="shared" si="0"/>
        <v>2.8799999999999955</v>
      </c>
      <c r="AE12" s="165">
        <f t="shared" si="1"/>
        <v>-4.6013667425968019E-2</v>
      </c>
    </row>
    <row r="13" spans="1:31" x14ac:dyDescent="0.25">
      <c r="W13" s="160">
        <v>42404</v>
      </c>
      <c r="X13" s="12">
        <v>43.78</v>
      </c>
      <c r="Y13" s="12">
        <v>44.37</v>
      </c>
      <c r="Z13" s="12">
        <v>43.36</v>
      </c>
      <c r="AA13" s="12">
        <v>44.04</v>
      </c>
      <c r="AB13" s="115">
        <v>9444000</v>
      </c>
      <c r="AC13" s="12">
        <v>43.9</v>
      </c>
      <c r="AD13" s="2">
        <f t="shared" si="0"/>
        <v>1.009999999999998</v>
      </c>
      <c r="AE13" s="165">
        <f t="shared" si="1"/>
        <v>5.4970224461750039E-3</v>
      </c>
    </row>
    <row r="14" spans="1:31" x14ac:dyDescent="0.25">
      <c r="W14" s="160">
        <v>42403</v>
      </c>
      <c r="X14" s="12">
        <v>43.97</v>
      </c>
      <c r="Y14" s="12">
        <v>44.15</v>
      </c>
      <c r="Z14" s="12">
        <v>42.11</v>
      </c>
      <c r="AA14" s="12">
        <v>43.8</v>
      </c>
      <c r="AB14" s="115">
        <v>10049100</v>
      </c>
      <c r="AC14" s="12">
        <v>43.66</v>
      </c>
      <c r="AD14" s="2">
        <f t="shared" si="0"/>
        <v>2.0399999999999991</v>
      </c>
      <c r="AE14" s="165">
        <f t="shared" si="1"/>
        <v>4.3708304577869672E-3</v>
      </c>
    </row>
    <row r="15" spans="1:31" x14ac:dyDescent="0.25">
      <c r="W15" s="160">
        <v>42402</v>
      </c>
      <c r="X15" s="12">
        <v>45.19</v>
      </c>
      <c r="Y15" s="12">
        <v>45.52</v>
      </c>
      <c r="Z15" s="12">
        <v>43.32</v>
      </c>
      <c r="AA15" s="12">
        <v>43.61</v>
      </c>
      <c r="AB15" s="115">
        <v>8994000</v>
      </c>
      <c r="AC15" s="12">
        <v>43.47</v>
      </c>
      <c r="AD15" s="2">
        <f t="shared" si="0"/>
        <v>2.2000000000000028</v>
      </c>
      <c r="AE15" s="165">
        <f t="shared" si="1"/>
        <v>-3.550033281562015E-2</v>
      </c>
    </row>
    <row r="16" spans="1:31" x14ac:dyDescent="0.25">
      <c r="W16" s="160">
        <v>42401</v>
      </c>
      <c r="X16" s="12">
        <v>44.73</v>
      </c>
      <c r="Y16" s="12">
        <v>45.58</v>
      </c>
      <c r="Z16" s="12">
        <v>44.01</v>
      </c>
      <c r="AA16" s="12">
        <v>45.21</v>
      </c>
      <c r="AB16" s="115">
        <v>8618200</v>
      </c>
      <c r="AC16" s="12">
        <v>45.07</v>
      </c>
      <c r="AD16" s="2">
        <f t="shared" si="0"/>
        <v>1.5700000000000003</v>
      </c>
      <c r="AE16" s="165">
        <f t="shared" si="1"/>
        <v>2.0838052095130344E-2</v>
      </c>
    </row>
    <row r="17" spans="2:31" x14ac:dyDescent="0.25">
      <c r="B17" s="246" t="s">
        <v>122</v>
      </c>
      <c r="C17" s="246" t="s">
        <v>189</v>
      </c>
      <c r="D17" s="247" t="s">
        <v>188</v>
      </c>
      <c r="E17" s="249" t="s">
        <v>190</v>
      </c>
      <c r="F17" s="249" t="s">
        <v>65</v>
      </c>
      <c r="G17" s="294" t="s">
        <v>195</v>
      </c>
      <c r="H17" s="294" t="s">
        <v>92</v>
      </c>
      <c r="I17" s="294" t="s">
        <v>203</v>
      </c>
      <c r="W17" s="160">
        <v>42398</v>
      </c>
      <c r="X17" s="12">
        <v>43.14</v>
      </c>
      <c r="Y17" s="12">
        <v>44.34</v>
      </c>
      <c r="Z17" s="12">
        <v>42.42</v>
      </c>
      <c r="AA17" s="12">
        <v>44.29</v>
      </c>
      <c r="AB17" s="115">
        <v>12820100</v>
      </c>
      <c r="AC17" s="12">
        <v>44.15</v>
      </c>
      <c r="AD17" s="2">
        <f t="shared" si="0"/>
        <v>1.9200000000000017</v>
      </c>
      <c r="AE17" s="165">
        <f t="shared" si="1"/>
        <v>2.5313516024152216E-2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>
        <v>42397</v>
      </c>
      <c r="X18" s="12">
        <v>44.84</v>
      </c>
      <c r="Y18" s="12">
        <v>45</v>
      </c>
      <c r="Z18" s="12">
        <v>42.52</v>
      </c>
      <c r="AA18" s="12">
        <v>43.2</v>
      </c>
      <c r="AB18" s="115">
        <v>13996900</v>
      </c>
      <c r="AC18" s="12">
        <v>43.06</v>
      </c>
      <c r="AD18" s="2">
        <f t="shared" si="0"/>
        <v>2.4799999999999969</v>
      </c>
      <c r="AE18" s="165">
        <f t="shared" si="1"/>
        <v>-3.409600717810668E-2</v>
      </c>
    </row>
    <row r="19" spans="2:31" x14ac:dyDescent="0.25">
      <c r="B19" s="248">
        <v>42416</v>
      </c>
      <c r="C19" s="12">
        <v>30</v>
      </c>
      <c r="D19" s="53">
        <v>41.95</v>
      </c>
      <c r="E19" s="53">
        <v>44.58</v>
      </c>
      <c r="F19" s="53">
        <f>C19*(E19-D19)</f>
        <v>78.899999999999864</v>
      </c>
      <c r="G19" s="53">
        <f>D19*C19</f>
        <v>1258.5</v>
      </c>
      <c r="H19" s="304">
        <f>(E19-D19)/D19</f>
        <v>6.2693682955899763E-2</v>
      </c>
      <c r="I19" s="53"/>
      <c r="W19" s="160">
        <v>42396</v>
      </c>
      <c r="X19" s="12">
        <v>46.36</v>
      </c>
      <c r="Y19" s="12">
        <v>47</v>
      </c>
      <c r="Z19" s="12">
        <v>44.62</v>
      </c>
      <c r="AA19" s="12">
        <v>44.72</v>
      </c>
      <c r="AB19" s="115">
        <v>10669700</v>
      </c>
      <c r="AC19" s="12">
        <v>44.58</v>
      </c>
      <c r="AD19" s="2">
        <f t="shared" si="0"/>
        <v>2.3800000000000026</v>
      </c>
      <c r="AE19" s="165">
        <f t="shared" si="1"/>
        <v>-3.0026109660574507E-2</v>
      </c>
    </row>
    <row r="20" spans="2:31" x14ac:dyDescent="0.25">
      <c r="B20" s="248">
        <v>42421</v>
      </c>
      <c r="C20" s="12">
        <v>30</v>
      </c>
      <c r="D20" s="53">
        <v>41.95</v>
      </c>
      <c r="E20" s="53">
        <v>46.72</v>
      </c>
      <c r="F20" s="53">
        <f>C20*(E20-D20)</f>
        <v>143.09999999999988</v>
      </c>
      <c r="G20" s="53">
        <f>D20*C20</f>
        <v>1258.5</v>
      </c>
      <c r="H20" s="304">
        <f>(E20-D20)/D20</f>
        <v>0.11370679380214531</v>
      </c>
      <c r="I20" s="53"/>
      <c r="W20" s="160">
        <v>42395</v>
      </c>
      <c r="X20" s="12">
        <v>46.49</v>
      </c>
      <c r="Y20" s="12">
        <v>46.9</v>
      </c>
      <c r="Z20" s="12">
        <v>45.63</v>
      </c>
      <c r="AA20" s="12">
        <v>46.11</v>
      </c>
      <c r="AB20" s="115">
        <v>8685100</v>
      </c>
      <c r="AC20" s="12">
        <v>45.96</v>
      </c>
      <c r="AD20" s="2">
        <f t="shared" si="0"/>
        <v>1.269999999999996</v>
      </c>
      <c r="AE20" s="165">
        <f t="shared" si="1"/>
        <v>3.7126010045862579E-3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60">
        <v>42394</v>
      </c>
      <c r="X21" s="12">
        <v>47.59</v>
      </c>
      <c r="Y21" s="12">
        <v>47.62</v>
      </c>
      <c r="Z21" s="12">
        <v>45.85</v>
      </c>
      <c r="AA21" s="12">
        <v>45.94</v>
      </c>
      <c r="AB21" s="115">
        <v>8602600</v>
      </c>
      <c r="AC21" s="12">
        <v>45.79</v>
      </c>
      <c r="AD21" s="2">
        <f t="shared" si="0"/>
        <v>1.769999999999996</v>
      </c>
      <c r="AE21" s="165">
        <f t="shared" si="1"/>
        <v>-1.7592791246513584E-2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42391</v>
      </c>
      <c r="X22" s="12">
        <v>47.09</v>
      </c>
      <c r="Y22" s="12">
        <v>47.49</v>
      </c>
      <c r="Z22" s="12">
        <v>46.53</v>
      </c>
      <c r="AA22" s="12">
        <v>46.76</v>
      </c>
      <c r="AB22" s="115">
        <v>9419500</v>
      </c>
      <c r="AC22" s="12">
        <v>46.61</v>
      </c>
      <c r="AD22" s="2">
        <f t="shared" si="0"/>
        <v>0.96000000000000085</v>
      </c>
      <c r="AE22" s="165">
        <f t="shared" si="1"/>
        <v>5.1757601897779448E-3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42390</v>
      </c>
      <c r="X23" s="12">
        <v>46.65</v>
      </c>
      <c r="Y23" s="12">
        <v>47.12</v>
      </c>
      <c r="Z23" s="12">
        <v>45.37</v>
      </c>
      <c r="AA23" s="12">
        <v>46.52</v>
      </c>
      <c r="AB23" s="115">
        <v>12817400</v>
      </c>
      <c r="AC23" s="12">
        <v>46.37</v>
      </c>
      <c r="AD23" s="2">
        <f t="shared" si="0"/>
        <v>1.75</v>
      </c>
      <c r="AE23" s="165">
        <f t="shared" si="1"/>
        <v>1.8002195389681619E-2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42389</v>
      </c>
      <c r="X24" s="12">
        <v>46.09</v>
      </c>
      <c r="Y24" s="12">
        <v>46.76</v>
      </c>
      <c r="Z24" s="12">
        <v>42.54</v>
      </c>
      <c r="AA24" s="12">
        <v>45.69</v>
      </c>
      <c r="AB24" s="115">
        <v>21927500</v>
      </c>
      <c r="AC24" s="12">
        <v>45.55</v>
      </c>
      <c r="AD24" s="2">
        <f t="shared" si="0"/>
        <v>4.2199999999999989</v>
      </c>
      <c r="AE24" s="165">
        <f t="shared" si="1"/>
        <v>-5.6756166775814298E-3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42388</v>
      </c>
      <c r="X25" s="12">
        <v>45.8</v>
      </c>
      <c r="Y25" s="12">
        <v>46.75</v>
      </c>
      <c r="Z25" s="12">
        <v>45.19</v>
      </c>
      <c r="AA25" s="12">
        <v>45.96</v>
      </c>
      <c r="AB25" s="115">
        <v>16014700</v>
      </c>
      <c r="AC25" s="12">
        <v>45.81</v>
      </c>
      <c r="AD25" s="2">
        <f t="shared" si="0"/>
        <v>1.5600000000000023</v>
      </c>
      <c r="AE25" s="165">
        <f t="shared" si="1"/>
        <v>3.2687105500450953E-2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42384</v>
      </c>
      <c r="X26" s="12">
        <v>43.88</v>
      </c>
      <c r="Y26" s="12">
        <v>45.36</v>
      </c>
      <c r="Z26" s="12">
        <v>43.45</v>
      </c>
      <c r="AA26" s="12">
        <v>44.5</v>
      </c>
      <c r="AB26" s="115">
        <v>16408600</v>
      </c>
      <c r="AC26" s="12">
        <v>44.36</v>
      </c>
      <c r="AD26" s="2">
        <f t="shared" si="0"/>
        <v>1.9099999999999966</v>
      </c>
      <c r="AE26" s="165">
        <f t="shared" si="1"/>
        <v>-1.8584070796460295E-2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42383</v>
      </c>
      <c r="X27" s="12">
        <v>45.03</v>
      </c>
      <c r="Y27" s="12">
        <v>45.75</v>
      </c>
      <c r="Z27" s="12">
        <v>44.02</v>
      </c>
      <c r="AA27" s="12">
        <v>45.34</v>
      </c>
      <c r="AB27" s="115">
        <v>11555000</v>
      </c>
      <c r="AC27" s="12">
        <v>45.2</v>
      </c>
      <c r="AD27" s="2">
        <f t="shared" si="0"/>
        <v>1.7299999999999969</v>
      </c>
      <c r="AE27" s="165">
        <f t="shared" si="1"/>
        <v>8.9285714285716189E-3</v>
      </c>
    </row>
    <row r="28" spans="2:31" x14ac:dyDescent="0.25">
      <c r="W28" s="160">
        <v>42382</v>
      </c>
      <c r="X28" s="12">
        <v>47.5</v>
      </c>
      <c r="Y28" s="12">
        <v>47.5</v>
      </c>
      <c r="Z28" s="12">
        <v>44.54</v>
      </c>
      <c r="AA28" s="12">
        <v>44.94</v>
      </c>
      <c r="AB28" s="115">
        <v>10964500</v>
      </c>
      <c r="AC28" s="12">
        <v>44.8</v>
      </c>
      <c r="AD28" s="2">
        <f t="shared" si="0"/>
        <v>2.9600000000000009</v>
      </c>
      <c r="AE28" s="165">
        <f t="shared" si="1"/>
        <v>-4.2939542832728161E-2</v>
      </c>
    </row>
    <row r="29" spans="2:31" x14ac:dyDescent="0.25">
      <c r="W29" s="160">
        <v>42381</v>
      </c>
      <c r="X29" s="12">
        <v>47.07</v>
      </c>
      <c r="Y29" s="12">
        <v>47.48</v>
      </c>
      <c r="Z29" s="12">
        <v>45.82</v>
      </c>
      <c r="AA29" s="12">
        <v>46.96</v>
      </c>
      <c r="AB29" s="115">
        <v>12163400</v>
      </c>
      <c r="AC29" s="12">
        <v>46.81</v>
      </c>
      <c r="AD29" s="2">
        <f t="shared" si="0"/>
        <v>1.6599999999999966</v>
      </c>
      <c r="AE29" s="165">
        <f t="shared" si="1"/>
        <v>4.7220433569434839E-3</v>
      </c>
    </row>
    <row r="30" spans="2:31" x14ac:dyDescent="0.25">
      <c r="W30" s="160">
        <v>42380</v>
      </c>
      <c r="X30" s="12">
        <v>46.99</v>
      </c>
      <c r="Y30" s="12">
        <v>47.29</v>
      </c>
      <c r="Z30" s="12">
        <v>45.57</v>
      </c>
      <c r="AA30" s="12">
        <v>46.74</v>
      </c>
      <c r="AB30" s="115">
        <v>12096400</v>
      </c>
      <c r="AC30" s="12">
        <v>46.59</v>
      </c>
      <c r="AD30" s="2">
        <f t="shared" si="0"/>
        <v>1.7199999999999989</v>
      </c>
      <c r="AE30" s="165">
        <f t="shared" si="1"/>
        <v>2.7981058975463657E-3</v>
      </c>
    </row>
    <row r="31" spans="2:31" x14ac:dyDescent="0.25">
      <c r="W31" s="160">
        <v>42377</v>
      </c>
      <c r="X31" s="12">
        <v>47.48</v>
      </c>
      <c r="Y31" s="12">
        <v>48.95</v>
      </c>
      <c r="Z31" s="12">
        <v>46.49</v>
      </c>
      <c r="AA31" s="12">
        <v>46.61</v>
      </c>
      <c r="AB31" s="115">
        <v>10850300</v>
      </c>
      <c r="AC31" s="12">
        <v>46.46</v>
      </c>
      <c r="AD31" s="2">
        <f t="shared" si="0"/>
        <v>2.4600000000000009</v>
      </c>
      <c r="AE31" s="165">
        <f t="shared" si="1"/>
        <v>-8.3244397011740245E-3</v>
      </c>
    </row>
    <row r="32" spans="2:31" x14ac:dyDescent="0.25">
      <c r="W32" s="160">
        <v>42376</v>
      </c>
      <c r="X32" s="12">
        <v>48.39</v>
      </c>
      <c r="Y32" s="12">
        <v>48.68</v>
      </c>
      <c r="Z32" s="12">
        <v>46.74</v>
      </c>
      <c r="AA32" s="12">
        <v>47</v>
      </c>
      <c r="AB32" s="115">
        <v>11301100</v>
      </c>
      <c r="AC32" s="12">
        <v>46.85</v>
      </c>
      <c r="AD32" s="2">
        <f t="shared" si="0"/>
        <v>1.9399999999999977</v>
      </c>
      <c r="AE32" s="165">
        <f t="shared" si="1"/>
        <v>-3.9565395653956559E-2</v>
      </c>
    </row>
    <row r="33" spans="15:31" x14ac:dyDescent="0.25">
      <c r="W33" s="160">
        <v>42375</v>
      </c>
      <c r="X33" s="12">
        <v>47.79</v>
      </c>
      <c r="Y33" s="12">
        <v>49.3</v>
      </c>
      <c r="Z33" s="12">
        <v>47.63</v>
      </c>
      <c r="AA33" s="12">
        <v>48.93</v>
      </c>
      <c r="AB33" s="115">
        <v>10375900</v>
      </c>
      <c r="AC33" s="12">
        <v>48.78</v>
      </c>
      <c r="AD33" s="2">
        <f t="shared" si="0"/>
        <v>1.6699999999999946</v>
      </c>
      <c r="AE33" s="165">
        <f t="shared" si="1"/>
        <v>7.4349442379182396E-3</v>
      </c>
    </row>
    <row r="34" spans="15:31" x14ac:dyDescent="0.25">
      <c r="W34" s="160">
        <v>42374</v>
      </c>
      <c r="X34" s="12">
        <v>49.31</v>
      </c>
      <c r="Y34" s="12">
        <v>49.75</v>
      </c>
      <c r="Z34" s="12">
        <v>47.04</v>
      </c>
      <c r="AA34" s="12">
        <v>48.57</v>
      </c>
      <c r="AB34" s="115">
        <v>14557200</v>
      </c>
      <c r="AC34" s="12">
        <v>48.42</v>
      </c>
      <c r="AD34" s="2">
        <f t="shared" si="0"/>
        <v>2.7100000000000009</v>
      </c>
      <c r="AE34" s="165">
        <f t="shared" si="1"/>
        <v>-1.8552875695732052E-3</v>
      </c>
    </row>
    <row r="35" spans="15:31" x14ac:dyDescent="0.25">
      <c r="W35" s="160">
        <v>42373</v>
      </c>
      <c r="X35" s="12">
        <v>49.42</v>
      </c>
      <c r="Y35" s="12">
        <v>49.42</v>
      </c>
      <c r="Z35" s="12">
        <v>48.3</v>
      </c>
      <c r="AA35" s="12">
        <v>48.66</v>
      </c>
      <c r="AB35" s="115">
        <v>12323200</v>
      </c>
      <c r="AC35" s="12">
        <v>48.51</v>
      </c>
      <c r="AD35" s="2">
        <f t="shared" si="0"/>
        <v>1.1200000000000045</v>
      </c>
      <c r="AE35" s="165">
        <f t="shared" si="1"/>
        <v>-3.9976251731644652E-2</v>
      </c>
    </row>
    <row r="36" spans="15:31" x14ac:dyDescent="0.25">
      <c r="W36" s="160">
        <v>42369</v>
      </c>
      <c r="X36" s="12">
        <v>51</v>
      </c>
      <c r="Y36" s="12">
        <v>51.08</v>
      </c>
      <c r="Z36" s="12">
        <v>50.35</v>
      </c>
      <c r="AA36" s="12">
        <v>50.69</v>
      </c>
      <c r="AB36" s="115">
        <v>5911400</v>
      </c>
      <c r="AC36" s="12">
        <v>50.53</v>
      </c>
      <c r="AD36" s="2">
        <f t="shared" si="0"/>
        <v>0.72999999999999687</v>
      </c>
      <c r="AE36" s="165">
        <f t="shared" si="1"/>
        <v>-9.4099196236031579E-3</v>
      </c>
    </row>
    <row r="37" spans="15:31" x14ac:dyDescent="0.25">
      <c r="W37" s="160">
        <v>42368</v>
      </c>
      <c r="X37" s="12">
        <v>52.23</v>
      </c>
      <c r="Y37" s="12">
        <v>52.3</v>
      </c>
      <c r="Z37" s="12">
        <v>51.07</v>
      </c>
      <c r="AA37" s="12">
        <v>51.17</v>
      </c>
      <c r="AB37" s="115">
        <v>5060000</v>
      </c>
      <c r="AC37" s="12">
        <v>51.01</v>
      </c>
      <c r="AD37" s="2">
        <f t="shared" si="0"/>
        <v>1.2299999999999969</v>
      </c>
      <c r="AE37" s="165">
        <f t="shared" si="1"/>
        <v>-1.9227071716977462E-2</v>
      </c>
    </row>
    <row r="38" spans="15:31" x14ac:dyDescent="0.25">
      <c r="W38" s="160">
        <v>42367</v>
      </c>
      <c r="X38" s="12">
        <v>51.93</v>
      </c>
      <c r="Y38" s="12">
        <v>52.41</v>
      </c>
      <c r="Z38" s="12">
        <v>51.89</v>
      </c>
      <c r="AA38" s="12">
        <v>52.17</v>
      </c>
      <c r="AB38" s="115">
        <v>4300100</v>
      </c>
      <c r="AC38" s="12">
        <v>52.01</v>
      </c>
      <c r="AD38" s="2">
        <f t="shared" si="0"/>
        <v>0.51999999999999602</v>
      </c>
      <c r="AE38" s="165">
        <f t="shared" si="1"/>
        <v>4.2479243097122144E-3</v>
      </c>
    </row>
    <row r="39" spans="15:31" x14ac:dyDescent="0.25">
      <c r="W39" s="160">
        <v>42366</v>
      </c>
      <c r="X39" s="12">
        <v>52.41</v>
      </c>
      <c r="Y39" s="12">
        <v>52.72</v>
      </c>
      <c r="Z39" s="12">
        <v>51.32</v>
      </c>
      <c r="AA39" s="12">
        <v>51.95</v>
      </c>
      <c r="AB39" s="115">
        <v>5295300</v>
      </c>
      <c r="AC39" s="12">
        <v>51.79</v>
      </c>
      <c r="AD39" s="2">
        <f t="shared" si="0"/>
        <v>1.3999999999999986</v>
      </c>
      <c r="AE39" s="165">
        <f t="shared" si="1"/>
        <v>-5.759262814359789E-3</v>
      </c>
    </row>
    <row r="40" spans="15:31" ht="20.25" thickBot="1" x14ac:dyDescent="0.35">
      <c r="O40" s="389" t="s">
        <v>78</v>
      </c>
      <c r="P40" s="389"/>
      <c r="T40" s="111" t="s">
        <v>121</v>
      </c>
      <c r="W40" s="160">
        <v>42362</v>
      </c>
      <c r="X40" s="12">
        <v>51.71</v>
      </c>
      <c r="Y40" s="12">
        <v>52.65</v>
      </c>
      <c r="Z40" s="12">
        <v>51.69</v>
      </c>
      <c r="AA40" s="12">
        <v>52.26</v>
      </c>
      <c r="AB40" s="115">
        <v>3834200</v>
      </c>
      <c r="AC40" s="12">
        <v>52.09</v>
      </c>
      <c r="AD40" s="2">
        <f t="shared" si="0"/>
        <v>0.96000000000000085</v>
      </c>
      <c r="AE40" s="165">
        <f t="shared" si="1"/>
        <v>9.8875533152384953E-3</v>
      </c>
    </row>
    <row r="41" spans="15:31" ht="15.75" thickTop="1" x14ac:dyDescent="0.25">
      <c r="O41" s="103">
        <v>1.1000000000000001</v>
      </c>
      <c r="P41" s="103">
        <f>O41*$Q$4</f>
        <v>51.392000000000003</v>
      </c>
      <c r="Q41" s="2"/>
      <c r="T41" s="155"/>
      <c r="U41" s="118"/>
      <c r="W41" s="160">
        <v>42361</v>
      </c>
      <c r="X41" s="12">
        <v>51.74</v>
      </c>
      <c r="Y41" s="12">
        <v>51.87</v>
      </c>
      <c r="Z41" s="12">
        <v>50.91</v>
      </c>
      <c r="AA41" s="12">
        <v>51.74</v>
      </c>
      <c r="AB41" s="115">
        <v>5843600</v>
      </c>
      <c r="AC41" s="12">
        <v>51.58</v>
      </c>
      <c r="AD41" s="2">
        <f t="shared" si="0"/>
        <v>0.96000000000000085</v>
      </c>
      <c r="AE41" s="165">
        <f t="shared" si="1"/>
        <v>-1.9383601473166312E-4</v>
      </c>
    </row>
    <row r="42" spans="15:31" x14ac:dyDescent="0.25">
      <c r="O42" s="103">
        <v>1.0900000000000001</v>
      </c>
      <c r="P42" s="103">
        <f t="shared" ref="P42:P61" si="2">O42*$Q$4</f>
        <v>50.924800000000005</v>
      </c>
      <c r="Q42" s="2"/>
      <c r="T42" s="113"/>
      <c r="U42" s="108"/>
      <c r="W42" s="160">
        <v>42360</v>
      </c>
      <c r="X42" s="12">
        <v>51.65</v>
      </c>
      <c r="Y42" s="12">
        <v>51.95</v>
      </c>
      <c r="Z42" s="12">
        <v>51.16</v>
      </c>
      <c r="AA42" s="12">
        <v>51.75</v>
      </c>
      <c r="AB42" s="115">
        <v>6745600</v>
      </c>
      <c r="AC42" s="12">
        <v>51.59</v>
      </c>
      <c r="AD42" s="2">
        <f t="shared" si="0"/>
        <v>0.79000000000000625</v>
      </c>
      <c r="AE42" s="165">
        <f t="shared" si="1"/>
        <v>5.653021442495243E-3</v>
      </c>
    </row>
    <row r="43" spans="15:31" x14ac:dyDescent="0.25">
      <c r="O43" s="103">
        <v>1.08</v>
      </c>
      <c r="P43" s="103">
        <f t="shared" si="2"/>
        <v>50.457599999999999</v>
      </c>
      <c r="Q43" s="2"/>
      <c r="T43" s="113"/>
      <c r="U43" s="108"/>
      <c r="W43" s="160">
        <v>42359</v>
      </c>
      <c r="X43" s="12">
        <v>50.46</v>
      </c>
      <c r="Y43" s="12">
        <v>51.5</v>
      </c>
      <c r="Z43" s="12">
        <v>50.42</v>
      </c>
      <c r="AA43" s="12">
        <v>51.46</v>
      </c>
      <c r="AB43" s="115">
        <v>8822100</v>
      </c>
      <c r="AC43" s="12">
        <v>51.3</v>
      </c>
      <c r="AD43" s="2">
        <f t="shared" si="0"/>
        <v>1.0799999999999983</v>
      </c>
      <c r="AE43" s="165">
        <f t="shared" si="1"/>
        <v>3.0120481927710774E-2</v>
      </c>
    </row>
    <row r="44" spans="15:31" x14ac:dyDescent="0.25">
      <c r="O44" s="103">
        <v>1.07</v>
      </c>
      <c r="P44" s="103">
        <f t="shared" si="2"/>
        <v>49.990400000000001</v>
      </c>
      <c r="Q44" s="2"/>
      <c r="T44" s="113"/>
      <c r="U44" s="108"/>
      <c r="W44" s="160">
        <v>42356</v>
      </c>
      <c r="X44" s="12">
        <v>51.04</v>
      </c>
      <c r="Y44" s="12">
        <v>51.95</v>
      </c>
      <c r="Z44" s="12">
        <v>49.96</v>
      </c>
      <c r="AA44" s="12">
        <v>49.96</v>
      </c>
      <c r="AB44" s="115">
        <v>15753500</v>
      </c>
      <c r="AC44" s="12">
        <v>49.8</v>
      </c>
      <c r="AD44" s="2">
        <f t="shared" si="0"/>
        <v>1.990000000000002</v>
      </c>
      <c r="AE44" s="165">
        <f t="shared" si="1"/>
        <v>-2.103400825633972E-2</v>
      </c>
    </row>
    <row r="45" spans="15:31" x14ac:dyDescent="0.25">
      <c r="O45" s="103">
        <v>1.06</v>
      </c>
      <c r="P45" s="103">
        <f t="shared" si="2"/>
        <v>49.523200000000003</v>
      </c>
      <c r="Q45" s="2"/>
      <c r="T45" s="113"/>
      <c r="U45" s="108"/>
      <c r="W45" s="160">
        <v>42355</v>
      </c>
      <c r="X45" s="12">
        <v>51.98</v>
      </c>
      <c r="Y45" s="12">
        <v>52.77</v>
      </c>
      <c r="Z45" s="12">
        <v>51.02</v>
      </c>
      <c r="AA45" s="12">
        <v>51.03</v>
      </c>
      <c r="AB45" s="115">
        <v>10024900</v>
      </c>
      <c r="AC45" s="12">
        <v>50.87</v>
      </c>
      <c r="AD45" s="2">
        <f t="shared" si="0"/>
        <v>1.75</v>
      </c>
      <c r="AE45" s="165">
        <f t="shared" si="1"/>
        <v>-2.0977675134719043E-2</v>
      </c>
    </row>
    <row r="46" spans="15:31" x14ac:dyDescent="0.25">
      <c r="O46" s="103">
        <v>1.05</v>
      </c>
      <c r="P46" s="103">
        <f t="shared" si="2"/>
        <v>49.055999999999997</v>
      </c>
      <c r="Q46" s="2"/>
      <c r="T46" s="113"/>
      <c r="U46" s="108"/>
      <c r="W46" s="160">
        <v>42354</v>
      </c>
      <c r="X46" s="12">
        <v>51.4</v>
      </c>
      <c r="Y46" s="12">
        <v>52.29</v>
      </c>
      <c r="Z46" s="12">
        <v>50.85</v>
      </c>
      <c r="AA46" s="12">
        <v>52.12</v>
      </c>
      <c r="AB46" s="115">
        <v>9172900</v>
      </c>
      <c r="AC46" s="12">
        <v>51.96</v>
      </c>
      <c r="AD46" s="2">
        <f t="shared" si="0"/>
        <v>1.4399999999999977</v>
      </c>
      <c r="AE46" s="165">
        <f t="shared" si="1"/>
        <v>1.9023337909394034E-2</v>
      </c>
    </row>
    <row r="47" spans="15:31" x14ac:dyDescent="0.25">
      <c r="O47" s="103">
        <v>1.04</v>
      </c>
      <c r="P47" s="103">
        <f t="shared" si="2"/>
        <v>48.588799999999999</v>
      </c>
      <c r="Q47" s="2"/>
      <c r="T47" s="113"/>
      <c r="U47" s="108"/>
      <c r="W47" s="160">
        <v>42353</v>
      </c>
      <c r="X47" s="12">
        <v>50.67</v>
      </c>
      <c r="Y47" s="12">
        <v>51.41</v>
      </c>
      <c r="Z47" s="12">
        <v>50.07</v>
      </c>
      <c r="AA47" s="12">
        <v>51.15</v>
      </c>
      <c r="AB47" s="115">
        <v>8079700</v>
      </c>
      <c r="AC47" s="12">
        <v>50.99</v>
      </c>
      <c r="AD47" s="2">
        <f t="shared" si="0"/>
        <v>1.3399999999999963</v>
      </c>
      <c r="AE47" s="165">
        <f t="shared" si="1"/>
        <v>1.9392243102758888E-2</v>
      </c>
    </row>
    <row r="48" spans="15:31" x14ac:dyDescent="0.25">
      <c r="O48" s="103">
        <v>1.03</v>
      </c>
      <c r="P48" s="103">
        <f t="shared" si="2"/>
        <v>48.121600000000001</v>
      </c>
      <c r="Q48" s="2"/>
      <c r="T48" s="113"/>
      <c r="U48" s="108"/>
      <c r="W48" s="160">
        <v>42352</v>
      </c>
      <c r="X48" s="12">
        <v>49.52</v>
      </c>
      <c r="Y48" s="12">
        <v>50.41</v>
      </c>
      <c r="Z48" s="12">
        <v>48.76</v>
      </c>
      <c r="AA48" s="12">
        <v>50.18</v>
      </c>
      <c r="AB48" s="115">
        <v>10006400</v>
      </c>
      <c r="AC48" s="12">
        <v>50.02</v>
      </c>
      <c r="AD48" s="2">
        <f t="shared" si="0"/>
        <v>1.6499999999999986</v>
      </c>
      <c r="AE48" s="165">
        <f t="shared" si="1"/>
        <v>1.8322475570032637E-2</v>
      </c>
    </row>
    <row r="49" spans="15:31" x14ac:dyDescent="0.25">
      <c r="O49" s="103">
        <v>1.02</v>
      </c>
      <c r="P49" s="103">
        <f t="shared" si="2"/>
        <v>47.654400000000003</v>
      </c>
      <c r="Q49" s="2"/>
      <c r="T49" s="113"/>
      <c r="U49" s="108"/>
      <c r="W49" s="160">
        <v>42349</v>
      </c>
      <c r="X49" s="12">
        <v>50.37</v>
      </c>
      <c r="Y49" s="12">
        <v>50.65</v>
      </c>
      <c r="Z49" s="12">
        <v>49.22</v>
      </c>
      <c r="AA49" s="12">
        <v>49.28</v>
      </c>
      <c r="AB49" s="115">
        <v>8651600</v>
      </c>
      <c r="AC49" s="12">
        <v>49.12</v>
      </c>
      <c r="AD49" s="2">
        <f t="shared" si="0"/>
        <v>1.4299999999999997</v>
      </c>
      <c r="AE49" s="165">
        <f t="shared" si="1"/>
        <v>-3.9123630672926457E-2</v>
      </c>
    </row>
    <row r="50" spans="15:31" x14ac:dyDescent="0.25">
      <c r="O50" s="103">
        <v>1.01</v>
      </c>
      <c r="P50" s="103">
        <f t="shared" si="2"/>
        <v>47.187199999999997</v>
      </c>
      <c r="Q50" s="2"/>
      <c r="T50" s="113"/>
      <c r="U50" s="108"/>
      <c r="W50" s="160">
        <v>42348</v>
      </c>
      <c r="X50" s="12">
        <v>49.71</v>
      </c>
      <c r="Y50" s="12">
        <v>51.92</v>
      </c>
      <c r="Z50" s="12">
        <v>49.54</v>
      </c>
      <c r="AA50" s="12">
        <v>51.28</v>
      </c>
      <c r="AB50" s="115">
        <v>10089600</v>
      </c>
      <c r="AC50" s="12">
        <v>51.12</v>
      </c>
      <c r="AD50" s="2">
        <f t="shared" si="0"/>
        <v>2.3800000000000026</v>
      </c>
      <c r="AE50" s="165">
        <f t="shared" si="1"/>
        <v>3.5866261398176169E-2</v>
      </c>
    </row>
    <row r="51" spans="15:31" x14ac:dyDescent="0.25">
      <c r="O51" s="103">
        <v>1</v>
      </c>
      <c r="P51" s="103">
        <f t="shared" si="2"/>
        <v>46.72</v>
      </c>
      <c r="Q51" s="2"/>
      <c r="T51" s="113"/>
      <c r="U51" s="110"/>
      <c r="W51" s="160">
        <v>42347</v>
      </c>
      <c r="X51" s="12">
        <v>50.02</v>
      </c>
      <c r="Y51" s="12">
        <v>50.74</v>
      </c>
      <c r="Z51" s="12">
        <v>49.14</v>
      </c>
      <c r="AA51" s="12">
        <v>49.51</v>
      </c>
      <c r="AB51" s="115">
        <v>8144700</v>
      </c>
      <c r="AC51" s="12">
        <v>49.35</v>
      </c>
      <c r="AD51" s="2">
        <f t="shared" si="0"/>
        <v>1.6000000000000014</v>
      </c>
      <c r="AE51" s="165">
        <f t="shared" si="1"/>
        <v>-1.5166633406505703E-2</v>
      </c>
    </row>
    <row r="52" spans="15:31" x14ac:dyDescent="0.25">
      <c r="O52" s="103">
        <v>0.99</v>
      </c>
      <c r="P52" s="103">
        <f t="shared" si="2"/>
        <v>46.252800000000001</v>
      </c>
      <c r="Q52" s="2"/>
      <c r="T52" s="113"/>
      <c r="U52" s="110"/>
      <c r="W52" s="160">
        <v>42346</v>
      </c>
      <c r="X52" s="12">
        <v>51.33</v>
      </c>
      <c r="Y52" s="12">
        <v>51.82</v>
      </c>
      <c r="Z52" s="12">
        <v>49.89</v>
      </c>
      <c r="AA52" s="12">
        <v>50.27</v>
      </c>
      <c r="AB52" s="115">
        <v>13469200</v>
      </c>
      <c r="AC52" s="12">
        <v>50.11</v>
      </c>
      <c r="AD52" s="2">
        <f t="shared" si="0"/>
        <v>1.9299999999999997</v>
      </c>
      <c r="AE52" s="165">
        <f t="shared" si="1"/>
        <v>-2.925222781867487E-2</v>
      </c>
    </row>
    <row r="53" spans="15:31" x14ac:dyDescent="0.25">
      <c r="O53" s="103">
        <v>0.98</v>
      </c>
      <c r="P53" s="103">
        <f t="shared" si="2"/>
        <v>45.785599999999995</v>
      </c>
      <c r="Q53" s="2"/>
      <c r="T53" s="113"/>
      <c r="U53" s="108"/>
      <c r="W53" s="160">
        <v>42345</v>
      </c>
      <c r="X53" s="12">
        <v>50.27</v>
      </c>
      <c r="Y53" s="12">
        <v>51.82</v>
      </c>
      <c r="Z53" s="12">
        <v>50.19</v>
      </c>
      <c r="AA53" s="12">
        <v>51.78</v>
      </c>
      <c r="AB53" s="115">
        <v>13829500</v>
      </c>
      <c r="AC53" s="12">
        <v>51.62</v>
      </c>
      <c r="AD53" s="2">
        <f t="shared" si="0"/>
        <v>1.6300000000000026</v>
      </c>
      <c r="AE53" s="165">
        <f t="shared" si="1"/>
        <v>4.0306328093510757E-2</v>
      </c>
    </row>
    <row r="54" spans="15:31" x14ac:dyDescent="0.25">
      <c r="O54" s="103">
        <v>0.97</v>
      </c>
      <c r="P54" s="103">
        <f t="shared" si="2"/>
        <v>45.318399999999997</v>
      </c>
      <c r="T54" s="113"/>
      <c r="U54" s="108"/>
      <c r="W54" s="160">
        <v>42342</v>
      </c>
      <c r="X54" s="12">
        <v>49</v>
      </c>
      <c r="Y54" s="12">
        <v>49.8</v>
      </c>
      <c r="Z54" s="12">
        <v>48.67</v>
      </c>
      <c r="AA54" s="12">
        <v>49.78</v>
      </c>
      <c r="AB54" s="115">
        <v>12775600</v>
      </c>
      <c r="AC54" s="12">
        <v>49.62</v>
      </c>
      <c r="AD54" s="2">
        <f t="shared" si="0"/>
        <v>1.1299999999999955</v>
      </c>
      <c r="AE54" s="165">
        <f t="shared" si="1"/>
        <v>3.224464322862497E-2</v>
      </c>
    </row>
    <row r="55" spans="15:31" x14ac:dyDescent="0.25">
      <c r="O55" s="103">
        <v>0.96</v>
      </c>
      <c r="P55" s="103">
        <f t="shared" si="2"/>
        <v>44.851199999999999</v>
      </c>
      <c r="T55" s="113"/>
      <c r="U55" s="108"/>
      <c r="W55" s="160">
        <v>42341</v>
      </c>
      <c r="X55" s="12">
        <v>48.42</v>
      </c>
      <c r="Y55" s="12">
        <v>48.99</v>
      </c>
      <c r="Z55" s="12">
        <v>47.85</v>
      </c>
      <c r="AA55" s="12">
        <v>48.22</v>
      </c>
      <c r="AB55" s="115">
        <v>11634400</v>
      </c>
      <c r="AC55" s="12">
        <v>48.07</v>
      </c>
      <c r="AD55" s="2">
        <f t="shared" si="0"/>
        <v>1.1400000000000006</v>
      </c>
      <c r="AE55" s="165">
        <f t="shared" si="1"/>
        <v>-2.2831050228310223E-3</v>
      </c>
    </row>
    <row r="56" spans="15:31" x14ac:dyDescent="0.25">
      <c r="O56" s="103">
        <v>0.95</v>
      </c>
      <c r="P56" s="103">
        <f t="shared" si="2"/>
        <v>44.384</v>
      </c>
      <c r="T56" s="113"/>
      <c r="U56" s="108"/>
      <c r="W56" s="160">
        <v>42340</v>
      </c>
      <c r="X56" s="12">
        <v>49.17</v>
      </c>
      <c r="Y56" s="12">
        <v>49.33</v>
      </c>
      <c r="Z56" s="12">
        <v>48.18</v>
      </c>
      <c r="AA56" s="12">
        <v>48.33</v>
      </c>
      <c r="AB56" s="115">
        <v>12810600</v>
      </c>
      <c r="AC56" s="12">
        <v>48.18</v>
      </c>
      <c r="AD56" s="2">
        <f t="shared" si="0"/>
        <v>1.1499999999999986</v>
      </c>
      <c r="AE56" s="165">
        <f t="shared" si="1"/>
        <v>1.388888888888884E-2</v>
      </c>
    </row>
    <row r="57" spans="15:31" x14ac:dyDescent="0.25">
      <c r="O57" s="103">
        <v>0.94</v>
      </c>
      <c r="P57" s="103">
        <f t="shared" si="2"/>
        <v>43.916799999999995</v>
      </c>
      <c r="W57" s="160">
        <v>42339</v>
      </c>
      <c r="X57" s="12">
        <v>46.81</v>
      </c>
      <c r="Y57" s="12">
        <v>47.7</v>
      </c>
      <c r="Z57" s="12">
        <v>46.58</v>
      </c>
      <c r="AA57" s="12">
        <v>47.67</v>
      </c>
      <c r="AB57" s="115">
        <v>6335800</v>
      </c>
      <c r="AC57" s="12">
        <v>47.52</v>
      </c>
      <c r="AD57" s="2">
        <f t="shared" si="0"/>
        <v>1.1200000000000045</v>
      </c>
      <c r="AE57" s="165">
        <f t="shared" si="1"/>
        <v>2.6128266033254244E-2</v>
      </c>
    </row>
    <row r="58" spans="15:31" x14ac:dyDescent="0.25">
      <c r="O58" s="103">
        <v>0.93</v>
      </c>
      <c r="P58" s="103">
        <f t="shared" si="2"/>
        <v>43.449600000000004</v>
      </c>
      <c r="W58" s="160">
        <v>42338</v>
      </c>
      <c r="X58" s="12">
        <v>47.21</v>
      </c>
      <c r="Y58" s="12">
        <v>47.44</v>
      </c>
      <c r="Z58" s="12">
        <v>46.44</v>
      </c>
      <c r="AA58" s="12">
        <v>46.46</v>
      </c>
      <c r="AB58" s="115">
        <v>8731300</v>
      </c>
      <c r="AC58" s="12">
        <v>46.31</v>
      </c>
      <c r="AD58" s="2">
        <f t="shared" si="0"/>
        <v>1</v>
      </c>
      <c r="AE58" s="165">
        <f t="shared" si="1"/>
        <v>-1.4471164077463294E-2</v>
      </c>
    </row>
    <row r="59" spans="15:31" x14ac:dyDescent="0.25">
      <c r="O59" s="103">
        <v>0.92</v>
      </c>
      <c r="P59" s="103">
        <f t="shared" si="2"/>
        <v>42.982399999999998</v>
      </c>
      <c r="W59" s="160">
        <v>42335</v>
      </c>
      <c r="X59" s="12">
        <v>46.99</v>
      </c>
      <c r="Y59" s="12">
        <v>47.5</v>
      </c>
      <c r="Z59" s="12">
        <v>46.78</v>
      </c>
      <c r="AA59" s="12">
        <v>47.14</v>
      </c>
      <c r="AB59" s="115">
        <v>2597700</v>
      </c>
      <c r="AC59" s="12">
        <v>46.99</v>
      </c>
      <c r="AD59" s="2">
        <f t="shared" si="0"/>
        <v>0.71999999999999886</v>
      </c>
      <c r="AE59" s="165">
        <f t="shared" si="1"/>
        <v>5.7791095890411537E-3</v>
      </c>
    </row>
    <row r="60" spans="15:31" x14ac:dyDescent="0.25">
      <c r="O60" s="103">
        <v>0.91</v>
      </c>
      <c r="P60" s="103">
        <f t="shared" si="2"/>
        <v>42.5152</v>
      </c>
      <c r="W60" s="160">
        <v>42333</v>
      </c>
      <c r="X60" s="12">
        <v>47.45</v>
      </c>
      <c r="Y60" s="12">
        <v>47.62</v>
      </c>
      <c r="Z60" s="12">
        <v>46.37</v>
      </c>
      <c r="AA60" s="12">
        <v>46.87</v>
      </c>
      <c r="AB60" s="115">
        <v>7731700</v>
      </c>
      <c r="AC60" s="12">
        <v>46.72</v>
      </c>
      <c r="AD60" s="2">
        <f t="shared" si="0"/>
        <v>1.25</v>
      </c>
      <c r="AE60" s="165">
        <f t="shared" si="1"/>
        <v>-7.8572945423658336E-3</v>
      </c>
    </row>
    <row r="61" spans="15:31" x14ac:dyDescent="0.25">
      <c r="O61" s="103">
        <v>0.9</v>
      </c>
      <c r="P61" s="103">
        <f t="shared" si="2"/>
        <v>42.048000000000002</v>
      </c>
      <c r="W61" s="160">
        <v>42332</v>
      </c>
      <c r="X61" s="12">
        <v>47.36</v>
      </c>
      <c r="Y61" s="12">
        <v>48</v>
      </c>
      <c r="Z61" s="12">
        <v>46.67</v>
      </c>
      <c r="AA61" s="12">
        <v>47.24</v>
      </c>
      <c r="AB61" s="115">
        <v>11111000</v>
      </c>
      <c r="AC61" s="12">
        <v>47.09</v>
      </c>
      <c r="AD61" s="2">
        <f t="shared" si="0"/>
        <v>1.3299999999999983</v>
      </c>
      <c r="AE61" s="165">
        <f t="shared" si="1"/>
        <v>-3.0870549495781052E-2</v>
      </c>
    </row>
    <row r="62" spans="15:31" x14ac:dyDescent="0.25">
      <c r="W62" s="160">
        <v>42331</v>
      </c>
      <c r="X62" s="12">
        <v>49</v>
      </c>
      <c r="Y62" s="12">
        <v>49.19</v>
      </c>
      <c r="Z62" s="12">
        <v>48.4</v>
      </c>
      <c r="AA62" s="12">
        <v>48.74</v>
      </c>
      <c r="AB62" s="115">
        <v>6261100</v>
      </c>
      <c r="AC62" s="12">
        <v>48.59</v>
      </c>
      <c r="AD62" s="2">
        <f t="shared" si="0"/>
        <v>0.78999999999999915</v>
      </c>
      <c r="AE62" s="165">
        <f t="shared" si="1"/>
        <v>-4.1143797572507079E-4</v>
      </c>
    </row>
    <row r="63" spans="15:31" x14ac:dyDescent="0.25">
      <c r="W63" s="160">
        <v>42328</v>
      </c>
      <c r="X63" s="12">
        <v>48.47</v>
      </c>
      <c r="Y63" s="12">
        <v>48.87</v>
      </c>
      <c r="Z63" s="12">
        <v>48.43</v>
      </c>
      <c r="AA63" s="12">
        <v>48.76</v>
      </c>
      <c r="AB63" s="115">
        <v>6878200</v>
      </c>
      <c r="AC63" s="12">
        <v>48.61</v>
      </c>
      <c r="AD63" s="2">
        <f t="shared" si="0"/>
        <v>0.43999999999999773</v>
      </c>
      <c r="AE63" s="165">
        <f t="shared" si="1"/>
        <v>5.1695616211744344E-3</v>
      </c>
    </row>
    <row r="64" spans="15:31" x14ac:dyDescent="0.25">
      <c r="W64" s="160">
        <v>42327</v>
      </c>
      <c r="X64" s="12">
        <v>48.2</v>
      </c>
      <c r="Y64" s="12">
        <v>48.76</v>
      </c>
      <c r="Z64" s="12">
        <v>48.02</v>
      </c>
      <c r="AA64" s="12">
        <v>48.51</v>
      </c>
      <c r="AB64" s="115">
        <v>7857100</v>
      </c>
      <c r="AC64" s="12">
        <v>48.36</v>
      </c>
      <c r="AD64" s="2">
        <f t="shared" si="0"/>
        <v>0.73999999999999488</v>
      </c>
      <c r="AE64" s="165">
        <f t="shared" si="1"/>
        <v>1.5966386554621792E-2</v>
      </c>
    </row>
    <row r="65" spans="23:31" x14ac:dyDescent="0.25">
      <c r="W65" s="160">
        <v>42326</v>
      </c>
      <c r="X65" s="12">
        <v>47.83</v>
      </c>
      <c r="Y65" s="12">
        <v>47.99</v>
      </c>
      <c r="Z65" s="12">
        <v>46.65</v>
      </c>
      <c r="AA65" s="12">
        <v>47.75</v>
      </c>
      <c r="AB65" s="115">
        <v>10952800</v>
      </c>
      <c r="AC65" s="12">
        <v>47.6</v>
      </c>
      <c r="AD65" s="2">
        <f t="shared" si="0"/>
        <v>1.3400000000000034</v>
      </c>
      <c r="AE65" s="165">
        <f t="shared" si="1"/>
        <v>-4.1999160016792381E-4</v>
      </c>
    </row>
    <row r="66" spans="23:31" x14ac:dyDescent="0.25">
      <c r="W66" s="160">
        <v>42325</v>
      </c>
      <c r="X66" s="12">
        <v>48.06</v>
      </c>
      <c r="Y66" s="12">
        <v>49.06</v>
      </c>
      <c r="Z66" s="12">
        <v>47.72</v>
      </c>
      <c r="AA66" s="12">
        <v>47.77</v>
      </c>
      <c r="AB66" s="115">
        <v>10417300</v>
      </c>
      <c r="AC66" s="12">
        <v>47.62</v>
      </c>
      <c r="AD66" s="2">
        <f t="shared" si="0"/>
        <v>1.3400000000000034</v>
      </c>
      <c r="AE66" s="165">
        <f t="shared" si="1"/>
        <v>-3.3486814566765499E-3</v>
      </c>
    </row>
    <row r="67" spans="23:31" x14ac:dyDescent="0.25">
      <c r="W67" s="160">
        <v>42324</v>
      </c>
      <c r="X67" s="12">
        <v>47.86</v>
      </c>
      <c r="Y67" s="12">
        <v>48.15</v>
      </c>
      <c r="Z67" s="12">
        <v>47.01</v>
      </c>
      <c r="AA67" s="12">
        <v>47.93</v>
      </c>
      <c r="AB67" s="115">
        <v>12339200</v>
      </c>
      <c r="AC67" s="12">
        <v>47.78</v>
      </c>
      <c r="AD67" s="2">
        <f t="shared" ref="AD67" si="3">Y67-Z67</f>
        <v>1.1400000000000006</v>
      </c>
      <c r="AE67" s="165" t="e">
        <f>AC67/#REF!-1</f>
        <v>#REF!</v>
      </c>
    </row>
    <row r="68" spans="23:31" x14ac:dyDescent="0.25">
      <c r="W68" s="160">
        <v>42321</v>
      </c>
      <c r="X68" s="12">
        <v>49.82</v>
      </c>
      <c r="Y68" s="12">
        <v>50.08</v>
      </c>
      <c r="Z68" s="12">
        <v>48.75</v>
      </c>
      <c r="AA68" s="12">
        <v>48.99</v>
      </c>
      <c r="AB68" s="115">
        <v>9207300</v>
      </c>
      <c r="AC68" s="12">
        <v>48.84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47" priority="17">
      <formula>Q7&gt;0</formula>
    </cfRule>
    <cfRule type="expression" dxfId="14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24">
    <cfRule type="expression" dxfId="145" priority="11">
      <formula>F21&gt;0</formula>
    </cfRule>
    <cfRule type="expression" dxfId="144" priority="12">
      <formula>F21&lt;0</formula>
    </cfRule>
  </conditionalFormatting>
  <conditionalFormatting sqref="F25:F27">
    <cfRule type="expression" dxfId="143" priority="7">
      <formula>F25&gt;0</formula>
    </cfRule>
    <cfRule type="expression" dxfId="142" priority="8">
      <formula>F25&lt;0</formula>
    </cfRule>
  </conditionalFormatting>
  <conditionalFormatting sqref="F25:F27">
    <cfRule type="expression" dxfId="141" priority="9">
      <formula>F25&gt;0</formula>
    </cfRule>
    <cfRule type="expression" dxfId="140" priority="10">
      <formula>F25&lt;0</formula>
    </cfRule>
  </conditionalFormatting>
  <conditionalFormatting sqref="H21:H27">
    <cfRule type="expression" dxfId="139" priority="5">
      <formula>H21&gt;0</formula>
    </cfRule>
    <cfRule type="expression" dxfId="138" priority="6">
      <formula>H21&lt;0</formula>
    </cfRule>
  </conditionalFormatting>
  <conditionalFormatting sqref="F18:F20">
    <cfRule type="expression" dxfId="137" priority="3">
      <formula>F18&gt;0</formula>
    </cfRule>
    <cfRule type="expression" dxfId="136" priority="4">
      <formula>F18&lt;0</formula>
    </cfRule>
  </conditionalFormatting>
  <conditionalFormatting sqref="H18:H20">
    <cfRule type="expression" dxfId="135" priority="1">
      <formula>H18&gt;0</formula>
    </cfRule>
    <cfRule type="expression" dxfId="1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0">
        <v>42419</v>
      </c>
      <c r="X2" s="12">
        <v>95.23</v>
      </c>
      <c r="Y2" s="12">
        <v>95.72</v>
      </c>
      <c r="Z2" s="12">
        <v>94.56</v>
      </c>
      <c r="AA2" s="12">
        <v>95.01</v>
      </c>
      <c r="AB2" s="115">
        <v>6664400</v>
      </c>
      <c r="AC2" s="12">
        <v>95.01</v>
      </c>
      <c r="AD2" s="2">
        <f>Y2-Z2</f>
        <v>1.1599999999999966</v>
      </c>
      <c r="AE2" s="165">
        <f>AC2/AC3-1</f>
        <v>-1.6812020594725308E-3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G3" s="1">
        <v>42416</v>
      </c>
      <c r="H3" s="9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100">
        <f>IF(Q2=0, Q4, (F11-K11)/Q2)</f>
        <v>96.787600000000026</v>
      </c>
      <c r="T3" s="1">
        <v>42231</v>
      </c>
      <c r="U3" t="s">
        <v>166</v>
      </c>
      <c r="W3" s="160">
        <v>42418</v>
      </c>
      <c r="X3" s="12">
        <v>96.34</v>
      </c>
      <c r="Y3" s="12">
        <v>96.45</v>
      </c>
      <c r="Z3" s="12">
        <v>94.45</v>
      </c>
      <c r="AA3" s="12">
        <v>95.17</v>
      </c>
      <c r="AB3" s="115">
        <v>8727200</v>
      </c>
      <c r="AC3" s="12">
        <v>95.17</v>
      </c>
      <c r="AD3" s="2">
        <f t="shared" ref="AD3:AD66" si="1">Y3-Z3</f>
        <v>2</v>
      </c>
      <c r="AE3" s="165">
        <f t="shared" ref="AE3:AE66" si="2">AC3/AC4-1</f>
        <v>-3.4554973821989687E-3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H4" s="91"/>
      <c r="O4" s="13" t="s">
        <v>66</v>
      </c>
      <c r="Q4" s="69">
        <v>95.01</v>
      </c>
      <c r="T4" s="198">
        <v>42313</v>
      </c>
      <c r="U4" t="s">
        <v>165</v>
      </c>
      <c r="W4" s="160">
        <v>42417</v>
      </c>
      <c r="X4" s="12">
        <v>93.67</v>
      </c>
      <c r="Y4" s="12">
        <v>96.44</v>
      </c>
      <c r="Z4" s="12">
        <v>93.56</v>
      </c>
      <c r="AA4" s="12">
        <v>95.5</v>
      </c>
      <c r="AB4" s="115">
        <v>12288200</v>
      </c>
      <c r="AC4" s="12">
        <v>95.5</v>
      </c>
      <c r="AD4" s="2">
        <f t="shared" si="1"/>
        <v>2.8799999999999955</v>
      </c>
      <c r="AE4" s="165">
        <f t="shared" si="2"/>
        <v>2.7876439565170719E-2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H5" s="91"/>
      <c r="O5" s="13" t="s">
        <v>67</v>
      </c>
      <c r="Q5" s="3">
        <f>Q4*Q2</f>
        <v>2375.25</v>
      </c>
      <c r="W5" s="160">
        <v>42416</v>
      </c>
      <c r="X5" s="12">
        <v>92.47</v>
      </c>
      <c r="Y5" s="12">
        <v>93.31</v>
      </c>
      <c r="Z5" s="12">
        <v>91.79</v>
      </c>
      <c r="AA5" s="12">
        <v>92.91</v>
      </c>
      <c r="AB5" s="115">
        <v>8965800</v>
      </c>
      <c r="AC5" s="12">
        <v>92.91</v>
      </c>
      <c r="AD5" s="2">
        <f t="shared" si="1"/>
        <v>1.519999999999996</v>
      </c>
      <c r="AE5" s="165">
        <f t="shared" si="2"/>
        <v>1.9308831596269727E-2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91"/>
      <c r="O6" s="13" t="s">
        <v>64</v>
      </c>
      <c r="Q6" s="2">
        <f>Q3*Q2</f>
        <v>2419.6900000000005</v>
      </c>
      <c r="W6" s="160">
        <v>42412</v>
      </c>
      <c r="X6" s="12">
        <v>91.52</v>
      </c>
      <c r="Y6" s="12">
        <v>91.59</v>
      </c>
      <c r="Z6" s="12">
        <v>89.61</v>
      </c>
      <c r="AA6" s="12">
        <v>91.15</v>
      </c>
      <c r="AB6" s="115">
        <v>10754700</v>
      </c>
      <c r="AC6" s="12">
        <v>91.15</v>
      </c>
      <c r="AD6" s="2">
        <f t="shared" si="1"/>
        <v>1.980000000000004</v>
      </c>
      <c r="AE6" s="165">
        <f t="shared" si="2"/>
        <v>9.3012955375928463E-3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91"/>
      <c r="O7" s="13" t="s">
        <v>65</v>
      </c>
      <c r="Q7" s="2">
        <f>IF(Q2=0, K11+M11-F11,Q5-Q6)</f>
        <v>-44.440000000000509</v>
      </c>
      <c r="R7" s="243"/>
      <c r="W7" s="160">
        <v>42411</v>
      </c>
      <c r="X7" s="12">
        <v>87</v>
      </c>
      <c r="Y7" s="12">
        <v>91.06</v>
      </c>
      <c r="Z7" s="12">
        <v>86.96</v>
      </c>
      <c r="AA7" s="12">
        <v>90.31</v>
      </c>
      <c r="AB7" s="115">
        <v>17332300</v>
      </c>
      <c r="AC7" s="12">
        <v>90.31</v>
      </c>
      <c r="AD7" s="2">
        <f t="shared" si="1"/>
        <v>4.1000000000000085</v>
      </c>
      <c r="AE7" s="165">
        <f t="shared" si="2"/>
        <v>1.6432189082723703E-2</v>
      </c>
    </row>
    <row r="8" spans="1:31" x14ac:dyDescent="0.25">
      <c r="H8" s="91"/>
      <c r="O8" s="13" t="s">
        <v>92</v>
      </c>
      <c r="Q8" s="165">
        <f>(Q4-Q3)/Q3</f>
        <v>-1.8365989031653027E-2</v>
      </c>
      <c r="W8" s="160">
        <v>42410</v>
      </c>
      <c r="X8" s="12">
        <v>88</v>
      </c>
      <c r="Y8" s="12">
        <v>90.03</v>
      </c>
      <c r="Z8" s="12">
        <v>86.25</v>
      </c>
      <c r="AA8" s="12">
        <v>88.85</v>
      </c>
      <c r="AB8" s="115">
        <v>32573500</v>
      </c>
      <c r="AC8" s="12">
        <v>88.85</v>
      </c>
      <c r="AD8" s="2">
        <f t="shared" si="1"/>
        <v>3.7800000000000011</v>
      </c>
      <c r="AE8" s="165">
        <f t="shared" si="2"/>
        <v>-3.758665511265169E-2</v>
      </c>
    </row>
    <row r="9" spans="1:31" x14ac:dyDescent="0.25">
      <c r="H9" s="91"/>
      <c r="W9" s="160">
        <v>42409</v>
      </c>
      <c r="X9" s="12">
        <v>90.15</v>
      </c>
      <c r="Y9" s="12">
        <v>93.2</v>
      </c>
      <c r="Z9" s="12">
        <v>89.04</v>
      </c>
      <c r="AA9" s="12">
        <v>92.32</v>
      </c>
      <c r="AB9" s="115">
        <v>15166900</v>
      </c>
      <c r="AC9" s="12">
        <v>92.32</v>
      </c>
      <c r="AD9" s="2">
        <f t="shared" si="1"/>
        <v>4.1599999999999966</v>
      </c>
      <c r="AE9" s="165">
        <f t="shared" si="2"/>
        <v>2.1710811984367862E-3</v>
      </c>
    </row>
    <row r="10" spans="1:31" x14ac:dyDescent="0.25">
      <c r="W10" s="160">
        <v>42408</v>
      </c>
      <c r="X10" s="12">
        <v>92.56</v>
      </c>
      <c r="Y10" s="12">
        <v>92.96</v>
      </c>
      <c r="Z10" s="12">
        <v>89.51</v>
      </c>
      <c r="AA10" s="12">
        <v>92.12</v>
      </c>
      <c r="AB10" s="115">
        <v>13658400</v>
      </c>
      <c r="AC10" s="12">
        <v>92.12</v>
      </c>
      <c r="AD10" s="2">
        <f t="shared" si="1"/>
        <v>3.4499999999999886</v>
      </c>
      <c r="AE10" s="165">
        <f t="shared" si="2"/>
        <v>-1.8956336528221485E-2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60">
        <v>42405</v>
      </c>
      <c r="X11" s="12">
        <v>95.32</v>
      </c>
      <c r="Y11" s="12">
        <v>95.39</v>
      </c>
      <c r="Z11" s="12">
        <v>93.47</v>
      </c>
      <c r="AA11" s="12">
        <v>93.9</v>
      </c>
      <c r="AB11" s="115">
        <v>8823000</v>
      </c>
      <c r="AC11" s="12">
        <v>93.9</v>
      </c>
      <c r="AD11" s="2">
        <f t="shared" si="1"/>
        <v>1.9200000000000017</v>
      </c>
      <c r="AE11" s="165">
        <f t="shared" si="2"/>
        <v>-1.6032694121345448E-2</v>
      </c>
    </row>
    <row r="12" spans="1:31" x14ac:dyDescent="0.25">
      <c r="W12" s="160">
        <v>42404</v>
      </c>
      <c r="X12" s="12">
        <v>94.87</v>
      </c>
      <c r="Y12" s="12">
        <v>96.73</v>
      </c>
      <c r="Z12" s="12">
        <v>94.6</v>
      </c>
      <c r="AA12" s="12">
        <v>95.43</v>
      </c>
      <c r="AB12" s="115">
        <v>8207900</v>
      </c>
      <c r="AC12" s="12">
        <v>95.43</v>
      </c>
      <c r="AD12" s="2">
        <f t="shared" si="1"/>
        <v>2.1300000000000097</v>
      </c>
      <c r="AE12" s="165">
        <f t="shared" si="2"/>
        <v>3.0481395837713698E-3</v>
      </c>
    </row>
    <row r="13" spans="1:31" x14ac:dyDescent="0.25">
      <c r="W13" s="160">
        <v>42403</v>
      </c>
      <c r="X13" s="12">
        <v>94.1</v>
      </c>
      <c r="Y13" s="12">
        <v>95.41</v>
      </c>
      <c r="Z13" s="12">
        <v>92.42</v>
      </c>
      <c r="AA13" s="12">
        <v>95.14</v>
      </c>
      <c r="AB13" s="115">
        <v>10860700</v>
      </c>
      <c r="AC13" s="12">
        <v>95.14</v>
      </c>
      <c r="AD13" s="2">
        <f t="shared" si="1"/>
        <v>2.9899999999999949</v>
      </c>
      <c r="AE13" s="165">
        <f t="shared" si="2"/>
        <v>2.1692439862542878E-2</v>
      </c>
    </row>
    <row r="14" spans="1:31" x14ac:dyDescent="0.25">
      <c r="W14" s="160">
        <v>42402</v>
      </c>
      <c r="X14" s="12">
        <v>94</v>
      </c>
      <c r="Y14" s="12">
        <v>94.17</v>
      </c>
      <c r="Z14" s="12">
        <v>92.87</v>
      </c>
      <c r="AA14" s="12">
        <v>93.12</v>
      </c>
      <c r="AB14" s="115">
        <v>7101400</v>
      </c>
      <c r="AC14" s="12">
        <v>93.12</v>
      </c>
      <c r="AD14" s="2">
        <f t="shared" si="1"/>
        <v>1.2999999999999972</v>
      </c>
      <c r="AE14" s="165">
        <f t="shared" si="2"/>
        <v>-2.1334734629532282E-2</v>
      </c>
    </row>
    <row r="15" spans="1:31" x14ac:dyDescent="0.25">
      <c r="W15" s="160">
        <v>42401</v>
      </c>
      <c r="X15" s="12">
        <v>95.08</v>
      </c>
      <c r="Y15" s="12">
        <v>95.71</v>
      </c>
      <c r="Z15" s="12">
        <v>94.7</v>
      </c>
      <c r="AA15" s="12">
        <v>95.15</v>
      </c>
      <c r="AB15" s="115">
        <v>6994200</v>
      </c>
      <c r="AC15" s="12">
        <v>95.15</v>
      </c>
      <c r="AD15" s="2">
        <f t="shared" si="1"/>
        <v>1.0099999999999909</v>
      </c>
      <c r="AE15" s="165">
        <f t="shared" si="2"/>
        <v>-6.9922771863910604E-3</v>
      </c>
    </row>
    <row r="16" spans="1:31" x14ac:dyDescent="0.25">
      <c r="W16" s="160">
        <v>42398</v>
      </c>
      <c r="X16" s="12">
        <v>94.21</v>
      </c>
      <c r="Y16" s="12">
        <v>95.82</v>
      </c>
      <c r="Z16" s="12">
        <v>93.63</v>
      </c>
      <c r="AA16" s="12">
        <v>95.82</v>
      </c>
      <c r="AB16" s="115">
        <v>8071700</v>
      </c>
      <c r="AC16" s="12">
        <v>95.82</v>
      </c>
      <c r="AD16" s="2">
        <f t="shared" si="1"/>
        <v>2.1899999999999977</v>
      </c>
      <c r="AE16" s="165">
        <f t="shared" si="2"/>
        <v>2.4484122741366354E-2</v>
      </c>
    </row>
    <row r="17" spans="2:31" x14ac:dyDescent="0.25">
      <c r="B17" s="246" t="s">
        <v>122</v>
      </c>
      <c r="C17" s="246" t="s">
        <v>189</v>
      </c>
      <c r="D17" s="247" t="s">
        <v>188</v>
      </c>
      <c r="E17" s="249" t="s">
        <v>190</v>
      </c>
      <c r="F17" s="249" t="s">
        <v>65</v>
      </c>
      <c r="G17" s="294" t="s">
        <v>195</v>
      </c>
      <c r="H17" s="294" t="s">
        <v>92</v>
      </c>
      <c r="I17" s="294" t="s">
        <v>203</v>
      </c>
      <c r="W17" s="160">
        <v>42397</v>
      </c>
      <c r="X17" s="12">
        <v>95.2</v>
      </c>
      <c r="Y17" s="12">
        <v>95.2</v>
      </c>
      <c r="Z17" s="12">
        <v>92.37</v>
      </c>
      <c r="AA17" s="12">
        <v>93.53</v>
      </c>
      <c r="AB17" s="115">
        <v>7275600</v>
      </c>
      <c r="AC17" s="12">
        <v>93.53</v>
      </c>
      <c r="AD17" s="2">
        <f t="shared" si="1"/>
        <v>2.8299999999999983</v>
      </c>
      <c r="AE17" s="165">
        <f t="shared" si="2"/>
        <v>-8.3757421543679822E-3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42396</v>
      </c>
      <c r="X18" s="12">
        <v>96.31</v>
      </c>
      <c r="Y18" s="12">
        <v>96.63</v>
      </c>
      <c r="Z18" s="12">
        <v>93.87</v>
      </c>
      <c r="AA18" s="12">
        <v>94.32</v>
      </c>
      <c r="AB18" s="115">
        <v>6292100</v>
      </c>
      <c r="AC18" s="12">
        <v>94.32</v>
      </c>
      <c r="AD18" s="2">
        <f t="shared" si="1"/>
        <v>2.7599999999999909</v>
      </c>
      <c r="AE18" s="165">
        <f t="shared" si="2"/>
        <v>-2.0255531318167708E-2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f>C19*(E19-D19)</f>
        <v>37.600000000000122</v>
      </c>
      <c r="G19" s="53">
        <f>D19*C19</f>
        <v>2484.9</v>
      </c>
      <c r="H19" s="304">
        <f>(E19-D19)/D19</f>
        <v>1.5131393617449444E-2</v>
      </c>
      <c r="I19" s="53"/>
      <c r="W19" s="160">
        <v>42395</v>
      </c>
      <c r="X19" s="12">
        <v>95.49</v>
      </c>
      <c r="Y19" s="12">
        <v>96.43</v>
      </c>
      <c r="Z19" s="12">
        <v>95.09</v>
      </c>
      <c r="AA19" s="12">
        <v>96.27</v>
      </c>
      <c r="AB19" s="115">
        <v>6895000</v>
      </c>
      <c r="AC19" s="12">
        <v>96.27</v>
      </c>
      <c r="AD19" s="2">
        <f t="shared" si="1"/>
        <v>1.3400000000000034</v>
      </c>
      <c r="AE19" s="165">
        <f t="shared" si="2"/>
        <v>1.0284395004722224E-2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f t="shared" ref="F20:F23" si="3">C20*(E20-D20)</f>
        <v>-106.4</v>
      </c>
      <c r="G20" s="53">
        <f t="shared" ref="G20:G21" si="4">D20*C20</f>
        <v>2484.9</v>
      </c>
      <c r="H20" s="304">
        <f t="shared" ref="H20" si="5">(E20-D20)/D20</f>
        <v>-4.2818624491931266E-2</v>
      </c>
      <c r="I20" s="53"/>
      <c r="W20" s="160">
        <v>42394</v>
      </c>
      <c r="X20" s="12">
        <v>96.42</v>
      </c>
      <c r="Y20" s="12">
        <v>96.68</v>
      </c>
      <c r="Z20" s="12">
        <v>95.12</v>
      </c>
      <c r="AA20" s="12">
        <v>95.29</v>
      </c>
      <c r="AB20" s="115">
        <v>7768800</v>
      </c>
      <c r="AC20" s="12">
        <v>95.29</v>
      </c>
      <c r="AD20" s="2">
        <f t="shared" si="1"/>
        <v>1.5600000000000023</v>
      </c>
      <c r="AE20" s="165">
        <f t="shared" si="2"/>
        <v>-1.6615067079463364E-2</v>
      </c>
    </row>
    <row r="21" spans="2:31" x14ac:dyDescent="0.25">
      <c r="B21" s="248">
        <v>42409</v>
      </c>
      <c r="C21" s="12">
        <v>40</v>
      </c>
      <c r="D21" s="53">
        <v>95.31</v>
      </c>
      <c r="E21" s="53">
        <v>92.12</v>
      </c>
      <c r="F21" s="53">
        <f t="shared" si="3"/>
        <v>-127.59999999999991</v>
      </c>
      <c r="G21" s="53">
        <f t="shared" si="4"/>
        <v>3812.4</v>
      </c>
      <c r="H21" s="304">
        <f>(E21-D21)/D21</f>
        <v>-3.346973035358302E-2</v>
      </c>
      <c r="I21" s="53"/>
      <c r="W21" s="160">
        <v>42391</v>
      </c>
      <c r="X21" s="12">
        <v>95.95</v>
      </c>
      <c r="Y21" s="12">
        <v>97.42</v>
      </c>
      <c r="Z21" s="12">
        <v>95.55</v>
      </c>
      <c r="AA21" s="12">
        <v>96.9</v>
      </c>
      <c r="AB21" s="115">
        <v>12250700</v>
      </c>
      <c r="AC21" s="12">
        <v>96.9</v>
      </c>
      <c r="AD21" s="2">
        <f t="shared" si="1"/>
        <v>1.8700000000000045</v>
      </c>
      <c r="AE21" s="165">
        <f t="shared" si="2"/>
        <v>3.0631780472240022E-2</v>
      </c>
    </row>
    <row r="22" spans="2:31" x14ac:dyDescent="0.25">
      <c r="B22" s="248">
        <v>42416</v>
      </c>
      <c r="C22" s="12">
        <v>25</v>
      </c>
      <c r="D22" s="53">
        <v>96.787999999999997</v>
      </c>
      <c r="E22" s="53">
        <v>92.34</v>
      </c>
      <c r="F22" s="53">
        <f t="shared" si="3"/>
        <v>-111.19999999999983</v>
      </c>
      <c r="G22" s="53">
        <f t="shared" ref="G22:G23" si="6">D22*C22</f>
        <v>2419.6999999999998</v>
      </c>
      <c r="H22" s="304">
        <f>(E22-D22)/D22</f>
        <v>-4.5956110261602609E-2</v>
      </c>
      <c r="I22" s="53"/>
      <c r="W22" s="160">
        <v>42390</v>
      </c>
      <c r="X22" s="12">
        <v>92.87</v>
      </c>
      <c r="Y22" s="12">
        <v>94.86</v>
      </c>
      <c r="Z22" s="12">
        <v>92.3</v>
      </c>
      <c r="AA22" s="12">
        <v>94.02</v>
      </c>
      <c r="AB22" s="115">
        <v>12047900</v>
      </c>
      <c r="AC22" s="12">
        <v>94.02</v>
      </c>
      <c r="AD22" s="2">
        <f t="shared" si="1"/>
        <v>2.5600000000000023</v>
      </c>
      <c r="AE22" s="165">
        <f t="shared" si="2"/>
        <v>1.5993084071752595E-2</v>
      </c>
    </row>
    <row r="23" spans="2:31" x14ac:dyDescent="0.25">
      <c r="B23" s="248">
        <v>42421</v>
      </c>
      <c r="C23" s="12">
        <v>25</v>
      </c>
      <c r="D23" s="53">
        <v>96.787999999999997</v>
      </c>
      <c r="E23" s="53">
        <v>95.01</v>
      </c>
      <c r="F23" s="53">
        <f t="shared" si="3"/>
        <v>-44.44999999999979</v>
      </c>
      <c r="G23" s="53">
        <f t="shared" si="6"/>
        <v>2419.6999999999998</v>
      </c>
      <c r="H23" s="304">
        <f>(E23-D23)/D23</f>
        <v>-1.8370045873455299E-2</v>
      </c>
      <c r="I23" s="53"/>
      <c r="W23" s="160">
        <v>42389</v>
      </c>
      <c r="X23" s="12">
        <v>92.18</v>
      </c>
      <c r="Y23" s="12">
        <v>93.64</v>
      </c>
      <c r="Z23" s="12">
        <v>90.42</v>
      </c>
      <c r="AA23" s="12">
        <v>92.54</v>
      </c>
      <c r="AB23" s="115">
        <v>16865900</v>
      </c>
      <c r="AC23" s="12">
        <v>92.54</v>
      </c>
      <c r="AD23" s="2">
        <f t="shared" si="1"/>
        <v>3.2199999999999989</v>
      </c>
      <c r="AE23" s="165">
        <f t="shared" si="2"/>
        <v>-1.5217622645525064E-2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42388</v>
      </c>
      <c r="X24" s="12">
        <v>95</v>
      </c>
      <c r="Y24" s="12">
        <v>95.07</v>
      </c>
      <c r="Z24" s="12">
        <v>93.03</v>
      </c>
      <c r="AA24" s="12">
        <v>93.97</v>
      </c>
      <c r="AB24" s="115">
        <v>13210500</v>
      </c>
      <c r="AC24" s="12">
        <v>93.97</v>
      </c>
      <c r="AD24" s="2">
        <f t="shared" si="1"/>
        <v>2.039999999999992</v>
      </c>
      <c r="AE24" s="165">
        <f t="shared" si="2"/>
        <v>7.4547390841317451E-4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42384</v>
      </c>
      <c r="X25" s="12">
        <v>95.62</v>
      </c>
      <c r="Y25" s="12">
        <v>96.88</v>
      </c>
      <c r="Z25" s="12">
        <v>93.46</v>
      </c>
      <c r="AA25" s="12">
        <v>93.9</v>
      </c>
      <c r="AB25" s="115">
        <v>22135500</v>
      </c>
      <c r="AC25" s="12">
        <v>93.9</v>
      </c>
      <c r="AD25" s="2">
        <f t="shared" si="1"/>
        <v>3.4200000000000017</v>
      </c>
      <c r="AE25" s="165">
        <f t="shared" si="2"/>
        <v>-5.2567853899707306E-2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42383</v>
      </c>
      <c r="X26" s="12">
        <v>98.65</v>
      </c>
      <c r="Y26" s="12">
        <v>99.91</v>
      </c>
      <c r="Z26" s="12">
        <v>97.19</v>
      </c>
      <c r="AA26" s="12">
        <v>99.11</v>
      </c>
      <c r="AB26" s="115">
        <v>11076500</v>
      </c>
      <c r="AC26" s="12">
        <v>99.11</v>
      </c>
      <c r="AD26" s="2">
        <f t="shared" si="1"/>
        <v>2.7199999999999989</v>
      </c>
      <c r="AE26" s="165">
        <f t="shared" si="2"/>
        <v>6.3972380178716204E-3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42382</v>
      </c>
      <c r="X27" s="12">
        <v>101.88</v>
      </c>
      <c r="Y27" s="12">
        <v>101.88</v>
      </c>
      <c r="Z27" s="12">
        <v>98.12</v>
      </c>
      <c r="AA27" s="12">
        <v>98.48</v>
      </c>
      <c r="AB27" s="115">
        <v>11472000</v>
      </c>
      <c r="AC27" s="12">
        <v>98.48</v>
      </c>
      <c r="AD27" s="2">
        <f t="shared" si="1"/>
        <v>3.7599999999999909</v>
      </c>
      <c r="AE27" s="165">
        <f t="shared" si="2"/>
        <v>-2.9371180760890847E-2</v>
      </c>
    </row>
    <row r="28" spans="2:31" x14ac:dyDescent="0.25">
      <c r="W28" s="160">
        <v>42381</v>
      </c>
      <c r="X28" s="12">
        <v>100.97</v>
      </c>
      <c r="Y28" s="12">
        <v>101.85</v>
      </c>
      <c r="Z28" s="12">
        <v>100.34</v>
      </c>
      <c r="AA28" s="12">
        <v>101.46</v>
      </c>
      <c r="AB28" s="115">
        <v>8728500</v>
      </c>
      <c r="AC28" s="12">
        <v>101.46</v>
      </c>
      <c r="AD28" s="2">
        <f t="shared" si="1"/>
        <v>1.5099999999999909</v>
      </c>
      <c r="AE28" s="165">
        <f t="shared" si="2"/>
        <v>1.5412329863891072E-2</v>
      </c>
    </row>
    <row r="29" spans="2:31" x14ac:dyDescent="0.25">
      <c r="W29" s="160">
        <v>42380</v>
      </c>
      <c r="X29" s="12">
        <v>100.21</v>
      </c>
      <c r="Y29" s="12">
        <v>100.45</v>
      </c>
      <c r="Z29" s="12">
        <v>98.55</v>
      </c>
      <c r="AA29" s="12">
        <v>99.92</v>
      </c>
      <c r="AB29" s="115">
        <v>9558600</v>
      </c>
      <c r="AC29" s="12">
        <v>99.92</v>
      </c>
      <c r="AD29" s="2">
        <f t="shared" si="1"/>
        <v>1.9000000000000057</v>
      </c>
      <c r="AE29" s="165">
        <f t="shared" si="2"/>
        <v>6.7506297229218415E-3</v>
      </c>
    </row>
    <row r="30" spans="2:31" x14ac:dyDescent="0.25">
      <c r="W30" s="160">
        <v>42377</v>
      </c>
      <c r="X30" s="12">
        <v>100.63</v>
      </c>
      <c r="Y30" s="12">
        <v>100.92</v>
      </c>
      <c r="Z30" s="12">
        <v>99</v>
      </c>
      <c r="AA30" s="12">
        <v>99.25</v>
      </c>
      <c r="AB30" s="115">
        <v>10603900</v>
      </c>
      <c r="AC30" s="12">
        <v>99.25</v>
      </c>
      <c r="AD30" s="2">
        <f t="shared" si="1"/>
        <v>1.9200000000000017</v>
      </c>
      <c r="AE30" s="165">
        <f t="shared" si="2"/>
        <v>-2.5125628140703071E-3</v>
      </c>
    </row>
    <row r="31" spans="2:31" x14ac:dyDescent="0.25">
      <c r="W31" s="160">
        <v>42376</v>
      </c>
      <c r="X31" s="12">
        <v>98.96</v>
      </c>
      <c r="Y31" s="12">
        <v>101.35</v>
      </c>
      <c r="Z31" s="12">
        <v>98.52</v>
      </c>
      <c r="AA31" s="12">
        <v>99.5</v>
      </c>
      <c r="AB31" s="115">
        <v>14474500</v>
      </c>
      <c r="AC31" s="12">
        <v>99.5</v>
      </c>
      <c r="AD31" s="2">
        <f t="shared" si="1"/>
        <v>2.8299999999999983</v>
      </c>
      <c r="AE31" s="165">
        <f t="shared" si="2"/>
        <v>-8.5691510561977102E-3</v>
      </c>
    </row>
    <row r="32" spans="2:31" x14ac:dyDescent="0.25">
      <c r="W32" s="160">
        <v>42375</v>
      </c>
      <c r="X32" s="12">
        <v>99.38</v>
      </c>
      <c r="Y32" s="12">
        <v>101.46</v>
      </c>
      <c r="Z32" s="12">
        <v>99.36</v>
      </c>
      <c r="AA32" s="12">
        <v>100.36</v>
      </c>
      <c r="AB32" s="115">
        <v>13886600</v>
      </c>
      <c r="AC32" s="12">
        <v>100.36</v>
      </c>
      <c r="AD32" s="2">
        <f t="shared" si="1"/>
        <v>2.0999999999999943</v>
      </c>
      <c r="AE32" s="165">
        <f t="shared" si="2"/>
        <v>-5.3518334985134253E-3</v>
      </c>
    </row>
    <row r="33" spans="15:31" x14ac:dyDescent="0.25">
      <c r="W33" s="160">
        <v>42374</v>
      </c>
      <c r="X33" s="12">
        <v>102.67</v>
      </c>
      <c r="Y33" s="12">
        <v>102.67</v>
      </c>
      <c r="Z33" s="12">
        <v>99.89</v>
      </c>
      <c r="AA33" s="12">
        <v>100.9</v>
      </c>
      <c r="AB33" s="115">
        <v>15828600</v>
      </c>
      <c r="AC33" s="12">
        <v>100.9</v>
      </c>
      <c r="AD33" s="2">
        <f t="shared" si="1"/>
        <v>2.7800000000000011</v>
      </c>
      <c r="AE33" s="165">
        <f t="shared" si="2"/>
        <v>-2.0198096717809255E-2</v>
      </c>
    </row>
    <row r="34" spans="15:31" x14ac:dyDescent="0.25">
      <c r="W34" s="160">
        <v>42373</v>
      </c>
      <c r="X34" s="12">
        <v>103.12</v>
      </c>
      <c r="Y34" s="12">
        <v>103.43</v>
      </c>
      <c r="Z34" s="12">
        <v>101.73</v>
      </c>
      <c r="AA34" s="12">
        <v>102.98</v>
      </c>
      <c r="AB34" s="115">
        <v>12462500</v>
      </c>
      <c r="AC34" s="12">
        <v>102.98</v>
      </c>
      <c r="AD34" s="2">
        <f t="shared" si="1"/>
        <v>1.7000000000000028</v>
      </c>
      <c r="AE34" s="165">
        <f t="shared" si="2"/>
        <v>-1.9984773505900222E-2</v>
      </c>
    </row>
    <row r="35" spans="15:31" x14ac:dyDescent="0.25">
      <c r="W35" s="160">
        <v>42369</v>
      </c>
      <c r="X35" s="12">
        <v>106.14</v>
      </c>
      <c r="Y35" s="12">
        <v>106.31</v>
      </c>
      <c r="Z35" s="12">
        <v>105.06</v>
      </c>
      <c r="AA35" s="12">
        <v>105.08</v>
      </c>
      <c r="AB35" s="115">
        <v>6609500</v>
      </c>
      <c r="AC35" s="12">
        <v>105.08</v>
      </c>
      <c r="AD35" s="2">
        <f t="shared" si="1"/>
        <v>1.25</v>
      </c>
      <c r="AE35" s="165">
        <f t="shared" si="2"/>
        <v>-1.1848786909911646E-2</v>
      </c>
    </row>
    <row r="36" spans="15:31" x14ac:dyDescent="0.25">
      <c r="W36" s="160">
        <v>42368</v>
      </c>
      <c r="X36" s="12">
        <v>106.89</v>
      </c>
      <c r="Y36" s="12">
        <v>107.21</v>
      </c>
      <c r="Z36" s="12">
        <v>106.25</v>
      </c>
      <c r="AA36" s="12">
        <v>106.34</v>
      </c>
      <c r="AB36" s="115">
        <v>4903400</v>
      </c>
      <c r="AC36" s="12">
        <v>106.34</v>
      </c>
      <c r="AD36" s="2">
        <f t="shared" si="1"/>
        <v>0.95999999999999375</v>
      </c>
      <c r="AE36" s="165">
        <f t="shared" si="2"/>
        <v>-6.9107209562943028E-3</v>
      </c>
    </row>
    <row r="37" spans="15:31" x14ac:dyDescent="0.25">
      <c r="W37" s="160">
        <v>42367</v>
      </c>
      <c r="X37" s="12">
        <v>107.88</v>
      </c>
      <c r="Y37" s="12">
        <v>108.04</v>
      </c>
      <c r="Z37" s="12">
        <v>106.45</v>
      </c>
      <c r="AA37" s="12">
        <v>107.08</v>
      </c>
      <c r="AB37" s="115">
        <v>8569800</v>
      </c>
      <c r="AC37" s="12">
        <v>107.08</v>
      </c>
      <c r="AD37" s="2">
        <f t="shared" si="1"/>
        <v>1.5900000000000034</v>
      </c>
      <c r="AE37" s="165">
        <f t="shared" si="2"/>
        <v>-1.585081585081638E-3</v>
      </c>
    </row>
    <row r="38" spans="15:31" x14ac:dyDescent="0.25">
      <c r="W38" s="160">
        <v>42366</v>
      </c>
      <c r="X38" s="12">
        <v>106.5</v>
      </c>
      <c r="Y38" s="12">
        <v>108.2</v>
      </c>
      <c r="Z38" s="12">
        <v>106.33</v>
      </c>
      <c r="AA38" s="12">
        <v>107.25</v>
      </c>
      <c r="AB38" s="115">
        <v>8787300</v>
      </c>
      <c r="AC38" s="12">
        <v>107.25</v>
      </c>
      <c r="AD38" s="2">
        <f t="shared" si="1"/>
        <v>1.8700000000000045</v>
      </c>
      <c r="AE38" s="165">
        <f t="shared" si="2"/>
        <v>1.3130549782731871E-2</v>
      </c>
    </row>
    <row r="39" spans="15:31" x14ac:dyDescent="0.25">
      <c r="W39" s="160">
        <v>42362</v>
      </c>
      <c r="X39" s="12">
        <v>105.2</v>
      </c>
      <c r="Y39" s="12">
        <v>106.64</v>
      </c>
      <c r="Z39" s="12">
        <v>105.06</v>
      </c>
      <c r="AA39" s="12">
        <v>105.86</v>
      </c>
      <c r="AB39" s="115">
        <v>4356100</v>
      </c>
      <c r="AC39" s="12">
        <v>105.86</v>
      </c>
      <c r="AD39" s="2">
        <f t="shared" si="1"/>
        <v>1.5799999999999983</v>
      </c>
      <c r="AE39" s="165">
        <f t="shared" si="2"/>
        <v>2.8419856006063338E-3</v>
      </c>
    </row>
    <row r="40" spans="15:31" ht="20.25" thickBot="1" x14ac:dyDescent="0.35">
      <c r="O40" s="389" t="s">
        <v>78</v>
      </c>
      <c r="P40" s="389"/>
      <c r="T40" s="111" t="s">
        <v>121</v>
      </c>
      <c r="W40" s="160">
        <v>42361</v>
      </c>
      <c r="X40" s="12">
        <v>107.21</v>
      </c>
      <c r="Y40" s="12">
        <v>107.24</v>
      </c>
      <c r="Z40" s="12">
        <v>104.3</v>
      </c>
      <c r="AA40" s="12">
        <v>105.56</v>
      </c>
      <c r="AB40" s="115">
        <v>12319500</v>
      </c>
      <c r="AC40" s="12">
        <v>105.56</v>
      </c>
      <c r="AD40" s="2">
        <f t="shared" si="1"/>
        <v>2.9399999999999977</v>
      </c>
      <c r="AE40" s="165">
        <f t="shared" si="2"/>
        <v>-1.105489975641738E-2</v>
      </c>
    </row>
    <row r="41" spans="15:31" ht="15.75" thickTop="1" x14ac:dyDescent="0.25">
      <c r="O41" s="103">
        <v>1.1000000000000001</v>
      </c>
      <c r="P41" s="103">
        <f>O41*$Q$4</f>
        <v>104.51100000000001</v>
      </c>
      <c r="Q41" s="2"/>
      <c r="T41" s="155" t="s">
        <v>106</v>
      </c>
      <c r="U41" s="118">
        <v>95.17</v>
      </c>
      <c r="W41" s="160">
        <v>42360</v>
      </c>
      <c r="X41" s="12">
        <v>106.99</v>
      </c>
      <c r="Y41" s="12">
        <v>107.2</v>
      </c>
      <c r="Z41" s="12">
        <v>105.83</v>
      </c>
      <c r="AA41" s="12">
        <v>106.74</v>
      </c>
      <c r="AB41" s="115">
        <v>8514200</v>
      </c>
      <c r="AC41" s="12">
        <v>106.74</v>
      </c>
      <c r="AD41" s="2">
        <f t="shared" si="1"/>
        <v>1.3700000000000045</v>
      </c>
      <c r="AE41" s="165">
        <f t="shared" si="2"/>
        <v>1.4072614691809093E-3</v>
      </c>
    </row>
    <row r="42" spans="15:31" x14ac:dyDescent="0.25">
      <c r="O42" s="103">
        <v>1.0900000000000001</v>
      </c>
      <c r="P42" s="103">
        <f t="shared" ref="P42:P61" si="7">O42*$Q$4</f>
        <v>103.56090000000002</v>
      </c>
      <c r="Q42" s="2"/>
      <c r="T42" s="113" t="s">
        <v>107</v>
      </c>
      <c r="U42" s="108">
        <v>94.93</v>
      </c>
      <c r="W42" s="160">
        <v>42359</v>
      </c>
      <c r="X42" s="12">
        <v>108.8</v>
      </c>
      <c r="Y42" s="12">
        <v>110.1</v>
      </c>
      <c r="Z42" s="12">
        <v>105.33</v>
      </c>
      <c r="AA42" s="12">
        <v>106.59</v>
      </c>
      <c r="AB42" s="115">
        <v>22727000</v>
      </c>
      <c r="AC42" s="12">
        <v>106.59</v>
      </c>
      <c r="AD42" s="2">
        <f t="shared" si="1"/>
        <v>4.769999999999996</v>
      </c>
      <c r="AE42" s="165">
        <f t="shared" si="2"/>
        <v>-1.0490159673226862E-2</v>
      </c>
    </row>
    <row r="43" spans="15:31" x14ac:dyDescent="0.25">
      <c r="O43" s="103">
        <v>1.08</v>
      </c>
      <c r="P43" s="103">
        <f t="shared" si="7"/>
        <v>102.61080000000001</v>
      </c>
      <c r="Q43" s="2"/>
      <c r="T43" s="113" t="s">
        <v>108</v>
      </c>
      <c r="U43" s="108" t="s">
        <v>401</v>
      </c>
      <c r="W43" s="160">
        <v>42356</v>
      </c>
      <c r="X43" s="12">
        <v>112.01</v>
      </c>
      <c r="Y43" s="12">
        <v>112.44</v>
      </c>
      <c r="Z43" s="12">
        <v>107.35</v>
      </c>
      <c r="AA43" s="12">
        <v>107.72</v>
      </c>
      <c r="AB43" s="115">
        <v>27617500</v>
      </c>
      <c r="AC43" s="12">
        <v>107.72</v>
      </c>
      <c r="AD43" s="2">
        <f t="shared" si="1"/>
        <v>5.0900000000000034</v>
      </c>
      <c r="AE43" s="165">
        <f t="shared" si="2"/>
        <v>-3.8300151772163282E-2</v>
      </c>
    </row>
    <row r="44" spans="15:31" x14ac:dyDescent="0.25">
      <c r="O44" s="103">
        <v>1.07</v>
      </c>
      <c r="P44" s="103">
        <f t="shared" si="7"/>
        <v>101.66070000000001</v>
      </c>
      <c r="Q44" s="2"/>
      <c r="T44" s="113" t="s">
        <v>109</v>
      </c>
      <c r="U44" s="108" t="s">
        <v>402</v>
      </c>
      <c r="W44" s="160">
        <v>42355</v>
      </c>
      <c r="X44" s="12">
        <v>114.13</v>
      </c>
      <c r="Y44" s="12">
        <v>114.48</v>
      </c>
      <c r="Z44" s="12">
        <v>111.98</v>
      </c>
      <c r="AA44" s="12">
        <v>112.01</v>
      </c>
      <c r="AB44" s="115">
        <v>9296700</v>
      </c>
      <c r="AC44" s="12">
        <v>112.01</v>
      </c>
      <c r="AD44" s="2">
        <f t="shared" si="1"/>
        <v>2.5</v>
      </c>
      <c r="AE44" s="165">
        <f t="shared" si="2"/>
        <v>-1.5642850865629665E-2</v>
      </c>
    </row>
    <row r="45" spans="15:31" x14ac:dyDescent="0.25">
      <c r="O45" s="103">
        <v>1.06</v>
      </c>
      <c r="P45" s="103">
        <f t="shared" si="7"/>
        <v>100.71060000000001</v>
      </c>
      <c r="Q45" s="2"/>
      <c r="T45" s="113" t="s">
        <v>110</v>
      </c>
      <c r="U45" s="108">
        <v>109.25</v>
      </c>
      <c r="W45" s="160">
        <v>42354</v>
      </c>
      <c r="X45" s="12">
        <v>114.69</v>
      </c>
      <c r="Y45" s="12">
        <v>114.75</v>
      </c>
      <c r="Z45" s="12">
        <v>111.8</v>
      </c>
      <c r="AA45" s="12">
        <v>113.79</v>
      </c>
      <c r="AB45" s="115">
        <v>12193100</v>
      </c>
      <c r="AC45" s="12">
        <v>113.79</v>
      </c>
      <c r="AD45" s="2">
        <f t="shared" si="1"/>
        <v>2.9500000000000028</v>
      </c>
      <c r="AE45" s="165">
        <f t="shared" si="2"/>
        <v>1.4532810271041363E-2</v>
      </c>
    </row>
    <row r="46" spans="15:31" x14ac:dyDescent="0.25">
      <c r="O46" s="103">
        <v>1.05</v>
      </c>
      <c r="P46" s="103">
        <f t="shared" si="7"/>
        <v>99.760500000000008</v>
      </c>
      <c r="Q46" s="2"/>
      <c r="T46" s="113" t="s">
        <v>111</v>
      </c>
      <c r="U46" s="108">
        <v>1.5583899999999999</v>
      </c>
      <c r="W46" s="160">
        <v>42353</v>
      </c>
      <c r="X46" s="12">
        <v>112.05</v>
      </c>
      <c r="Y46" s="12">
        <v>113.35</v>
      </c>
      <c r="Z46" s="12">
        <v>111.58</v>
      </c>
      <c r="AA46" s="12">
        <v>112.16</v>
      </c>
      <c r="AB46" s="115">
        <v>13260900</v>
      </c>
      <c r="AC46" s="12">
        <v>112.16</v>
      </c>
      <c r="AD46" s="2">
        <f t="shared" si="1"/>
        <v>1.769999999999996</v>
      </c>
      <c r="AE46" s="165">
        <f t="shared" si="2"/>
        <v>2.5697302240512032E-2</v>
      </c>
    </row>
    <row r="47" spans="15:31" x14ac:dyDescent="0.25">
      <c r="O47" s="103">
        <v>1.04</v>
      </c>
      <c r="P47" s="103">
        <f t="shared" si="7"/>
        <v>98.810400000000016</v>
      </c>
      <c r="Q47" s="2"/>
      <c r="T47" s="113" t="s">
        <v>131</v>
      </c>
      <c r="U47" s="108" t="s">
        <v>305</v>
      </c>
      <c r="W47" s="160">
        <v>42352</v>
      </c>
      <c r="X47" s="12">
        <v>108.68</v>
      </c>
      <c r="Y47" s="12">
        <v>109.87</v>
      </c>
      <c r="Z47" s="12">
        <v>108.28</v>
      </c>
      <c r="AA47" s="12">
        <v>109.35</v>
      </c>
      <c r="AB47" s="115">
        <v>9596900</v>
      </c>
      <c r="AC47" s="12">
        <v>109.35</v>
      </c>
      <c r="AD47" s="2">
        <f t="shared" si="1"/>
        <v>1.5900000000000034</v>
      </c>
      <c r="AE47" s="165">
        <f t="shared" si="2"/>
        <v>1.2125138837467464E-2</v>
      </c>
    </row>
    <row r="48" spans="15:31" x14ac:dyDescent="0.25">
      <c r="O48" s="103">
        <v>1.03</v>
      </c>
      <c r="P48" s="103">
        <f t="shared" si="7"/>
        <v>97.860300000000009</v>
      </c>
      <c r="Q48" s="2"/>
      <c r="T48" s="113"/>
      <c r="U48" s="108"/>
      <c r="W48" s="160">
        <v>42349</v>
      </c>
      <c r="X48" s="12">
        <v>110.76</v>
      </c>
      <c r="Y48" s="12">
        <v>110.76</v>
      </c>
      <c r="Z48" s="12">
        <v>107.62</v>
      </c>
      <c r="AA48" s="12">
        <v>108.04</v>
      </c>
      <c r="AB48" s="115">
        <v>12254000</v>
      </c>
      <c r="AC48" s="12">
        <v>108.04</v>
      </c>
      <c r="AD48" s="2">
        <f t="shared" si="1"/>
        <v>3.1400000000000006</v>
      </c>
      <c r="AE48" s="165">
        <f t="shared" si="2"/>
        <v>-2.4557602022390768E-2</v>
      </c>
    </row>
    <row r="49" spans="15:31" x14ac:dyDescent="0.25">
      <c r="O49" s="103">
        <v>1.02</v>
      </c>
      <c r="P49" s="103">
        <f t="shared" si="7"/>
        <v>96.910200000000003</v>
      </c>
      <c r="Q49" s="2"/>
      <c r="T49" s="113" t="s">
        <v>113</v>
      </c>
      <c r="U49" s="108" t="s">
        <v>403</v>
      </c>
      <c r="W49" s="160">
        <v>42348</v>
      </c>
      <c r="X49" s="12">
        <v>111.15</v>
      </c>
      <c r="Y49" s="12">
        <v>111.58</v>
      </c>
      <c r="Z49" s="12">
        <v>110.17</v>
      </c>
      <c r="AA49" s="12">
        <v>110.76</v>
      </c>
      <c r="AB49" s="115">
        <v>6954500</v>
      </c>
      <c r="AC49" s="12">
        <v>110.76</v>
      </c>
      <c r="AD49" s="2">
        <f t="shared" si="1"/>
        <v>1.4099999999999966</v>
      </c>
      <c r="AE49" s="165" t="e">
        <f t="shared" si="2"/>
        <v>#DIV/0!</v>
      </c>
    </row>
    <row r="50" spans="15:31" x14ac:dyDescent="0.25">
      <c r="O50" s="103">
        <v>1.01</v>
      </c>
      <c r="P50" s="103">
        <f t="shared" si="7"/>
        <v>95.960100000000011</v>
      </c>
      <c r="Q50" s="2"/>
      <c r="T50" s="113" t="s">
        <v>114</v>
      </c>
      <c r="U50" s="108" t="s">
        <v>317</v>
      </c>
      <c r="W50" s="160">
        <v>42348</v>
      </c>
      <c r="X50" s="12" t="s">
        <v>309</v>
      </c>
      <c r="Y50" s="12"/>
      <c r="Z50" s="12"/>
      <c r="AA50" s="12"/>
      <c r="AB50" s="115"/>
      <c r="AC50" s="12"/>
      <c r="AD50" s="2">
        <f t="shared" si="1"/>
        <v>0</v>
      </c>
      <c r="AE50" s="165">
        <f t="shared" si="2"/>
        <v>-1</v>
      </c>
    </row>
    <row r="51" spans="15:31" x14ac:dyDescent="0.25">
      <c r="O51" s="103">
        <v>1</v>
      </c>
      <c r="P51" s="103">
        <f t="shared" si="7"/>
        <v>95.01</v>
      </c>
      <c r="Q51" s="2"/>
      <c r="T51" s="113" t="s">
        <v>115</v>
      </c>
      <c r="U51" s="110">
        <v>6838210</v>
      </c>
      <c r="W51" s="160">
        <v>42347</v>
      </c>
      <c r="X51" s="12">
        <v>112.39</v>
      </c>
      <c r="Y51" s="12">
        <v>113.06</v>
      </c>
      <c r="Z51" s="12">
        <v>110.58</v>
      </c>
      <c r="AA51" s="12">
        <v>111.47</v>
      </c>
      <c r="AB51" s="115">
        <v>9050700</v>
      </c>
      <c r="AC51" s="12">
        <v>110.76</v>
      </c>
      <c r="AD51" s="2">
        <f t="shared" si="1"/>
        <v>2.480000000000004</v>
      </c>
      <c r="AE51" s="165">
        <f t="shared" si="2"/>
        <v>-8.9477451682176135E-3</v>
      </c>
    </row>
    <row r="52" spans="15:31" x14ac:dyDescent="0.25">
      <c r="O52" s="103">
        <v>0.99</v>
      </c>
      <c r="P52" s="103">
        <f t="shared" si="7"/>
        <v>94.059899999999999</v>
      </c>
      <c r="Q52" s="2"/>
      <c r="T52" s="113" t="s">
        <v>118</v>
      </c>
      <c r="U52" s="110">
        <v>11286300</v>
      </c>
      <c r="W52" s="160">
        <v>42346</v>
      </c>
      <c r="X52" s="12">
        <v>113.35</v>
      </c>
      <c r="Y52" s="12">
        <v>113.45</v>
      </c>
      <c r="Z52" s="12">
        <v>112.4</v>
      </c>
      <c r="AA52" s="12">
        <v>112.48</v>
      </c>
      <c r="AB52" s="115">
        <v>7480600</v>
      </c>
      <c r="AC52" s="12">
        <v>111.76</v>
      </c>
      <c r="AD52" s="2">
        <f t="shared" si="1"/>
        <v>1.0499999999999972</v>
      </c>
      <c r="AE52" s="165">
        <f t="shared" si="2"/>
        <v>-1.184792219274966E-2</v>
      </c>
    </row>
    <row r="53" spans="15:31" x14ac:dyDescent="0.25">
      <c r="O53" s="103">
        <v>0.98</v>
      </c>
      <c r="P53" s="103">
        <f t="shared" si="7"/>
        <v>93.109800000000007</v>
      </c>
      <c r="Q53" s="2"/>
      <c r="T53" s="113" t="s">
        <v>116</v>
      </c>
      <c r="U53" s="108" t="s">
        <v>404</v>
      </c>
      <c r="W53" s="160">
        <v>42345</v>
      </c>
      <c r="X53" s="12">
        <v>114.56</v>
      </c>
      <c r="Y53" s="12">
        <v>114.56</v>
      </c>
      <c r="Z53" s="12">
        <v>112.65</v>
      </c>
      <c r="AA53" s="12">
        <v>113.83</v>
      </c>
      <c r="AB53" s="115">
        <v>6738500</v>
      </c>
      <c r="AC53" s="12">
        <v>113.1</v>
      </c>
      <c r="AD53" s="2">
        <f t="shared" si="1"/>
        <v>1.9099999999999966</v>
      </c>
      <c r="AE53" s="165">
        <f t="shared" si="2"/>
        <v>-3.6120165624174971E-3</v>
      </c>
    </row>
    <row r="54" spans="15:31" x14ac:dyDescent="0.25">
      <c r="O54" s="103">
        <v>0.97</v>
      </c>
      <c r="P54" s="103">
        <f t="shared" si="7"/>
        <v>92.159700000000001</v>
      </c>
      <c r="T54" s="113" t="s">
        <v>119</v>
      </c>
      <c r="U54" s="108">
        <v>17.760000000000002</v>
      </c>
      <c r="W54" s="160">
        <v>42342</v>
      </c>
      <c r="X54" s="12">
        <v>112.74</v>
      </c>
      <c r="Y54" s="12">
        <v>114.31</v>
      </c>
      <c r="Z54" s="12">
        <v>112.53</v>
      </c>
      <c r="AA54" s="12">
        <v>114.24</v>
      </c>
      <c r="AB54" s="115">
        <v>8771300</v>
      </c>
      <c r="AC54" s="12">
        <v>113.51</v>
      </c>
      <c r="AD54" s="2">
        <f t="shared" si="1"/>
        <v>1.7800000000000011</v>
      </c>
      <c r="AE54" s="165">
        <f t="shared" si="2"/>
        <v>2.09570066558733E-2</v>
      </c>
    </row>
    <row r="55" spans="15:31" x14ac:dyDescent="0.25">
      <c r="O55" s="103">
        <v>0.96</v>
      </c>
      <c r="P55" s="103">
        <f t="shared" si="7"/>
        <v>91.209599999999995</v>
      </c>
      <c r="T55" s="113" t="s">
        <v>120</v>
      </c>
      <c r="U55" s="108">
        <v>5.35</v>
      </c>
      <c r="W55" s="160">
        <v>42341</v>
      </c>
      <c r="X55" s="12">
        <v>114.17</v>
      </c>
      <c r="Y55" s="12">
        <v>114.65</v>
      </c>
      <c r="Z55" s="12">
        <v>111.44</v>
      </c>
      <c r="AA55" s="12">
        <v>111.89</v>
      </c>
      <c r="AB55" s="115">
        <v>10446600</v>
      </c>
      <c r="AC55" s="12">
        <v>111.18</v>
      </c>
      <c r="AD55" s="2">
        <f t="shared" si="1"/>
        <v>3.210000000000008</v>
      </c>
      <c r="AE55" s="165">
        <f t="shared" si="2"/>
        <v>-1.8451487596009453E-2</v>
      </c>
    </row>
    <row r="56" spans="15:31" x14ac:dyDescent="0.25">
      <c r="O56" s="103">
        <v>0.95</v>
      </c>
      <c r="P56" s="103">
        <f t="shared" si="7"/>
        <v>90.259500000000003</v>
      </c>
      <c r="T56" s="113" t="s">
        <v>117</v>
      </c>
      <c r="U56" s="108" t="s">
        <v>405</v>
      </c>
      <c r="W56" s="160">
        <v>42340</v>
      </c>
      <c r="X56" s="12">
        <v>115.39</v>
      </c>
      <c r="Y56" s="12">
        <v>115.47</v>
      </c>
      <c r="Z56" s="12">
        <v>113.83</v>
      </c>
      <c r="AA56" s="12">
        <v>114</v>
      </c>
      <c r="AB56" s="115">
        <v>7787800</v>
      </c>
      <c r="AC56" s="12">
        <v>113.27</v>
      </c>
      <c r="AD56" s="2">
        <f t="shared" si="1"/>
        <v>1.6400000000000006</v>
      </c>
      <c r="AE56" s="165">
        <f t="shared" si="2"/>
        <v>-1.2122797837083588E-2</v>
      </c>
    </row>
    <row r="57" spans="15:31" x14ac:dyDescent="0.25">
      <c r="O57" s="103">
        <v>0.94</v>
      </c>
      <c r="P57" s="103">
        <f t="shared" si="7"/>
        <v>89.309399999999997</v>
      </c>
      <c r="W57" s="160">
        <v>42339</v>
      </c>
      <c r="X57" s="12">
        <v>114.15</v>
      </c>
      <c r="Y57" s="12">
        <v>115.46</v>
      </c>
      <c r="Z57" s="12">
        <v>113.66</v>
      </c>
      <c r="AA57" s="12">
        <v>115.39</v>
      </c>
      <c r="AB57" s="115">
        <v>8896100</v>
      </c>
      <c r="AC57" s="12">
        <v>114.66</v>
      </c>
      <c r="AD57" s="2">
        <f t="shared" si="1"/>
        <v>1.7999999999999972</v>
      </c>
      <c r="AE57" s="165">
        <f t="shared" si="2"/>
        <v>1.6940133037693927E-2</v>
      </c>
    </row>
    <row r="58" spans="15:31" x14ac:dyDescent="0.25">
      <c r="O58" s="103">
        <v>0.93</v>
      </c>
      <c r="P58" s="103">
        <f t="shared" si="7"/>
        <v>88.359300000000005</v>
      </c>
      <c r="W58" s="160">
        <v>42338</v>
      </c>
      <c r="X58" s="12">
        <v>115.56</v>
      </c>
      <c r="Y58" s="12">
        <v>115.58</v>
      </c>
      <c r="Z58" s="12">
        <v>113.31</v>
      </c>
      <c r="AA58" s="12">
        <v>113.47</v>
      </c>
      <c r="AB58" s="115">
        <v>16560300</v>
      </c>
      <c r="AC58" s="12">
        <v>112.75</v>
      </c>
      <c r="AD58" s="2">
        <f t="shared" si="1"/>
        <v>2.269999999999996</v>
      </c>
      <c r="AE58" s="165">
        <f t="shared" si="2"/>
        <v>-1.4423076923076983E-2</v>
      </c>
    </row>
    <row r="59" spans="15:31" x14ac:dyDescent="0.25">
      <c r="O59" s="103">
        <v>0.92</v>
      </c>
      <c r="P59" s="103">
        <f t="shared" si="7"/>
        <v>87.409200000000013</v>
      </c>
      <c r="W59" s="160">
        <v>42335</v>
      </c>
      <c r="X59" s="12">
        <v>116</v>
      </c>
      <c r="Y59" s="12">
        <v>116.5</v>
      </c>
      <c r="Z59" s="12">
        <v>113.7</v>
      </c>
      <c r="AA59" s="12">
        <v>115.13</v>
      </c>
      <c r="AB59" s="115">
        <v>14912000</v>
      </c>
      <c r="AC59" s="12">
        <v>114.4</v>
      </c>
      <c r="AD59" s="2">
        <f t="shared" si="1"/>
        <v>2.7999999999999972</v>
      </c>
      <c r="AE59" s="165">
        <f t="shared" si="2"/>
        <v>-2.9768467475192906E-2</v>
      </c>
    </row>
    <row r="60" spans="15:31" x14ac:dyDescent="0.25">
      <c r="O60" s="103">
        <v>0.91</v>
      </c>
      <c r="P60" s="103">
        <f t="shared" si="7"/>
        <v>86.459100000000007</v>
      </c>
      <c r="W60" s="160">
        <v>42333</v>
      </c>
      <c r="X60" s="12">
        <v>118.29</v>
      </c>
      <c r="Y60" s="12">
        <v>119.34</v>
      </c>
      <c r="Z60" s="12">
        <v>118.15</v>
      </c>
      <c r="AA60" s="12">
        <v>118.67</v>
      </c>
      <c r="AB60" s="115">
        <v>4751500</v>
      </c>
      <c r="AC60" s="12">
        <v>117.91</v>
      </c>
      <c r="AD60" s="2">
        <f t="shared" si="1"/>
        <v>1.1899999999999977</v>
      </c>
      <c r="AE60" s="165">
        <f t="shared" si="2"/>
        <v>6.0580204778155622E-3</v>
      </c>
    </row>
    <row r="61" spans="15:31" x14ac:dyDescent="0.25">
      <c r="O61" s="103">
        <v>0.9</v>
      </c>
      <c r="P61" s="103">
        <f t="shared" si="7"/>
        <v>85.509</v>
      </c>
      <c r="W61" s="160">
        <v>42332</v>
      </c>
      <c r="X61" s="12">
        <v>117.9</v>
      </c>
      <c r="Y61" s="12">
        <v>118.57</v>
      </c>
      <c r="Z61" s="12">
        <v>117.28</v>
      </c>
      <c r="AA61" s="12">
        <v>117.95</v>
      </c>
      <c r="AB61" s="115">
        <v>9158200</v>
      </c>
      <c r="AC61" s="12">
        <v>117.2</v>
      </c>
      <c r="AD61" s="2">
        <f t="shared" si="1"/>
        <v>1.289999999999992</v>
      </c>
      <c r="AE61" s="165">
        <f t="shared" si="2"/>
        <v>-1.2304062025956464E-2</v>
      </c>
    </row>
    <row r="62" spans="15:31" x14ac:dyDescent="0.25">
      <c r="W62" s="160">
        <v>42331</v>
      </c>
      <c r="X62" s="12">
        <v>120.3</v>
      </c>
      <c r="Y62" s="12">
        <v>120.65</v>
      </c>
      <c r="Z62" s="12">
        <v>119</v>
      </c>
      <c r="AA62" s="12">
        <v>119.42</v>
      </c>
      <c r="AB62" s="115">
        <v>6986400</v>
      </c>
      <c r="AC62" s="12">
        <v>118.66</v>
      </c>
      <c r="AD62" s="2">
        <f t="shared" si="1"/>
        <v>1.6500000000000057</v>
      </c>
      <c r="AE62" s="165">
        <f t="shared" si="2"/>
        <v>-5.4479926242562149E-3</v>
      </c>
    </row>
    <row r="63" spans="15:31" x14ac:dyDescent="0.25">
      <c r="W63" s="160">
        <v>42328</v>
      </c>
      <c r="X63" s="12">
        <v>119.11</v>
      </c>
      <c r="Y63" s="12">
        <v>120.25</v>
      </c>
      <c r="Z63" s="12">
        <v>118.9</v>
      </c>
      <c r="AA63" s="12">
        <v>120.07</v>
      </c>
      <c r="AB63" s="115">
        <v>10821700</v>
      </c>
      <c r="AC63" s="12">
        <v>119.31</v>
      </c>
      <c r="AD63" s="2">
        <f t="shared" si="1"/>
        <v>1.3499999999999943</v>
      </c>
      <c r="AE63" s="165">
        <f t="shared" si="2"/>
        <v>1.1530309453158027E-2</v>
      </c>
    </row>
    <row r="64" spans="15:31" x14ac:dyDescent="0.25">
      <c r="W64" s="160">
        <v>42327</v>
      </c>
      <c r="X64" s="12">
        <v>118.14</v>
      </c>
      <c r="Y64" s="12">
        <v>119.16</v>
      </c>
      <c r="Z64" s="12">
        <v>117.64</v>
      </c>
      <c r="AA64" s="12">
        <v>118.71</v>
      </c>
      <c r="AB64" s="115">
        <v>6101000</v>
      </c>
      <c r="AC64" s="12">
        <v>117.95</v>
      </c>
      <c r="AD64" s="2">
        <f t="shared" si="1"/>
        <v>1.519999999999996</v>
      </c>
      <c r="AE64" s="165">
        <f t="shared" si="2"/>
        <v>4.7704233750744951E-3</v>
      </c>
    </row>
    <row r="65" spans="23:31" x14ac:dyDescent="0.25">
      <c r="W65" s="160">
        <v>42326</v>
      </c>
      <c r="X65" s="12">
        <v>116.22</v>
      </c>
      <c r="Y65" s="12">
        <v>118.28</v>
      </c>
      <c r="Z65" s="12">
        <v>116.05</v>
      </c>
      <c r="AA65" s="12">
        <v>118.14</v>
      </c>
      <c r="AB65" s="115">
        <v>6744600</v>
      </c>
      <c r="AC65" s="12">
        <v>117.39</v>
      </c>
      <c r="AD65" s="2">
        <f t="shared" si="1"/>
        <v>2.230000000000004</v>
      </c>
      <c r="AE65" s="165">
        <f t="shared" si="2"/>
        <v>1.7332524482190914E-2</v>
      </c>
    </row>
    <row r="66" spans="23:31" x14ac:dyDescent="0.25">
      <c r="W66" s="160">
        <v>42325</v>
      </c>
      <c r="X66" s="12">
        <v>116.11</v>
      </c>
      <c r="Y66" s="12">
        <v>117.55</v>
      </c>
      <c r="Z66" s="12">
        <v>115.51</v>
      </c>
      <c r="AA66" s="12">
        <v>116.13</v>
      </c>
      <c r="AB66" s="115">
        <v>6434400</v>
      </c>
      <c r="AC66" s="12">
        <v>115.39</v>
      </c>
      <c r="AD66" s="2">
        <f t="shared" si="1"/>
        <v>2.039999999999992</v>
      </c>
      <c r="AE66" s="165">
        <f t="shared" si="2"/>
        <v>1.8232332002083851E-3</v>
      </c>
    </row>
    <row r="67" spans="23:31" x14ac:dyDescent="0.25">
      <c r="W67" s="160">
        <v>42324</v>
      </c>
      <c r="X67" s="12">
        <v>113.47</v>
      </c>
      <c r="Y67" s="12">
        <v>116.08</v>
      </c>
      <c r="Z67" s="12">
        <v>113.34</v>
      </c>
      <c r="AA67" s="12">
        <v>115.92</v>
      </c>
      <c r="AB67" s="115">
        <v>5770200</v>
      </c>
      <c r="AC67" s="12">
        <v>115.18</v>
      </c>
      <c r="AD67" s="2">
        <f t="shared" ref="AD67" si="8">Y67-Z67</f>
        <v>2.7399999999999949</v>
      </c>
      <c r="AE67" s="165" t="e">
        <f>AC67/#REF!-1</f>
        <v>#REF!</v>
      </c>
    </row>
    <row r="68" spans="23:31" x14ac:dyDescent="0.25">
      <c r="W68" s="160">
        <v>42321</v>
      </c>
      <c r="X68" s="12">
        <v>115.92</v>
      </c>
      <c r="Y68" s="12">
        <v>116.42</v>
      </c>
      <c r="Z68" s="12">
        <v>114.38</v>
      </c>
      <c r="AA68" s="12">
        <v>114.84</v>
      </c>
      <c r="AB68" s="115">
        <v>8078100</v>
      </c>
      <c r="AC68" s="12">
        <v>114.11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33" priority="18">
      <formula>Q7&gt;0</formula>
    </cfRule>
    <cfRule type="expression" dxfId="132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31" priority="11">
      <formula>F18&gt;0</formula>
    </cfRule>
    <cfRule type="expression" dxfId="130" priority="12">
      <formula>F18&lt;0</formula>
    </cfRule>
  </conditionalFormatting>
  <conditionalFormatting sqref="F25:F27">
    <cfRule type="expression" dxfId="129" priority="7">
      <formula>F25&gt;0</formula>
    </cfRule>
    <cfRule type="expression" dxfId="128" priority="8">
      <formula>F25&lt;0</formula>
    </cfRule>
  </conditionalFormatting>
  <conditionalFormatting sqref="F25:F27">
    <cfRule type="expression" dxfId="127" priority="9">
      <formula>F25&gt;0</formula>
    </cfRule>
    <cfRule type="expression" dxfId="126" priority="10">
      <formula>F25&lt;0</formula>
    </cfRule>
  </conditionalFormatting>
  <conditionalFormatting sqref="H18 H23:H27">
    <cfRule type="expression" dxfId="125" priority="5">
      <formula>H18&gt;0</formula>
    </cfRule>
    <cfRule type="expression" dxfId="124" priority="6">
      <formula>H18&lt;0</formula>
    </cfRule>
  </conditionalFormatting>
  <conditionalFormatting sqref="F19:F22">
    <cfRule type="expression" dxfId="123" priority="3">
      <formula>F19&gt;0</formula>
    </cfRule>
    <cfRule type="expression" dxfId="122" priority="4">
      <formula>F19&lt;0</formula>
    </cfRule>
  </conditionalFormatting>
  <conditionalFormatting sqref="H19:H22">
    <cfRule type="expression" dxfId="121" priority="1">
      <formula>H19&gt;0</formula>
    </cfRule>
    <cfRule type="expression" dxfId="120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13" t="s">
        <v>142</v>
      </c>
      <c r="AE1" s="113" t="s">
        <v>144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250</v>
      </c>
      <c r="T2" s="1"/>
      <c r="W2" s="130">
        <v>42419</v>
      </c>
      <c r="X2" s="11">
        <v>4.54</v>
      </c>
      <c r="Y2" s="11">
        <v>4.55</v>
      </c>
      <c r="Z2" s="11">
        <v>4.37</v>
      </c>
      <c r="AA2" s="11">
        <v>4.4400000000000004</v>
      </c>
      <c r="AB2" s="124">
        <v>11795700</v>
      </c>
      <c r="AC2" s="11">
        <v>4.4400000000000004</v>
      </c>
      <c r="AD2" s="53">
        <f>Y2-Z2</f>
        <v>0.17999999999999972</v>
      </c>
      <c r="AE2" s="197">
        <f>AC2/AC3-1</f>
        <v>-2.2026431718061623E-2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94">
        <v>42418</v>
      </c>
      <c r="H3" s="9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100">
        <f>IF(Q2=0, Q4, (F11-K11)/Q2)</f>
        <v>4.09016</v>
      </c>
      <c r="T3" s="1"/>
      <c r="W3" s="130">
        <v>42418</v>
      </c>
      <c r="X3" s="11">
        <v>4.45</v>
      </c>
      <c r="Y3" s="11">
        <v>4.7</v>
      </c>
      <c r="Z3" s="11">
        <v>4.4000000000000004</v>
      </c>
      <c r="AA3" s="11">
        <v>4.54</v>
      </c>
      <c r="AB3" s="124">
        <v>18093500</v>
      </c>
      <c r="AC3" s="11">
        <v>4.54</v>
      </c>
      <c r="AD3" s="53">
        <f t="shared" ref="AD3:AD66" si="0">Y3-Z3</f>
        <v>0.29999999999999982</v>
      </c>
      <c r="AE3" s="197">
        <f t="shared" ref="AE3:AE66" si="1">AC3/AC4-1</f>
        <v>2.7149321266968451E-2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4"/>
      <c r="H4" s="235"/>
      <c r="I4" s="3"/>
      <c r="J4" s="3"/>
      <c r="K4" s="3"/>
      <c r="O4" s="13" t="s">
        <v>66</v>
      </c>
      <c r="Q4" s="69">
        <v>4.4400000000000004</v>
      </c>
      <c r="T4" s="198"/>
      <c r="W4" s="130">
        <v>42417</v>
      </c>
      <c r="X4" s="11">
        <v>4.32</v>
      </c>
      <c r="Y4" s="11">
        <v>4.47</v>
      </c>
      <c r="Z4" s="11">
        <v>4.28</v>
      </c>
      <c r="AA4" s="11">
        <v>4.42</v>
      </c>
      <c r="AB4" s="124">
        <v>13503000</v>
      </c>
      <c r="AC4" s="11">
        <v>4.42</v>
      </c>
      <c r="AD4" s="53">
        <f t="shared" si="0"/>
        <v>0.1899999999999995</v>
      </c>
      <c r="AE4" s="197">
        <f t="shared" si="1"/>
        <v>4.0000000000000036E-2</v>
      </c>
    </row>
    <row r="5" spans="1:31" x14ac:dyDescent="0.25">
      <c r="B5" s="1"/>
      <c r="C5" s="4"/>
      <c r="D5" s="3"/>
      <c r="E5" s="3"/>
      <c r="F5" s="3"/>
      <c r="G5" s="4"/>
      <c r="H5" s="235"/>
      <c r="I5" s="3"/>
      <c r="J5" s="3"/>
      <c r="K5" s="3"/>
      <c r="O5" s="13" t="s">
        <v>67</v>
      </c>
      <c r="Q5" s="3">
        <f>Q4*Q2</f>
        <v>1110</v>
      </c>
      <c r="W5" s="130">
        <v>42416</v>
      </c>
      <c r="X5" s="11">
        <v>4.3499999999999996</v>
      </c>
      <c r="Y5" s="11">
        <v>4.3499999999999996</v>
      </c>
      <c r="Z5" s="11">
        <v>4.1500000000000004</v>
      </c>
      <c r="AA5" s="11">
        <v>4.25</v>
      </c>
      <c r="AB5" s="124">
        <v>11727400</v>
      </c>
      <c r="AC5" s="11">
        <v>4.25</v>
      </c>
      <c r="AD5" s="53">
        <f t="shared" si="0"/>
        <v>0.19999999999999929</v>
      </c>
      <c r="AE5" s="197">
        <f t="shared" si="1"/>
        <v>2.3584905660376521E-3</v>
      </c>
    </row>
    <row r="6" spans="1:31" x14ac:dyDescent="0.25">
      <c r="C6" s="4"/>
      <c r="D6" s="3"/>
      <c r="E6" s="3"/>
      <c r="F6" s="3"/>
      <c r="G6" s="4"/>
      <c r="H6" s="235"/>
      <c r="I6" s="3"/>
      <c r="J6" s="3"/>
      <c r="K6" s="3"/>
      <c r="O6" s="13" t="s">
        <v>64</v>
      </c>
      <c r="Q6" s="2">
        <f>Q3*Q2</f>
        <v>1022.54</v>
      </c>
      <c r="W6" s="130">
        <v>42412</v>
      </c>
      <c r="X6" s="11">
        <v>4.2</v>
      </c>
      <c r="Y6" s="11">
        <v>4.29</v>
      </c>
      <c r="Z6" s="11">
        <v>4.0599999999999996</v>
      </c>
      <c r="AA6" s="11">
        <v>4.24</v>
      </c>
      <c r="AB6" s="124">
        <v>19862000</v>
      </c>
      <c r="AC6" s="11">
        <v>4.24</v>
      </c>
      <c r="AD6" s="53">
        <f t="shared" si="0"/>
        <v>0.23000000000000043</v>
      </c>
      <c r="AE6" s="197">
        <f t="shared" si="1"/>
        <v>1.6786570743405393E-2</v>
      </c>
    </row>
    <row r="7" spans="1:31" ht="15.75" x14ac:dyDescent="0.25">
      <c r="H7" s="91"/>
      <c r="O7" s="13" t="s">
        <v>65</v>
      </c>
      <c r="Q7" s="2">
        <f>IF(Q2=0, K11+M11-F11,Q5-Q6)</f>
        <v>87.460000000000036</v>
      </c>
      <c r="R7" s="243"/>
      <c r="W7" s="130">
        <v>42411</v>
      </c>
      <c r="X7" s="11">
        <v>4.12</v>
      </c>
      <c r="Y7" s="11">
        <v>4.26</v>
      </c>
      <c r="Z7" s="11">
        <v>4.07</v>
      </c>
      <c r="AA7" s="11">
        <v>4.17</v>
      </c>
      <c r="AB7" s="124">
        <v>20905500</v>
      </c>
      <c r="AC7" s="11">
        <v>4.17</v>
      </c>
      <c r="AD7" s="53">
        <f t="shared" si="0"/>
        <v>0.1899999999999995</v>
      </c>
      <c r="AE7" s="197">
        <f t="shared" si="1"/>
        <v>0</v>
      </c>
    </row>
    <row r="8" spans="1:31" x14ac:dyDescent="0.25">
      <c r="H8" s="91"/>
      <c r="O8" s="13" t="s">
        <v>92</v>
      </c>
      <c r="Q8" s="165">
        <f>(Q4-Q3)/Q3</f>
        <v>8.5532106323469095E-2</v>
      </c>
      <c r="W8" s="130">
        <v>42410</v>
      </c>
      <c r="X8" s="11">
        <v>4.3600000000000003</v>
      </c>
      <c r="Y8" s="11">
        <v>4.37</v>
      </c>
      <c r="Z8" s="11">
        <v>4.1100000000000003</v>
      </c>
      <c r="AA8" s="11">
        <v>4.17</v>
      </c>
      <c r="AB8" s="124">
        <v>18477700</v>
      </c>
      <c r="AC8" s="11">
        <v>4.17</v>
      </c>
      <c r="AD8" s="53">
        <f t="shared" si="0"/>
        <v>0.25999999999999979</v>
      </c>
      <c r="AE8" s="197">
        <f t="shared" si="1"/>
        <v>-3.4722222222222321E-2</v>
      </c>
    </row>
    <row r="9" spans="1:31" x14ac:dyDescent="0.25">
      <c r="H9" s="91"/>
      <c r="O9" s="13" t="s">
        <v>298</v>
      </c>
      <c r="Q9" s="165">
        <f>VALUE(TRIM(CLEAN(MID(U56, FIND("(", U56)+1, 5))))</f>
        <v>9.4600000000000004E-2</v>
      </c>
      <c r="W9" s="130">
        <v>42409</v>
      </c>
      <c r="X9" s="11">
        <v>4.25</v>
      </c>
      <c r="Y9" s="11">
        <v>4.3600000000000003</v>
      </c>
      <c r="Z9" s="11">
        <v>4.08</v>
      </c>
      <c r="AA9" s="11">
        <v>4.32</v>
      </c>
      <c r="AB9" s="124">
        <v>21820300</v>
      </c>
      <c r="AC9" s="11">
        <v>4.32</v>
      </c>
      <c r="AD9" s="53">
        <f t="shared" si="0"/>
        <v>0.28000000000000025</v>
      </c>
      <c r="AE9" s="197">
        <f t="shared" si="1"/>
        <v>0</v>
      </c>
    </row>
    <row r="10" spans="1:31" x14ac:dyDescent="0.25">
      <c r="H10" s="91"/>
      <c r="W10" s="130">
        <v>42408</v>
      </c>
      <c r="X10" s="11">
        <v>4.63</v>
      </c>
      <c r="Y10" s="11">
        <v>4.66</v>
      </c>
      <c r="Z10" s="11">
        <v>4.21</v>
      </c>
      <c r="AA10" s="11">
        <v>4.32</v>
      </c>
      <c r="AB10" s="124">
        <v>17852900</v>
      </c>
      <c r="AC10" s="11">
        <v>4.32</v>
      </c>
      <c r="AD10" s="53">
        <f t="shared" si="0"/>
        <v>0.45000000000000018</v>
      </c>
      <c r="AE10" s="197">
        <f t="shared" si="1"/>
        <v>-7.6923076923076761E-2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30">
        <v>42405</v>
      </c>
      <c r="X11" s="11">
        <v>4.6900000000000004</v>
      </c>
      <c r="Y11" s="11">
        <v>4.8600000000000003</v>
      </c>
      <c r="Z11" s="11">
        <v>4.6100000000000003</v>
      </c>
      <c r="AA11" s="11">
        <v>4.68</v>
      </c>
      <c r="AB11" s="124">
        <v>25839400</v>
      </c>
      <c r="AC11" s="11">
        <v>4.68</v>
      </c>
      <c r="AD11" s="53">
        <f t="shared" si="0"/>
        <v>0.25</v>
      </c>
      <c r="AE11" s="197">
        <f t="shared" si="1"/>
        <v>-4.2553191489362874E-3</v>
      </c>
    </row>
    <row r="12" spans="1:31" x14ac:dyDescent="0.25">
      <c r="W12" s="130">
        <v>42404</v>
      </c>
      <c r="X12" s="11">
        <v>4.62</v>
      </c>
      <c r="Y12" s="11">
        <v>4.8899999999999997</v>
      </c>
      <c r="Z12" s="11">
        <v>4.62</v>
      </c>
      <c r="AA12" s="11">
        <v>4.7</v>
      </c>
      <c r="AB12" s="124">
        <v>26405500</v>
      </c>
      <c r="AC12" s="11">
        <v>4.7</v>
      </c>
      <c r="AD12" s="53">
        <f t="shared" si="0"/>
        <v>0.26999999999999957</v>
      </c>
      <c r="AE12" s="197">
        <f t="shared" si="1"/>
        <v>2.1739130434782705E-2</v>
      </c>
    </row>
    <row r="13" spans="1:31" x14ac:dyDescent="0.25">
      <c r="W13" s="130">
        <v>42403</v>
      </c>
      <c r="X13" s="11">
        <v>4.42</v>
      </c>
      <c r="Y13" s="11">
        <v>4.6399999999999997</v>
      </c>
      <c r="Z13" s="11">
        <v>4.38</v>
      </c>
      <c r="AA13" s="11">
        <v>4.5999999999999996</v>
      </c>
      <c r="AB13" s="124">
        <v>15767000</v>
      </c>
      <c r="AC13" s="11">
        <v>4.5999999999999996</v>
      </c>
      <c r="AD13" s="53">
        <f t="shared" si="0"/>
        <v>0.25999999999999979</v>
      </c>
      <c r="AE13" s="197">
        <f t="shared" si="1"/>
        <v>5.7471264367816133E-2</v>
      </c>
    </row>
    <row r="14" spans="1:31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50" t="s">
        <v>65</v>
      </c>
      <c r="G14" s="294" t="s">
        <v>195</v>
      </c>
      <c r="H14" s="250" t="s">
        <v>92</v>
      </c>
      <c r="I14" s="294" t="s">
        <v>203</v>
      </c>
      <c r="W14" s="130">
        <v>42402</v>
      </c>
      <c r="X14" s="11">
        <v>4.51</v>
      </c>
      <c r="Y14" s="11">
        <v>4.54</v>
      </c>
      <c r="Z14" s="11">
        <v>4.34</v>
      </c>
      <c r="AA14" s="11">
        <v>4.3499999999999996</v>
      </c>
      <c r="AB14" s="124">
        <v>12785500</v>
      </c>
      <c r="AC14" s="11">
        <v>4.3499999999999996</v>
      </c>
      <c r="AD14" s="53">
        <f t="shared" si="0"/>
        <v>0.20000000000000018</v>
      </c>
      <c r="AE14" s="197">
        <f t="shared" si="1"/>
        <v>-5.0218340611353773E-2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42401</v>
      </c>
      <c r="X15" s="11">
        <v>4.6399999999999997</v>
      </c>
      <c r="Y15" s="11">
        <v>4.6399999999999997</v>
      </c>
      <c r="Z15" s="11">
        <v>4.45</v>
      </c>
      <c r="AA15" s="11">
        <v>4.58</v>
      </c>
      <c r="AB15" s="124">
        <v>10110400</v>
      </c>
      <c r="AC15" s="11">
        <v>4.58</v>
      </c>
      <c r="AD15" s="53">
        <f t="shared" si="0"/>
        <v>0.1899999999999995</v>
      </c>
      <c r="AE15" s="197">
        <f t="shared" si="1"/>
        <v>6.59340659340657E-3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42398</v>
      </c>
      <c r="X16" s="11">
        <v>4.55</v>
      </c>
      <c r="Y16" s="11">
        <v>4.58</v>
      </c>
      <c r="Z16" s="11">
        <v>4.5</v>
      </c>
      <c r="AA16" s="11">
        <v>4.55</v>
      </c>
      <c r="AB16" s="124">
        <v>12767400</v>
      </c>
      <c r="AC16" s="11">
        <v>4.55</v>
      </c>
      <c r="AD16" s="53">
        <f t="shared" si="0"/>
        <v>8.0000000000000071E-2</v>
      </c>
      <c r="AE16" s="197">
        <f t="shared" si="1"/>
        <v>8.8691796008868451E-3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2" si="6">C17*(E17-D17)</f>
        <v>-89.999999999999858</v>
      </c>
      <c r="G17" s="53">
        <f t="shared" ref="G17:G22" si="7">D17*C17</f>
        <v>2175</v>
      </c>
      <c r="H17" s="305">
        <f t="shared" ref="H17:H22" si="8">(E17-D17)/D17</f>
        <v>-4.1379310344827523E-2</v>
      </c>
      <c r="I17" s="53"/>
      <c r="W17" s="130">
        <v>42397</v>
      </c>
      <c r="X17" s="11">
        <v>4.49</v>
      </c>
      <c r="Y17" s="11">
        <v>4.54</v>
      </c>
      <c r="Z17" s="11">
        <v>4.42</v>
      </c>
      <c r="AA17" s="11">
        <v>4.51</v>
      </c>
      <c r="AB17" s="124">
        <v>9892100</v>
      </c>
      <c r="AC17" s="11">
        <v>4.51</v>
      </c>
      <c r="AD17" s="53">
        <f t="shared" si="0"/>
        <v>0.12000000000000011</v>
      </c>
      <c r="AE17" s="197">
        <f t="shared" si="1"/>
        <v>1.348314606741563E-2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42396</v>
      </c>
      <c r="X18" s="11">
        <v>4.41</v>
      </c>
      <c r="Y18" s="11">
        <v>4.51</v>
      </c>
      <c r="Z18" s="11">
        <v>4.3499999999999996</v>
      </c>
      <c r="AA18" s="11">
        <v>4.45</v>
      </c>
      <c r="AB18" s="124">
        <v>14037400</v>
      </c>
      <c r="AC18" s="11">
        <v>4.45</v>
      </c>
      <c r="AD18" s="53">
        <f t="shared" si="0"/>
        <v>0.16000000000000014</v>
      </c>
      <c r="AE18" s="197">
        <f t="shared" si="1"/>
        <v>6.7873303167420573E-3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42395</v>
      </c>
      <c r="X19" s="11">
        <v>4.2</v>
      </c>
      <c r="Y19" s="11">
        <v>4.46</v>
      </c>
      <c r="Z19" s="11">
        <v>4.1900000000000004</v>
      </c>
      <c r="AA19" s="11">
        <v>4.42</v>
      </c>
      <c r="AB19" s="124">
        <v>11432600</v>
      </c>
      <c r="AC19" s="11">
        <v>4.42</v>
      </c>
      <c r="AD19" s="53">
        <f t="shared" si="0"/>
        <v>0.26999999999999957</v>
      </c>
      <c r="AE19" s="197">
        <f t="shared" si="1"/>
        <v>5.4892601431980825E-2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42394</v>
      </c>
      <c r="X20" s="11">
        <v>4.34</v>
      </c>
      <c r="Y20" s="11">
        <v>4.4000000000000004</v>
      </c>
      <c r="Z20" s="11">
        <v>4.1900000000000004</v>
      </c>
      <c r="AA20" s="11">
        <v>4.1900000000000004</v>
      </c>
      <c r="AB20" s="124">
        <v>13157000</v>
      </c>
      <c r="AC20" s="11">
        <v>4.1900000000000004</v>
      </c>
      <c r="AD20" s="53">
        <f t="shared" si="0"/>
        <v>0.20999999999999996</v>
      </c>
      <c r="AE20" s="197">
        <f t="shared" si="1"/>
        <v>-3.8990825688073327E-2</v>
      </c>
    </row>
    <row r="21" spans="2:31" x14ac:dyDescent="0.25">
      <c r="B21" s="248">
        <v>42418</v>
      </c>
      <c r="C21" s="12">
        <v>250</v>
      </c>
      <c r="D21" s="259">
        <v>4.09</v>
      </c>
      <c r="E21" s="53">
        <v>4.25</v>
      </c>
      <c r="F21" s="53">
        <f t="shared" si="6"/>
        <v>40.000000000000036</v>
      </c>
      <c r="G21" s="53">
        <f t="shared" si="7"/>
        <v>1022.5</v>
      </c>
      <c r="H21" s="305">
        <f t="shared" si="8"/>
        <v>3.911980440097803E-2</v>
      </c>
      <c r="I21" s="53"/>
      <c r="W21" s="130">
        <v>42391</v>
      </c>
      <c r="X21" s="11">
        <v>4.09</v>
      </c>
      <c r="Y21" s="11">
        <v>4.3600000000000003</v>
      </c>
      <c r="Z21" s="11">
        <v>4.08</v>
      </c>
      <c r="AA21" s="11">
        <v>4.3600000000000003</v>
      </c>
      <c r="AB21" s="124">
        <v>23209200</v>
      </c>
      <c r="AC21" s="11">
        <v>4.3600000000000003</v>
      </c>
      <c r="AD21" s="53">
        <f t="shared" si="0"/>
        <v>0.28000000000000025</v>
      </c>
      <c r="AE21" s="197">
        <f t="shared" si="1"/>
        <v>9.000000000000008E-2</v>
      </c>
    </row>
    <row r="22" spans="2:31" x14ac:dyDescent="0.25">
      <c r="B22" s="248">
        <v>42421</v>
      </c>
      <c r="C22" s="12">
        <v>250</v>
      </c>
      <c r="D22" s="259">
        <v>4.09</v>
      </c>
      <c r="E22" s="53">
        <v>4.4400000000000004</v>
      </c>
      <c r="F22" s="53">
        <f t="shared" si="6"/>
        <v>87.500000000000128</v>
      </c>
      <c r="G22" s="53">
        <f t="shared" si="7"/>
        <v>1022.5</v>
      </c>
      <c r="H22" s="305">
        <f t="shared" si="8"/>
        <v>8.5574572127139495E-2</v>
      </c>
      <c r="I22" s="53"/>
      <c r="W22" s="130">
        <v>42390</v>
      </c>
      <c r="X22" s="11">
        <v>4.01</v>
      </c>
      <c r="Y22" s="11">
        <v>4.0999999999999996</v>
      </c>
      <c r="Z22" s="11">
        <v>3.9</v>
      </c>
      <c r="AA22" s="11">
        <v>4</v>
      </c>
      <c r="AB22" s="124">
        <v>29600400</v>
      </c>
      <c r="AC22" s="11">
        <v>4</v>
      </c>
      <c r="AD22" s="53">
        <f t="shared" si="0"/>
        <v>0.19999999999999973</v>
      </c>
      <c r="AE22" s="197">
        <f t="shared" si="1"/>
        <v>1.5228426395939021E-2</v>
      </c>
    </row>
    <row r="23" spans="2:31" x14ac:dyDescent="0.25">
      <c r="B23" s="248"/>
      <c r="C23" s="12"/>
      <c r="D23" s="259"/>
      <c r="E23" s="53"/>
      <c r="F23" s="53"/>
      <c r="G23" s="53"/>
      <c r="H23" s="305"/>
      <c r="I23" s="53"/>
      <c r="W23" s="130">
        <v>42389</v>
      </c>
      <c r="X23" s="11">
        <v>4.0999999999999996</v>
      </c>
      <c r="Y23" s="11">
        <v>4.1500000000000004</v>
      </c>
      <c r="Z23" s="11">
        <v>3.81</v>
      </c>
      <c r="AA23" s="11">
        <v>3.94</v>
      </c>
      <c r="AB23" s="124">
        <v>28261600</v>
      </c>
      <c r="AC23" s="11">
        <v>3.94</v>
      </c>
      <c r="AD23" s="53">
        <f t="shared" si="0"/>
        <v>0.3400000000000003</v>
      </c>
      <c r="AE23" s="197">
        <f t="shared" si="1"/>
        <v>-5.7416267942583699E-2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42388</v>
      </c>
      <c r="X24" s="11">
        <v>4.28</v>
      </c>
      <c r="Y24" s="11">
        <v>4.32</v>
      </c>
      <c r="Z24" s="11">
        <v>4.16</v>
      </c>
      <c r="AA24" s="11">
        <v>4.18</v>
      </c>
      <c r="AB24" s="124">
        <v>15659700</v>
      </c>
      <c r="AC24" s="11">
        <v>4.18</v>
      </c>
      <c r="AD24" s="53">
        <f t="shared" si="0"/>
        <v>0.16000000000000014</v>
      </c>
      <c r="AE24" s="197">
        <f t="shared" si="1"/>
        <v>-1.4150943396226578E-2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42384</v>
      </c>
      <c r="X25" s="11">
        <v>4.22</v>
      </c>
      <c r="Y25" s="11">
        <v>4.26</v>
      </c>
      <c r="Z25" s="11">
        <v>4.1100000000000003</v>
      </c>
      <c r="AA25" s="11">
        <v>4.24</v>
      </c>
      <c r="AB25" s="124">
        <v>24824700</v>
      </c>
      <c r="AC25" s="11">
        <v>4.24</v>
      </c>
      <c r="AD25" s="53">
        <f t="shared" si="0"/>
        <v>0.14999999999999947</v>
      </c>
      <c r="AE25" s="197">
        <f t="shared" si="1"/>
        <v>-2.9748283752860427E-2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42383</v>
      </c>
      <c r="X26" s="11">
        <v>4.2</v>
      </c>
      <c r="Y26" s="11">
        <v>4.37</v>
      </c>
      <c r="Z26" s="11">
        <v>3.96</v>
      </c>
      <c r="AA26" s="11">
        <v>4.37</v>
      </c>
      <c r="AB26" s="124">
        <v>23111000</v>
      </c>
      <c r="AC26" s="11">
        <v>4.37</v>
      </c>
      <c r="AD26" s="53">
        <f t="shared" si="0"/>
        <v>0.41000000000000014</v>
      </c>
      <c r="AE26" s="197">
        <f t="shared" si="1"/>
        <v>4.7961630695443791E-2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42382</v>
      </c>
      <c r="X27" s="11">
        <v>4.4000000000000004</v>
      </c>
      <c r="Y27" s="11">
        <v>4.43</v>
      </c>
      <c r="Z27" s="11">
        <v>4.13</v>
      </c>
      <c r="AA27" s="11">
        <v>4.17</v>
      </c>
      <c r="AB27" s="124">
        <v>27519100</v>
      </c>
      <c r="AC27" s="11">
        <v>4.17</v>
      </c>
      <c r="AD27" s="53">
        <f t="shared" si="0"/>
        <v>0.29999999999999982</v>
      </c>
      <c r="AE27" s="197">
        <f t="shared" si="1"/>
        <v>-4.7945205479452024E-2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42381</v>
      </c>
      <c r="X28" s="11">
        <v>4.5599999999999996</v>
      </c>
      <c r="Y28" s="11">
        <v>4.57</v>
      </c>
      <c r="Z28" s="11">
        <v>4.37</v>
      </c>
      <c r="AA28" s="11">
        <v>4.38</v>
      </c>
      <c r="AB28" s="124">
        <v>17140800</v>
      </c>
      <c r="AC28" s="11">
        <v>4.38</v>
      </c>
      <c r="AD28" s="53">
        <f t="shared" si="0"/>
        <v>0.20000000000000018</v>
      </c>
      <c r="AE28" s="197">
        <f t="shared" si="1"/>
        <v>-2.8824833702882469E-2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42380</v>
      </c>
      <c r="X29" s="11">
        <v>4.68</v>
      </c>
      <c r="Y29" s="11">
        <v>4.72</v>
      </c>
      <c r="Z29" s="11">
        <v>4.47</v>
      </c>
      <c r="AA29" s="11">
        <v>4.51</v>
      </c>
      <c r="AB29" s="124">
        <v>14505800</v>
      </c>
      <c r="AC29" s="11">
        <v>4.51</v>
      </c>
      <c r="AD29" s="53">
        <f t="shared" si="0"/>
        <v>0.25</v>
      </c>
      <c r="AE29" s="197">
        <f t="shared" si="1"/>
        <v>-3.426124197002145E-2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42377</v>
      </c>
      <c r="X30" s="11">
        <v>4.74</v>
      </c>
      <c r="Y30" s="11">
        <v>4.7699999999999996</v>
      </c>
      <c r="Z30" s="11">
        <v>4.6399999999999997</v>
      </c>
      <c r="AA30" s="11">
        <v>4.67</v>
      </c>
      <c r="AB30" s="124">
        <v>13846800</v>
      </c>
      <c r="AC30" s="11">
        <v>4.67</v>
      </c>
      <c r="AD30" s="53">
        <f t="shared" si="0"/>
        <v>0.12999999999999989</v>
      </c>
      <c r="AE30" s="197">
        <f t="shared" si="1"/>
        <v>-4.2643923240939241E-3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42376</v>
      </c>
      <c r="X31" s="11">
        <v>4.72</v>
      </c>
      <c r="Y31" s="11">
        <v>4.79</v>
      </c>
      <c r="Z31" s="11">
        <v>4.68</v>
      </c>
      <c r="AA31" s="11">
        <v>4.6900000000000004</v>
      </c>
      <c r="AB31" s="124">
        <v>12468000</v>
      </c>
      <c r="AC31" s="11">
        <v>4.6900000000000004</v>
      </c>
      <c r="AD31" s="53">
        <f t="shared" si="0"/>
        <v>0.11000000000000032</v>
      </c>
      <c r="AE31" s="197">
        <f t="shared" si="1"/>
        <v>-1.4705882352941013E-2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42375</v>
      </c>
      <c r="X32" s="11">
        <v>4.66</v>
      </c>
      <c r="Y32" s="11">
        <v>4.78</v>
      </c>
      <c r="Z32" s="11">
        <v>4.6399999999999997</v>
      </c>
      <c r="AA32" s="11">
        <v>4.76</v>
      </c>
      <c r="AB32" s="124">
        <v>12389600</v>
      </c>
      <c r="AC32" s="11">
        <v>4.76</v>
      </c>
      <c r="AD32" s="53">
        <f t="shared" si="0"/>
        <v>0.14000000000000057</v>
      </c>
      <c r="AE32" s="197">
        <f t="shared" si="1"/>
        <v>8.4745762711864181E-3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42374</v>
      </c>
      <c r="X33" s="11">
        <v>4.63</v>
      </c>
      <c r="Y33" s="11">
        <v>4.74</v>
      </c>
      <c r="Z33" s="11">
        <v>4.6100000000000003</v>
      </c>
      <c r="AA33" s="11">
        <v>4.72</v>
      </c>
      <c r="AB33" s="124">
        <v>6858600</v>
      </c>
      <c r="AC33" s="11">
        <v>4.72</v>
      </c>
      <c r="AD33" s="53">
        <f t="shared" si="0"/>
        <v>0.12999999999999989</v>
      </c>
      <c r="AE33" s="197">
        <f t="shared" si="1"/>
        <v>1.5053763440860068E-2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42373</v>
      </c>
      <c r="X34" s="11">
        <v>4.5999999999999996</v>
      </c>
      <c r="Y34" s="11">
        <v>4.72</v>
      </c>
      <c r="Z34" s="11">
        <v>4.57</v>
      </c>
      <c r="AA34" s="11">
        <v>4.6500000000000004</v>
      </c>
      <c r="AB34" s="124">
        <v>9378300</v>
      </c>
      <c r="AC34" s="11">
        <v>4.6500000000000004</v>
      </c>
      <c r="AD34" s="53">
        <f t="shared" si="0"/>
        <v>0.14999999999999947</v>
      </c>
      <c r="AE34" s="197">
        <f t="shared" si="1"/>
        <v>-4.282655246252598E-3</v>
      </c>
    </row>
    <row r="35" spans="2:31" x14ac:dyDescent="0.25">
      <c r="W35" s="130">
        <v>42369</v>
      </c>
      <c r="X35" s="11">
        <v>4.71</v>
      </c>
      <c r="Y35" s="11">
        <v>4.72</v>
      </c>
      <c r="Z35" s="11">
        <v>4.63</v>
      </c>
      <c r="AA35" s="11">
        <v>4.67</v>
      </c>
      <c r="AB35" s="124">
        <v>9651700</v>
      </c>
      <c r="AC35" s="11">
        <v>4.67</v>
      </c>
      <c r="AD35" s="53">
        <f t="shared" si="0"/>
        <v>8.9999999999999858E-2</v>
      </c>
      <c r="AE35" s="197">
        <f t="shared" si="1"/>
        <v>2.1459227467810482E-3</v>
      </c>
    </row>
    <row r="36" spans="2:31" x14ac:dyDescent="0.25">
      <c r="W36" s="130">
        <v>42368</v>
      </c>
      <c r="X36" s="11">
        <v>4.79</v>
      </c>
      <c r="Y36" s="11">
        <v>4.82</v>
      </c>
      <c r="Z36" s="11">
        <v>4.6500000000000004</v>
      </c>
      <c r="AA36" s="11">
        <v>4.66</v>
      </c>
      <c r="AB36" s="124">
        <v>11903100</v>
      </c>
      <c r="AC36" s="11">
        <v>4.66</v>
      </c>
      <c r="AD36" s="53">
        <f t="shared" si="0"/>
        <v>0.16999999999999993</v>
      </c>
      <c r="AE36" s="197">
        <f t="shared" si="1"/>
        <v>-3.319502074688796E-2</v>
      </c>
    </row>
    <row r="37" spans="2:31" x14ac:dyDescent="0.25">
      <c r="W37" s="130">
        <v>42367</v>
      </c>
      <c r="X37" s="11">
        <v>4.8600000000000003</v>
      </c>
      <c r="Y37" s="11">
        <v>4.9000000000000004</v>
      </c>
      <c r="Z37" s="11">
        <v>4.78</v>
      </c>
      <c r="AA37" s="11">
        <v>4.82</v>
      </c>
      <c r="AB37" s="124">
        <v>8068400</v>
      </c>
      <c r="AC37" s="11">
        <v>4.82</v>
      </c>
      <c r="AD37" s="53">
        <f t="shared" si="0"/>
        <v>0.12000000000000011</v>
      </c>
      <c r="AE37" s="197">
        <f t="shared" si="1"/>
        <v>-6.1855670103091454E-3</v>
      </c>
    </row>
    <row r="38" spans="2:31" x14ac:dyDescent="0.25">
      <c r="W38" s="130">
        <v>42366</v>
      </c>
      <c r="X38" s="11">
        <v>4.83</v>
      </c>
      <c r="Y38" s="11">
        <v>4.88</v>
      </c>
      <c r="Z38" s="11">
        <v>4.7699999999999996</v>
      </c>
      <c r="AA38" s="11">
        <v>4.8499999999999996</v>
      </c>
      <c r="AB38" s="124">
        <v>8010100</v>
      </c>
      <c r="AC38" s="11">
        <v>4.8499999999999996</v>
      </c>
      <c r="AD38" s="53">
        <f t="shared" si="0"/>
        <v>0.11000000000000032</v>
      </c>
      <c r="AE38" s="197">
        <f t="shared" si="1"/>
        <v>-2.057613168724437E-3</v>
      </c>
    </row>
    <row r="39" spans="2:31" x14ac:dyDescent="0.25">
      <c r="W39" s="130">
        <v>42362</v>
      </c>
      <c r="X39" s="11">
        <v>4.8600000000000003</v>
      </c>
      <c r="Y39" s="11">
        <v>4.9000000000000004</v>
      </c>
      <c r="Z39" s="11">
        <v>4.83</v>
      </c>
      <c r="AA39" s="11">
        <v>4.8600000000000003</v>
      </c>
      <c r="AB39" s="124">
        <v>4937200</v>
      </c>
      <c r="AC39" s="11">
        <v>4.8600000000000003</v>
      </c>
      <c r="AD39" s="53">
        <f t="shared" si="0"/>
        <v>7.0000000000000284E-2</v>
      </c>
      <c r="AE39" s="197">
        <f t="shared" si="1"/>
        <v>2.0618556701033075E-3</v>
      </c>
    </row>
    <row r="40" spans="2:31" ht="20.25" thickBot="1" x14ac:dyDescent="0.35">
      <c r="O40" s="389" t="s">
        <v>78</v>
      </c>
      <c r="P40" s="389"/>
      <c r="T40" s="111" t="s">
        <v>121</v>
      </c>
      <c r="W40" s="130">
        <v>42361</v>
      </c>
      <c r="X40" s="11">
        <v>4.6900000000000004</v>
      </c>
      <c r="Y40" s="11">
        <v>4.8600000000000003</v>
      </c>
      <c r="Z40" s="11">
        <v>4.68</v>
      </c>
      <c r="AA40" s="11">
        <v>4.8499999999999996</v>
      </c>
      <c r="AB40" s="124">
        <v>16936200</v>
      </c>
      <c r="AC40" s="11">
        <v>4.8499999999999996</v>
      </c>
      <c r="AD40" s="53">
        <f t="shared" si="0"/>
        <v>0.1800000000000006</v>
      </c>
      <c r="AE40" s="197">
        <f t="shared" si="1"/>
        <v>4.3010752688171783E-2</v>
      </c>
    </row>
    <row r="41" spans="2:31" ht="15.75" thickTop="1" x14ac:dyDescent="0.25">
      <c r="O41" s="103">
        <v>1.1000000000000001</v>
      </c>
      <c r="P41" s="103">
        <f>O41*$Q$4</f>
        <v>4.8840000000000012</v>
      </c>
      <c r="Q41" s="2"/>
      <c r="T41" s="155" t="s">
        <v>106</v>
      </c>
      <c r="U41" s="156">
        <v>4.54</v>
      </c>
      <c r="W41" s="130">
        <v>42360</v>
      </c>
      <c r="X41" s="11">
        <v>4.63</v>
      </c>
      <c r="Y41" s="11">
        <v>4.6500000000000004</v>
      </c>
      <c r="Z41" s="11">
        <v>4.54</v>
      </c>
      <c r="AA41" s="11">
        <v>4.6500000000000004</v>
      </c>
      <c r="AB41" s="124">
        <v>13839800</v>
      </c>
      <c r="AC41" s="11">
        <v>4.6500000000000004</v>
      </c>
      <c r="AD41" s="53">
        <f t="shared" si="0"/>
        <v>0.11000000000000032</v>
      </c>
      <c r="AE41" s="197">
        <f t="shared" si="1"/>
        <v>2.1551724137931494E-3</v>
      </c>
    </row>
    <row r="42" spans="2:31" x14ac:dyDescent="0.25">
      <c r="O42" s="103">
        <v>1.0900000000000001</v>
      </c>
      <c r="P42" s="103">
        <f t="shared" ref="P42:P61" si="9">O42*$Q$4</f>
        <v>4.8396000000000008</v>
      </c>
      <c r="Q42" s="2"/>
      <c r="T42" s="113" t="s">
        <v>107</v>
      </c>
      <c r="U42" s="157">
        <v>4.54</v>
      </c>
      <c r="W42" s="130">
        <v>42359</v>
      </c>
      <c r="X42" s="11">
        <v>4.6900000000000004</v>
      </c>
      <c r="Y42" s="11">
        <v>4.72</v>
      </c>
      <c r="Z42" s="11">
        <v>4.59</v>
      </c>
      <c r="AA42" s="11">
        <v>4.6399999999999997</v>
      </c>
      <c r="AB42" s="124">
        <v>12131700</v>
      </c>
      <c r="AC42" s="11">
        <v>4.6399999999999997</v>
      </c>
      <c r="AD42" s="53">
        <f t="shared" si="0"/>
        <v>0.12999999999999989</v>
      </c>
      <c r="AE42" s="197">
        <f t="shared" si="1"/>
        <v>0</v>
      </c>
    </row>
    <row r="43" spans="2:31" x14ac:dyDescent="0.25">
      <c r="O43" s="103">
        <v>1.08</v>
      </c>
      <c r="P43" s="103">
        <f t="shared" si="9"/>
        <v>4.7952000000000004</v>
      </c>
      <c r="Q43" s="2"/>
      <c r="T43" s="113" t="s">
        <v>108</v>
      </c>
      <c r="U43" s="157" t="s">
        <v>473</v>
      </c>
      <c r="W43" s="130">
        <v>42356</v>
      </c>
      <c r="X43" s="11">
        <v>4.76</v>
      </c>
      <c r="Y43" s="11">
        <v>4.8099999999999996</v>
      </c>
      <c r="Z43" s="11">
        <v>4.55</v>
      </c>
      <c r="AA43" s="11">
        <v>4.6399999999999997</v>
      </c>
      <c r="AB43" s="124">
        <v>36570400</v>
      </c>
      <c r="AC43" s="11">
        <v>4.6399999999999997</v>
      </c>
      <c r="AD43" s="53">
        <f t="shared" si="0"/>
        <v>0.25999999999999979</v>
      </c>
      <c r="AE43" s="197">
        <f t="shared" si="1"/>
        <v>-3.131524008350739E-2</v>
      </c>
    </row>
    <row r="44" spans="2:31" x14ac:dyDescent="0.25">
      <c r="O44" s="103">
        <v>1.07</v>
      </c>
      <c r="P44" s="103">
        <f t="shared" si="9"/>
        <v>4.7508000000000008</v>
      </c>
      <c r="Q44" s="2"/>
      <c r="T44" s="113" t="s">
        <v>109</v>
      </c>
      <c r="U44" s="157" t="s">
        <v>474</v>
      </c>
      <c r="W44" s="130">
        <v>42355</v>
      </c>
      <c r="X44" s="11">
        <v>4.7300000000000004</v>
      </c>
      <c r="Y44" s="11">
        <v>4.8899999999999997</v>
      </c>
      <c r="Z44" s="11">
        <v>4.7300000000000004</v>
      </c>
      <c r="AA44" s="11">
        <v>4.79</v>
      </c>
      <c r="AB44" s="124">
        <v>13894200</v>
      </c>
      <c r="AC44" s="11">
        <v>4.79</v>
      </c>
      <c r="AD44" s="53">
        <f t="shared" si="0"/>
        <v>0.15999999999999925</v>
      </c>
      <c r="AE44" s="197">
        <f t="shared" si="1"/>
        <v>1.0548523206751037E-2</v>
      </c>
    </row>
    <row r="45" spans="2:31" x14ac:dyDescent="0.25">
      <c r="O45" s="103">
        <v>1.06</v>
      </c>
      <c r="P45" s="103">
        <f t="shared" si="9"/>
        <v>4.7064000000000004</v>
      </c>
      <c r="Q45" s="2"/>
      <c r="T45" s="113" t="s">
        <v>110</v>
      </c>
      <c r="U45" s="157">
        <v>6.29</v>
      </c>
      <c r="W45" s="130">
        <v>42354</v>
      </c>
      <c r="X45" s="11">
        <v>4.57</v>
      </c>
      <c r="Y45" s="11">
        <v>4.8</v>
      </c>
      <c r="Z45" s="11">
        <v>4.55</v>
      </c>
      <c r="AA45" s="11">
        <v>4.74</v>
      </c>
      <c r="AB45" s="124">
        <v>19253700</v>
      </c>
      <c r="AC45" s="11">
        <v>4.74</v>
      </c>
      <c r="AD45" s="53">
        <f t="shared" si="0"/>
        <v>0.25</v>
      </c>
      <c r="AE45" s="197">
        <f t="shared" si="1"/>
        <v>4.8672566371681603E-2</v>
      </c>
    </row>
    <row r="46" spans="2:31" x14ac:dyDescent="0.25">
      <c r="O46" s="103">
        <v>1.05</v>
      </c>
      <c r="P46" s="103">
        <f t="shared" si="9"/>
        <v>4.6620000000000008</v>
      </c>
      <c r="Q46" s="2"/>
      <c r="T46" s="113" t="s">
        <v>111</v>
      </c>
      <c r="U46" s="157">
        <v>0.70305600000000001</v>
      </c>
      <c r="W46" s="130">
        <v>42353</v>
      </c>
      <c r="X46" s="11">
        <v>4.5199999999999996</v>
      </c>
      <c r="Y46" s="11">
        <v>4.6100000000000003</v>
      </c>
      <c r="Z46" s="11">
        <v>4.4400000000000004</v>
      </c>
      <c r="AA46" s="11">
        <v>4.5199999999999996</v>
      </c>
      <c r="AB46" s="124">
        <v>17821100</v>
      </c>
      <c r="AC46" s="11">
        <v>4.5199999999999996</v>
      </c>
      <c r="AD46" s="53">
        <f t="shared" si="0"/>
        <v>0.16999999999999993</v>
      </c>
      <c r="AE46" s="197">
        <f t="shared" si="1"/>
        <v>4.444444444444251E-3</v>
      </c>
    </row>
    <row r="47" spans="2:31" x14ac:dyDescent="0.25">
      <c r="O47" s="103">
        <v>1.04</v>
      </c>
      <c r="P47" s="103">
        <f t="shared" si="9"/>
        <v>4.6176000000000004</v>
      </c>
      <c r="Q47" s="2"/>
      <c r="T47" s="113" t="s">
        <v>112</v>
      </c>
      <c r="U47" s="157" t="s">
        <v>283</v>
      </c>
      <c r="W47" s="130">
        <v>42352</v>
      </c>
      <c r="X47" s="11">
        <v>4.57</v>
      </c>
      <c r="Y47" s="11">
        <v>4.63</v>
      </c>
      <c r="Z47" s="11">
        <v>4.4800000000000004</v>
      </c>
      <c r="AA47" s="11">
        <v>4.5</v>
      </c>
      <c r="AB47" s="124">
        <v>20631700</v>
      </c>
      <c r="AC47" s="11">
        <v>4.5</v>
      </c>
      <c r="AD47" s="53">
        <f t="shared" si="0"/>
        <v>0.14999999999999947</v>
      </c>
      <c r="AE47" s="197">
        <f t="shared" si="1"/>
        <v>-1.5317286652078876E-2</v>
      </c>
    </row>
    <row r="48" spans="2:31" x14ac:dyDescent="0.25">
      <c r="O48" s="103">
        <v>1.03</v>
      </c>
      <c r="P48" s="103">
        <f t="shared" si="9"/>
        <v>4.5732000000000008</v>
      </c>
      <c r="Q48" s="2"/>
      <c r="T48" s="113"/>
      <c r="U48" s="157"/>
      <c r="W48" s="130">
        <v>42349</v>
      </c>
      <c r="X48" s="11">
        <v>4.71</v>
      </c>
      <c r="Y48" s="11">
        <v>4.78</v>
      </c>
      <c r="Z48" s="11">
        <v>4.55</v>
      </c>
      <c r="AA48" s="11">
        <v>4.57</v>
      </c>
      <c r="AB48" s="124">
        <v>19043300</v>
      </c>
      <c r="AC48" s="11">
        <v>4.57</v>
      </c>
      <c r="AD48" s="53">
        <f t="shared" si="0"/>
        <v>0.23000000000000043</v>
      </c>
      <c r="AE48" s="197" t="e">
        <f t="shared" si="1"/>
        <v>#DIV/0!</v>
      </c>
    </row>
    <row r="49" spans="15:31" x14ac:dyDescent="0.25">
      <c r="O49" s="103">
        <v>1.02</v>
      </c>
      <c r="P49" s="103">
        <f t="shared" si="9"/>
        <v>4.5288000000000004</v>
      </c>
      <c r="Q49" s="2"/>
      <c r="T49" s="113" t="s">
        <v>113</v>
      </c>
      <c r="U49" s="157" t="s">
        <v>475</v>
      </c>
      <c r="W49" s="130">
        <v>42349</v>
      </c>
      <c r="X49" s="11" t="s">
        <v>271</v>
      </c>
      <c r="Y49" s="11"/>
      <c r="Z49" s="11"/>
      <c r="AA49" s="11"/>
      <c r="AB49" s="124"/>
      <c r="AC49" s="11"/>
      <c r="AD49" s="53">
        <f t="shared" si="0"/>
        <v>0</v>
      </c>
      <c r="AE49" s="197">
        <f t="shared" si="1"/>
        <v>-1</v>
      </c>
    </row>
    <row r="50" spans="15:31" x14ac:dyDescent="0.25">
      <c r="O50" s="103">
        <v>1.01</v>
      </c>
      <c r="P50" s="103">
        <f t="shared" si="9"/>
        <v>4.4844000000000008</v>
      </c>
      <c r="Q50" s="2"/>
      <c r="T50" s="113" t="s">
        <v>114</v>
      </c>
      <c r="U50" s="157" t="s">
        <v>476</v>
      </c>
      <c r="W50" s="130">
        <v>42348</v>
      </c>
      <c r="X50" s="11">
        <v>4.9400000000000004</v>
      </c>
      <c r="Y50" s="11">
        <v>4.96</v>
      </c>
      <c r="Z50" s="11">
        <v>4.8600000000000003</v>
      </c>
      <c r="AA50" s="11">
        <v>4.88</v>
      </c>
      <c r="AB50" s="124">
        <v>14090900</v>
      </c>
      <c r="AC50" s="11">
        <v>4.78</v>
      </c>
      <c r="AD50" s="53">
        <f t="shared" si="0"/>
        <v>9.9999999999999645E-2</v>
      </c>
      <c r="AE50" s="197">
        <f t="shared" si="1"/>
        <v>-6.2370062370060708E-3</v>
      </c>
    </row>
    <row r="51" spans="15:31" x14ac:dyDescent="0.25">
      <c r="O51" s="103">
        <v>1</v>
      </c>
      <c r="P51" s="103">
        <f t="shared" si="9"/>
        <v>4.4400000000000004</v>
      </c>
      <c r="Q51" s="2"/>
      <c r="T51" s="113" t="s">
        <v>115</v>
      </c>
      <c r="U51" s="158">
        <v>11815432</v>
      </c>
      <c r="W51" s="130">
        <v>42347</v>
      </c>
      <c r="X51" s="11">
        <v>4.95</v>
      </c>
      <c r="Y51" s="11">
        <v>5.0199999999999996</v>
      </c>
      <c r="Z51" s="11">
        <v>4.8899999999999997</v>
      </c>
      <c r="AA51" s="11">
        <v>4.92</v>
      </c>
      <c r="AB51" s="124">
        <v>12212700</v>
      </c>
      <c r="AC51" s="11">
        <v>4.8099999999999996</v>
      </c>
      <c r="AD51" s="53">
        <f t="shared" si="0"/>
        <v>0.12999999999999989</v>
      </c>
      <c r="AE51" s="197">
        <f t="shared" si="1"/>
        <v>-6.1983471074380514E-3</v>
      </c>
    </row>
    <row r="52" spans="15:31" x14ac:dyDescent="0.25">
      <c r="O52" s="103">
        <v>0.99</v>
      </c>
      <c r="P52" s="103">
        <f t="shared" si="9"/>
        <v>4.3956</v>
      </c>
      <c r="Q52" s="2"/>
      <c r="T52" s="113" t="s">
        <v>118</v>
      </c>
      <c r="U52" s="158">
        <v>15152300</v>
      </c>
      <c r="W52" s="130">
        <v>42346</v>
      </c>
      <c r="X52" s="11">
        <v>5.03</v>
      </c>
      <c r="Y52" s="11">
        <v>5.08</v>
      </c>
      <c r="Z52" s="11">
        <v>4.92</v>
      </c>
      <c r="AA52" s="11">
        <v>4.95</v>
      </c>
      <c r="AB52" s="124">
        <v>14036700</v>
      </c>
      <c r="AC52" s="11">
        <v>4.84</v>
      </c>
      <c r="AD52" s="53">
        <f t="shared" si="0"/>
        <v>0.16000000000000014</v>
      </c>
      <c r="AE52" s="197">
        <f t="shared" si="1"/>
        <v>-2.2222222222222254E-2</v>
      </c>
    </row>
    <row r="53" spans="15:31" x14ac:dyDescent="0.25">
      <c r="O53" s="103">
        <v>0.98</v>
      </c>
      <c r="P53" s="103">
        <f t="shared" si="9"/>
        <v>4.3512000000000004</v>
      </c>
      <c r="Q53" s="2"/>
      <c r="T53" s="113" t="s">
        <v>116</v>
      </c>
      <c r="U53" s="157" t="s">
        <v>477</v>
      </c>
      <c r="W53" s="130">
        <v>42345</v>
      </c>
      <c r="X53" s="11">
        <v>5.08</v>
      </c>
      <c r="Y53" s="11">
        <v>5.09</v>
      </c>
      <c r="Z53" s="11">
        <v>4.9800000000000004</v>
      </c>
      <c r="AA53" s="11">
        <v>5.0599999999999996</v>
      </c>
      <c r="AB53" s="124">
        <v>9142100</v>
      </c>
      <c r="AC53" s="11">
        <v>4.95</v>
      </c>
      <c r="AD53" s="53">
        <f t="shared" si="0"/>
        <v>0.10999999999999943</v>
      </c>
      <c r="AE53" s="197">
        <f t="shared" si="1"/>
        <v>-8.0160320641282645E-3</v>
      </c>
    </row>
    <row r="54" spans="15:31" x14ac:dyDescent="0.25">
      <c r="O54" s="103">
        <v>0.97</v>
      </c>
      <c r="P54" s="103">
        <f t="shared" si="9"/>
        <v>4.3068</v>
      </c>
      <c r="T54" s="113" t="s">
        <v>119</v>
      </c>
      <c r="U54" s="157" t="s">
        <v>145</v>
      </c>
      <c r="W54" s="130">
        <v>42342</v>
      </c>
      <c r="X54" s="11">
        <v>5.03</v>
      </c>
      <c r="Y54" s="11">
        <v>5.0999999999999996</v>
      </c>
      <c r="Z54" s="11">
        <v>5.01</v>
      </c>
      <c r="AA54" s="11">
        <v>5.0999999999999996</v>
      </c>
      <c r="AB54" s="124">
        <v>9986700</v>
      </c>
      <c r="AC54" s="11">
        <v>4.99</v>
      </c>
      <c r="AD54" s="53">
        <f t="shared" si="0"/>
        <v>8.9999999999999858E-2</v>
      </c>
      <c r="AE54" s="197">
        <f t="shared" si="1"/>
        <v>1.8367346938775508E-2</v>
      </c>
    </row>
    <row r="55" spans="15:31" x14ac:dyDescent="0.25">
      <c r="O55" s="103">
        <v>0.96</v>
      </c>
      <c r="P55" s="103">
        <f t="shared" si="9"/>
        <v>4.2624000000000004</v>
      </c>
      <c r="T55" s="113" t="s">
        <v>120</v>
      </c>
      <c r="U55" s="157">
        <v>-0.14000000000000001</v>
      </c>
      <c r="W55" s="130">
        <v>42341</v>
      </c>
      <c r="X55" s="11">
        <v>5.0199999999999996</v>
      </c>
      <c r="Y55" s="11">
        <v>5.07</v>
      </c>
      <c r="Z55" s="11">
        <v>4.93</v>
      </c>
      <c r="AA55" s="11">
        <v>5.01</v>
      </c>
      <c r="AB55" s="124">
        <v>10626900</v>
      </c>
      <c r="AC55" s="11">
        <v>4.9000000000000004</v>
      </c>
      <c r="AD55" s="53">
        <f t="shared" si="0"/>
        <v>0.14000000000000057</v>
      </c>
      <c r="AE55" s="197">
        <f t="shared" si="1"/>
        <v>4.098360655737876E-3</v>
      </c>
    </row>
    <row r="56" spans="15:31" x14ac:dyDescent="0.25">
      <c r="O56" s="103">
        <v>0.95</v>
      </c>
      <c r="P56" s="103">
        <f t="shared" si="9"/>
        <v>4.218</v>
      </c>
      <c r="T56" s="113" t="s">
        <v>117</v>
      </c>
      <c r="U56" s="157" t="s">
        <v>478</v>
      </c>
      <c r="W56" s="130">
        <v>42340</v>
      </c>
      <c r="X56" s="11">
        <v>5.09</v>
      </c>
      <c r="Y56" s="11">
        <v>5.15</v>
      </c>
      <c r="Z56" s="11">
        <v>4.99</v>
      </c>
      <c r="AA56" s="11">
        <v>4.99</v>
      </c>
      <c r="AB56" s="124">
        <v>11413800</v>
      </c>
      <c r="AC56" s="11">
        <v>4.88</v>
      </c>
      <c r="AD56" s="53">
        <f t="shared" si="0"/>
        <v>0.16000000000000014</v>
      </c>
      <c r="AE56" s="197">
        <f t="shared" si="1"/>
        <v>-1.810865191146882E-2</v>
      </c>
    </row>
    <row r="57" spans="15:31" x14ac:dyDescent="0.25">
      <c r="O57" s="103">
        <v>0.94</v>
      </c>
      <c r="P57" s="103">
        <f t="shared" si="9"/>
        <v>4.1736000000000004</v>
      </c>
      <c r="W57" s="130">
        <v>42339</v>
      </c>
      <c r="X57" s="11">
        <v>4.99</v>
      </c>
      <c r="Y57" s="11">
        <v>5.0999999999999996</v>
      </c>
      <c r="Z57" s="11">
        <v>4.9800000000000004</v>
      </c>
      <c r="AA57" s="11">
        <v>5.08</v>
      </c>
      <c r="AB57" s="124">
        <v>10976100</v>
      </c>
      <c r="AC57" s="11">
        <v>4.97</v>
      </c>
      <c r="AD57" s="53">
        <f t="shared" si="0"/>
        <v>0.11999999999999922</v>
      </c>
      <c r="AE57" s="197">
        <f t="shared" si="1"/>
        <v>1.8442622950819665E-2</v>
      </c>
    </row>
    <row r="58" spans="15:31" x14ac:dyDescent="0.25">
      <c r="O58" s="103">
        <v>0.93</v>
      </c>
      <c r="P58" s="103">
        <f t="shared" si="9"/>
        <v>4.1292000000000009</v>
      </c>
      <c r="W58" s="130">
        <v>42338</v>
      </c>
      <c r="X58" s="11">
        <v>5</v>
      </c>
      <c r="Y58" s="11">
        <v>5.0199999999999996</v>
      </c>
      <c r="Z58" s="11">
        <v>4.95</v>
      </c>
      <c r="AA58" s="11">
        <v>4.99</v>
      </c>
      <c r="AB58" s="124">
        <v>10855000</v>
      </c>
      <c r="AC58" s="11">
        <v>4.88</v>
      </c>
      <c r="AD58" s="53">
        <f t="shared" si="0"/>
        <v>6.9999999999999396E-2</v>
      </c>
      <c r="AE58" s="197">
        <f t="shared" si="1"/>
        <v>6.1855670103092564E-3</v>
      </c>
    </row>
    <row r="59" spans="15:31" x14ac:dyDescent="0.25">
      <c r="O59" s="103">
        <v>0.92</v>
      </c>
      <c r="P59" s="103">
        <f t="shared" si="9"/>
        <v>4.0848000000000004</v>
      </c>
      <c r="W59" s="130">
        <v>42335</v>
      </c>
      <c r="X59" s="11">
        <v>4.91</v>
      </c>
      <c r="Y59" s="11">
        <v>5</v>
      </c>
      <c r="Z59" s="11">
        <v>4.9000000000000004</v>
      </c>
      <c r="AA59" s="11">
        <v>4.96</v>
      </c>
      <c r="AB59" s="124">
        <v>3774700</v>
      </c>
      <c r="AC59" s="11">
        <v>4.8499999999999996</v>
      </c>
      <c r="AD59" s="53">
        <f t="shared" si="0"/>
        <v>9.9999999999999645E-2</v>
      </c>
      <c r="AE59" s="197">
        <f t="shared" si="1"/>
        <v>1.2526096033402823E-2</v>
      </c>
    </row>
    <row r="60" spans="15:31" x14ac:dyDescent="0.25">
      <c r="O60" s="103">
        <v>0.91</v>
      </c>
      <c r="P60" s="103">
        <f t="shared" si="9"/>
        <v>4.0404000000000009</v>
      </c>
      <c r="W60" s="130">
        <v>42333</v>
      </c>
      <c r="X60" s="11">
        <v>4.8899999999999997</v>
      </c>
      <c r="Y60" s="11">
        <v>4.92</v>
      </c>
      <c r="Z60" s="11">
        <v>4.8600000000000003</v>
      </c>
      <c r="AA60" s="11">
        <v>4.9000000000000004</v>
      </c>
      <c r="AB60" s="124">
        <v>4933400</v>
      </c>
      <c r="AC60" s="11">
        <v>4.79</v>
      </c>
      <c r="AD60" s="53">
        <f t="shared" si="0"/>
        <v>5.9999999999999609E-2</v>
      </c>
      <c r="AE60" s="197">
        <f t="shared" si="1"/>
        <v>0</v>
      </c>
    </row>
    <row r="61" spans="15:31" x14ac:dyDescent="0.25">
      <c r="O61" s="103">
        <v>0.9</v>
      </c>
      <c r="P61" s="103">
        <f t="shared" si="9"/>
        <v>3.9960000000000004</v>
      </c>
      <c r="W61" s="130">
        <v>42332</v>
      </c>
      <c r="X61" s="11">
        <v>4.95</v>
      </c>
      <c r="Y61" s="11">
        <v>5.01</v>
      </c>
      <c r="Z61" s="11">
        <v>4.88</v>
      </c>
      <c r="AA61" s="11">
        <v>4.9000000000000004</v>
      </c>
      <c r="AB61" s="124">
        <v>13006300</v>
      </c>
      <c r="AC61" s="11">
        <v>4.79</v>
      </c>
      <c r="AD61" s="53">
        <f t="shared" si="0"/>
        <v>0.12999999999999989</v>
      </c>
      <c r="AE61" s="197">
        <f t="shared" si="1"/>
        <v>-1.2371134020618513E-2</v>
      </c>
    </row>
    <row r="62" spans="15:31" x14ac:dyDescent="0.25">
      <c r="W62" s="130">
        <v>42331</v>
      </c>
      <c r="X62" s="11">
        <v>4.92</v>
      </c>
      <c r="Y62" s="11">
        <v>5.0599999999999996</v>
      </c>
      <c r="Z62" s="11">
        <v>4.9000000000000004</v>
      </c>
      <c r="AA62" s="11">
        <v>4.96</v>
      </c>
      <c r="AB62" s="124">
        <v>11499100</v>
      </c>
      <c r="AC62" s="11">
        <v>4.8499999999999996</v>
      </c>
      <c r="AD62" s="53">
        <f t="shared" si="0"/>
        <v>0.15999999999999925</v>
      </c>
      <c r="AE62" s="197">
        <f t="shared" si="1"/>
        <v>8.3160083160083165E-3</v>
      </c>
    </row>
    <row r="63" spans="15:31" x14ac:dyDescent="0.25">
      <c r="W63" s="130">
        <v>42328</v>
      </c>
      <c r="X63" s="11">
        <v>4.99</v>
      </c>
      <c r="Y63" s="11">
        <v>4.99</v>
      </c>
      <c r="Z63" s="11">
        <v>4.9000000000000004</v>
      </c>
      <c r="AA63" s="11">
        <v>4.92</v>
      </c>
      <c r="AB63" s="124">
        <v>7442100</v>
      </c>
      <c r="AC63" s="11">
        <v>4.8099999999999996</v>
      </c>
      <c r="AD63" s="53">
        <f t="shared" si="0"/>
        <v>8.9999999999999858E-2</v>
      </c>
      <c r="AE63" s="197">
        <f t="shared" si="1"/>
        <v>-8.2474226804123418E-3</v>
      </c>
    </row>
    <row r="64" spans="15:31" x14ac:dyDescent="0.25">
      <c r="W64" s="130">
        <v>42327</v>
      </c>
      <c r="X64" s="11">
        <v>4.8899999999999997</v>
      </c>
      <c r="Y64" s="11">
        <v>4.96</v>
      </c>
      <c r="Z64" s="11">
        <v>4.8600000000000003</v>
      </c>
      <c r="AA64" s="11">
        <v>4.96</v>
      </c>
      <c r="AB64" s="124">
        <v>10563700</v>
      </c>
      <c r="AC64" s="11">
        <v>4.8499999999999996</v>
      </c>
      <c r="AD64" s="53">
        <f t="shared" si="0"/>
        <v>9.9999999999999645E-2</v>
      </c>
      <c r="AE64" s="197">
        <f t="shared" si="1"/>
        <v>1.6771488469601747E-2</v>
      </c>
    </row>
    <row r="65" spans="23:31" x14ac:dyDescent="0.25">
      <c r="W65" s="130">
        <v>42326</v>
      </c>
      <c r="X65" s="11">
        <v>4.7699999999999996</v>
      </c>
      <c r="Y65" s="11">
        <v>4.87</v>
      </c>
      <c r="Z65" s="11">
        <v>4.7699999999999996</v>
      </c>
      <c r="AA65" s="11">
        <v>4.87</v>
      </c>
      <c r="AB65" s="124">
        <v>8589500</v>
      </c>
      <c r="AC65" s="11">
        <v>4.7699999999999996</v>
      </c>
      <c r="AD65" s="53">
        <f t="shared" si="0"/>
        <v>0.10000000000000053</v>
      </c>
      <c r="AE65" s="197">
        <f t="shared" si="1"/>
        <v>1.9230769230769162E-2</v>
      </c>
    </row>
    <row r="66" spans="23:31" x14ac:dyDescent="0.25">
      <c r="W66" s="130">
        <v>42325</v>
      </c>
      <c r="X66" s="11">
        <v>4.75</v>
      </c>
      <c r="Y66" s="11">
        <v>4.8499999999999996</v>
      </c>
      <c r="Z66" s="11">
        <v>4.68</v>
      </c>
      <c r="AA66" s="11">
        <v>4.78</v>
      </c>
      <c r="AB66" s="124">
        <v>10286600</v>
      </c>
      <c r="AC66" s="11">
        <v>4.68</v>
      </c>
      <c r="AD66" s="53">
        <f t="shared" si="0"/>
        <v>0.16999999999999993</v>
      </c>
      <c r="AE66" s="197">
        <f t="shared" si="1"/>
        <v>4.2918454935620964E-3</v>
      </c>
    </row>
    <row r="67" spans="23:31" x14ac:dyDescent="0.25">
      <c r="W67" s="130">
        <v>42324</v>
      </c>
      <c r="X67" s="11">
        <v>4.6399999999999997</v>
      </c>
      <c r="Y67" s="11">
        <v>4.76</v>
      </c>
      <c r="Z67" s="11">
        <v>4.6100000000000003</v>
      </c>
      <c r="AA67" s="11">
        <v>4.76</v>
      </c>
      <c r="AB67" s="124">
        <v>7899300</v>
      </c>
      <c r="AC67" s="11">
        <v>4.66</v>
      </c>
      <c r="AD67" s="53">
        <f t="shared" ref="AD67:AD69" si="10">Y67-Z67</f>
        <v>0.14999999999999947</v>
      </c>
      <c r="AE67" s="197">
        <f t="shared" ref="AE67:AE69" si="11">AC67/AC68-1</f>
        <v>2.6431718061673992E-2</v>
      </c>
    </row>
    <row r="68" spans="23:31" x14ac:dyDescent="0.25">
      <c r="W68" s="130">
        <v>42321</v>
      </c>
      <c r="X68" s="11">
        <v>4.6900000000000004</v>
      </c>
      <c r="Y68" s="11">
        <v>4.76</v>
      </c>
      <c r="Z68" s="11">
        <v>4.62</v>
      </c>
      <c r="AA68" s="11">
        <v>4.6399999999999997</v>
      </c>
      <c r="AB68" s="124">
        <v>10823900</v>
      </c>
      <c r="AC68" s="11">
        <v>4.54</v>
      </c>
      <c r="AD68" s="53">
        <f t="shared" si="10"/>
        <v>0.13999999999999968</v>
      </c>
      <c r="AE68" s="197" t="e">
        <f t="shared" si="11"/>
        <v>#DIV/0!</v>
      </c>
    </row>
    <row r="69" spans="23:31" x14ac:dyDescent="0.25">
      <c r="W69" s="11" t="s">
        <v>130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17" priority="11">
      <formula>F15&gt;0</formula>
    </cfRule>
    <cfRule type="expression" dxfId="116" priority="12">
      <formula>F15&lt;0</formula>
    </cfRule>
  </conditionalFormatting>
  <conditionalFormatting sqref="H15:H22">
    <cfRule type="expression" dxfId="115" priority="9">
      <formula>H15&gt;0</formula>
    </cfRule>
    <cfRule type="expression" dxfId="114" priority="10">
      <formula>H15&lt;0</formula>
    </cfRule>
  </conditionalFormatting>
  <conditionalFormatting sqref="H23">
    <cfRule type="expression" dxfId="113" priority="7">
      <formula>H23&gt;0</formula>
    </cfRule>
    <cfRule type="expression" dxfId="112" priority="8">
      <formula>H23&lt;0</formula>
    </cfRule>
  </conditionalFormatting>
  <conditionalFormatting sqref="H24:H34">
    <cfRule type="expression" dxfId="111" priority="5">
      <formula>H24&gt;0</formula>
    </cfRule>
    <cfRule type="expression" dxfId="11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13" t="s">
        <v>142</v>
      </c>
      <c r="AE1" s="1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/>
      <c r="W2" s="160">
        <v>42419</v>
      </c>
      <c r="X2" s="12">
        <v>88.2</v>
      </c>
      <c r="Y2" s="12">
        <v>88.98</v>
      </c>
      <c r="Z2" s="12">
        <v>87.12</v>
      </c>
      <c r="AA2" s="12">
        <v>87.44</v>
      </c>
      <c r="AB2" s="115">
        <v>12870800</v>
      </c>
      <c r="AC2" s="12">
        <v>87.44</v>
      </c>
      <c r="AD2" s="53">
        <f>Y2-Z2</f>
        <v>1.8599999999999994</v>
      </c>
      <c r="AE2" s="197">
        <f>AC2/AC3-1</f>
        <v>-1.7417687380604563E-2</v>
      </c>
      <c r="AN2" t="s">
        <v>209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42418</v>
      </c>
      <c r="X3" s="12">
        <v>89.6</v>
      </c>
      <c r="Y3" s="12">
        <v>90.95</v>
      </c>
      <c r="Z3" s="12">
        <v>88.93</v>
      </c>
      <c r="AA3" s="12">
        <v>88.99</v>
      </c>
      <c r="AB3" s="115">
        <v>11312500</v>
      </c>
      <c r="AC3" s="12">
        <v>88.99</v>
      </c>
      <c r="AD3" s="53">
        <f t="shared" ref="AD3:AD66" si="1">Y3-Z3</f>
        <v>2.019999999999996</v>
      </c>
      <c r="AE3" s="197">
        <f t="shared" ref="AE3:AE66" si="2">AC3/AC4-1</f>
        <v>-4.1405550581916639E-3</v>
      </c>
      <c r="AH3" t="s">
        <v>247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87.44</v>
      </c>
      <c r="W4" s="160">
        <v>42417</v>
      </c>
      <c r="X4" s="12">
        <v>91.09</v>
      </c>
      <c r="Y4" s="12">
        <v>91.5</v>
      </c>
      <c r="Z4" s="12">
        <v>88.66</v>
      </c>
      <c r="AA4" s="12">
        <v>89.36</v>
      </c>
      <c r="AB4" s="115">
        <v>22648400</v>
      </c>
      <c r="AC4" s="12">
        <v>89.36</v>
      </c>
      <c r="AD4" s="53">
        <f t="shared" si="1"/>
        <v>2.8400000000000034</v>
      </c>
      <c r="AE4" s="197">
        <f t="shared" si="2"/>
        <v>-1.963795940756996E-2</v>
      </c>
      <c r="AH4" t="s">
        <v>248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4372</v>
      </c>
      <c r="T5" s="1"/>
      <c r="W5" s="160">
        <v>42416</v>
      </c>
      <c r="X5" s="12">
        <v>90.72</v>
      </c>
      <c r="Y5" s="12">
        <v>91.28</v>
      </c>
      <c r="Z5" s="12">
        <v>89.89</v>
      </c>
      <c r="AA5" s="12">
        <v>91.15</v>
      </c>
      <c r="AB5" s="115">
        <v>12101500</v>
      </c>
      <c r="AC5" s="12">
        <v>91.15</v>
      </c>
      <c r="AD5" s="53">
        <f t="shared" si="1"/>
        <v>1.3900000000000006</v>
      </c>
      <c r="AE5" s="197">
        <f t="shared" si="2"/>
        <v>1.9118962432915998E-2</v>
      </c>
      <c r="AH5" t="s">
        <v>249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42412</v>
      </c>
      <c r="X6" s="12">
        <v>88.66</v>
      </c>
      <c r="Y6" s="12">
        <v>89.88</v>
      </c>
      <c r="Z6" s="12">
        <v>86.68</v>
      </c>
      <c r="AA6" s="12">
        <v>89.44</v>
      </c>
      <c r="AB6" s="115">
        <v>11248400</v>
      </c>
      <c r="AC6" s="12">
        <v>89.44</v>
      </c>
      <c r="AD6" s="53">
        <f t="shared" si="1"/>
        <v>3.1999999999999886</v>
      </c>
      <c r="AE6" s="197">
        <f t="shared" si="2"/>
        <v>2.3809523809523725E-2</v>
      </c>
      <c r="AH6" t="s">
        <v>212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-529.71</v>
      </c>
      <c r="R7" s="243"/>
      <c r="W7" s="160">
        <v>42411</v>
      </c>
      <c r="X7" s="12">
        <v>86.5</v>
      </c>
      <c r="Y7" s="12">
        <v>88.45</v>
      </c>
      <c r="Z7" s="12">
        <v>86.01</v>
      </c>
      <c r="AA7" s="12">
        <v>87.36</v>
      </c>
      <c r="AB7" s="115">
        <v>12951000</v>
      </c>
      <c r="AC7" s="12">
        <v>87.36</v>
      </c>
      <c r="AD7" s="53">
        <f t="shared" si="1"/>
        <v>2.4399999999999977</v>
      </c>
      <c r="AE7" s="197">
        <f t="shared" si="2"/>
        <v>-5.0113895216400417E-3</v>
      </c>
    </row>
    <row r="8" spans="1:42" x14ac:dyDescent="0.25">
      <c r="F8" s="3"/>
      <c r="H8" s="91"/>
      <c r="O8" s="13" t="s">
        <v>92</v>
      </c>
      <c r="Q8" s="165">
        <f>(Q4-Q3)/Q3</f>
        <v>-0.10806636867542144</v>
      </c>
      <c r="T8" s="1"/>
      <c r="W8" s="160">
        <v>42410</v>
      </c>
      <c r="X8" s="12">
        <v>88.69</v>
      </c>
      <c r="Y8" s="12">
        <v>89.85</v>
      </c>
      <c r="Z8" s="12">
        <v>87.54</v>
      </c>
      <c r="AA8" s="12">
        <v>87.8</v>
      </c>
      <c r="AB8" s="115">
        <v>13450200</v>
      </c>
      <c r="AC8" s="12">
        <v>87.8</v>
      </c>
      <c r="AD8" s="53">
        <f t="shared" si="1"/>
        <v>2.3099999999999881</v>
      </c>
      <c r="AE8" s="197">
        <f t="shared" si="2"/>
        <v>6.3037249283668384E-3</v>
      </c>
    </row>
    <row r="9" spans="1:42" x14ac:dyDescent="0.25">
      <c r="H9" s="91"/>
      <c r="W9" s="160">
        <v>42409</v>
      </c>
      <c r="X9" s="12">
        <v>84.2</v>
      </c>
      <c r="Y9" s="12">
        <v>88.48</v>
      </c>
      <c r="Z9" s="12">
        <v>84.1</v>
      </c>
      <c r="AA9" s="12">
        <v>87.25</v>
      </c>
      <c r="AB9" s="115">
        <v>14154300</v>
      </c>
      <c r="AC9" s="12">
        <v>87.25</v>
      </c>
      <c r="AD9" s="53">
        <f t="shared" si="1"/>
        <v>4.3800000000000097</v>
      </c>
      <c r="AE9" s="197">
        <f t="shared" si="2"/>
        <v>2.3340370631010909E-2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42408</v>
      </c>
      <c r="X10" s="12">
        <v>84.19</v>
      </c>
      <c r="Y10" s="12">
        <v>86.65</v>
      </c>
      <c r="Z10" s="12">
        <v>83.86</v>
      </c>
      <c r="AA10" s="12">
        <v>85.26</v>
      </c>
      <c r="AB10" s="115">
        <v>18990000</v>
      </c>
      <c r="AC10" s="12">
        <v>85.26</v>
      </c>
      <c r="AD10" s="53">
        <f t="shared" si="1"/>
        <v>2.7900000000000063</v>
      </c>
      <c r="AE10" s="197">
        <f t="shared" si="2"/>
        <v>1.4094432699085502E-3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42405</v>
      </c>
      <c r="X11" s="12">
        <v>86.68</v>
      </c>
      <c r="Y11" s="12">
        <v>88.02</v>
      </c>
      <c r="Z11" s="12">
        <v>84.45</v>
      </c>
      <c r="AA11" s="12">
        <v>85.14</v>
      </c>
      <c r="AB11" s="115">
        <v>15584500</v>
      </c>
      <c r="AC11" s="12">
        <v>85.14</v>
      </c>
      <c r="AD11" s="53">
        <f t="shared" si="1"/>
        <v>3.5699999999999932</v>
      </c>
      <c r="AE11" s="197">
        <f t="shared" si="2"/>
        <v>-1.7766497461929043E-2</v>
      </c>
    </row>
    <row r="12" spans="1:42" x14ac:dyDescent="0.25">
      <c r="A12" s="10"/>
      <c r="B12" s="246" t="s">
        <v>122</v>
      </c>
      <c r="C12" s="246" t="s">
        <v>189</v>
      </c>
      <c r="D12" s="247" t="s">
        <v>188</v>
      </c>
      <c r="E12" s="249" t="s">
        <v>190</v>
      </c>
      <c r="F12" s="250" t="s">
        <v>65</v>
      </c>
      <c r="G12" s="294" t="s">
        <v>195</v>
      </c>
      <c r="H12" s="250" t="s">
        <v>92</v>
      </c>
      <c r="I12" s="10"/>
      <c r="J12" s="10"/>
      <c r="K12" s="10"/>
      <c r="L12" s="10"/>
      <c r="M12" s="10"/>
      <c r="N12" s="5"/>
      <c r="W12" s="160">
        <v>42404</v>
      </c>
      <c r="X12" s="12">
        <v>86.02</v>
      </c>
      <c r="Y12" s="12">
        <v>87.45</v>
      </c>
      <c r="Z12" s="12">
        <v>85.61</v>
      </c>
      <c r="AA12" s="12">
        <v>86.68</v>
      </c>
      <c r="AB12" s="115">
        <v>14494800</v>
      </c>
      <c r="AC12" s="12">
        <v>86.68</v>
      </c>
      <c r="AD12" s="53">
        <f t="shared" si="1"/>
        <v>1.8400000000000034</v>
      </c>
      <c r="AE12" s="197">
        <f t="shared" si="2"/>
        <v>3.356870008102808E-3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42403</v>
      </c>
      <c r="X13" s="12">
        <v>84.91</v>
      </c>
      <c r="Y13" s="12">
        <v>86.99</v>
      </c>
      <c r="Z13" s="12">
        <v>83.87</v>
      </c>
      <c r="AA13" s="12">
        <v>86.39</v>
      </c>
      <c r="AB13" s="115">
        <v>24471600</v>
      </c>
      <c r="AC13" s="12">
        <v>86.39</v>
      </c>
      <c r="AD13" s="53">
        <f t="shared" si="1"/>
        <v>3.1199999999999903</v>
      </c>
      <c r="AE13" s="197">
        <f t="shared" si="2"/>
        <v>4.4492806190303602E-2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42402</v>
      </c>
      <c r="X14" s="12">
        <v>84.18</v>
      </c>
      <c r="Y14" s="12">
        <v>84.22</v>
      </c>
      <c r="Z14" s="12">
        <v>81.89</v>
      </c>
      <c r="AA14" s="12">
        <v>82.71</v>
      </c>
      <c r="AB14" s="115">
        <v>16504600</v>
      </c>
      <c r="AC14" s="12">
        <v>82.71</v>
      </c>
      <c r="AD14" s="53">
        <f t="shared" si="1"/>
        <v>2.3299999999999983</v>
      </c>
      <c r="AE14" s="197">
        <f t="shared" si="2"/>
        <v>-1.5942891136228488E-2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42401</v>
      </c>
      <c r="X15" s="12">
        <v>82.32</v>
      </c>
      <c r="Y15" s="12">
        <v>84.52</v>
      </c>
      <c r="Z15" s="12">
        <v>82.28</v>
      </c>
      <c r="AA15" s="12">
        <v>84.05</v>
      </c>
      <c r="AB15" s="115">
        <v>17845100</v>
      </c>
      <c r="AC15" s="12">
        <v>84.05</v>
      </c>
      <c r="AD15" s="53">
        <f t="shared" si="1"/>
        <v>2.2399999999999949</v>
      </c>
      <c r="AE15" s="197">
        <f t="shared" si="2"/>
        <v>1.2650602409638445E-2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42398</v>
      </c>
      <c r="X16" s="12">
        <v>84.28</v>
      </c>
      <c r="Y16" s="12">
        <v>85.3</v>
      </c>
      <c r="Z16" s="12">
        <v>82.33</v>
      </c>
      <c r="AA16" s="12">
        <v>83</v>
      </c>
      <c r="AB16" s="115">
        <v>36738500</v>
      </c>
      <c r="AC16" s="12">
        <v>83</v>
      </c>
      <c r="AD16" s="53">
        <f t="shared" si="1"/>
        <v>2.9699999999999989</v>
      </c>
      <c r="AE16" s="197">
        <f t="shared" si="2"/>
        <v>-5.1753684451045334E-2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42397</v>
      </c>
      <c r="X17" s="12">
        <v>90</v>
      </c>
      <c r="Y17" s="12">
        <v>90.22</v>
      </c>
      <c r="Z17" s="12">
        <v>86.86</v>
      </c>
      <c r="AA17" s="12">
        <v>87.53</v>
      </c>
      <c r="AB17" s="115">
        <v>14115900</v>
      </c>
      <c r="AC17" s="12">
        <v>87.53</v>
      </c>
      <c r="AD17" s="53">
        <f t="shared" si="1"/>
        <v>3.3599999999999994</v>
      </c>
      <c r="AE17" s="197">
        <f t="shared" si="2"/>
        <v>-2.3429655249358361E-2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42396</v>
      </c>
      <c r="X18" s="12">
        <v>91.84</v>
      </c>
      <c r="Y18" s="12">
        <v>92.1</v>
      </c>
      <c r="Z18" s="12">
        <v>89</v>
      </c>
      <c r="AA18" s="12">
        <v>89.63</v>
      </c>
      <c r="AB18" s="115">
        <v>12421500</v>
      </c>
      <c r="AC18" s="12">
        <v>89.63</v>
      </c>
      <c r="AD18" s="53">
        <f t="shared" si="1"/>
        <v>3.0999999999999943</v>
      </c>
      <c r="AE18" s="197">
        <f t="shared" si="2"/>
        <v>-2.7979611755774791E-2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42395</v>
      </c>
      <c r="X19" s="12">
        <v>90.72</v>
      </c>
      <c r="Y19" s="12">
        <v>92.83</v>
      </c>
      <c r="Z19" s="12">
        <v>90.25</v>
      </c>
      <c r="AA19" s="12">
        <v>92.21</v>
      </c>
      <c r="AB19" s="115">
        <v>6860400</v>
      </c>
      <c r="AC19" s="12">
        <v>92.21</v>
      </c>
      <c r="AD19" s="53">
        <f t="shared" si="1"/>
        <v>2.5799999999999983</v>
      </c>
      <c r="AE19" s="197">
        <f t="shared" si="2"/>
        <v>1.7658095132987439E-2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42394</v>
      </c>
      <c r="X20" s="12">
        <v>91.53</v>
      </c>
      <c r="Y20" s="12">
        <v>93.54</v>
      </c>
      <c r="Z20" s="12">
        <v>90.43</v>
      </c>
      <c r="AA20" s="12">
        <v>90.61</v>
      </c>
      <c r="AB20" s="115">
        <v>10103600</v>
      </c>
      <c r="AC20" s="12">
        <v>90.61</v>
      </c>
      <c r="AD20" s="53">
        <f t="shared" si="1"/>
        <v>3.1099999999999994</v>
      </c>
      <c r="AE20" s="197">
        <f t="shared" si="2"/>
        <v>-1.3285418708483099E-2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42391</v>
      </c>
      <c r="X21" s="12">
        <v>90.4</v>
      </c>
      <c r="Y21" s="12">
        <v>92.07</v>
      </c>
      <c r="Z21" s="12">
        <v>89.71</v>
      </c>
      <c r="AA21" s="12">
        <v>91.83</v>
      </c>
      <c r="AB21" s="115">
        <v>9116900</v>
      </c>
      <c r="AC21" s="12">
        <v>91.83</v>
      </c>
      <c r="AD21" s="53">
        <f t="shared" si="1"/>
        <v>2.3599999999999994</v>
      </c>
      <c r="AE21" s="197">
        <f t="shared" si="2"/>
        <v>3.3307077754022751E-2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42390</v>
      </c>
      <c r="X22" s="12">
        <v>90.37</v>
      </c>
      <c r="Y22" s="12">
        <v>90.6</v>
      </c>
      <c r="Z22" s="12">
        <v>88.71</v>
      </c>
      <c r="AA22" s="12">
        <v>88.87</v>
      </c>
      <c r="AB22" s="115">
        <v>12121200</v>
      </c>
      <c r="AC22" s="12">
        <v>88.87</v>
      </c>
      <c r="AD22" s="53">
        <f t="shared" si="1"/>
        <v>1.8900000000000006</v>
      </c>
      <c r="AE22" s="197">
        <f t="shared" si="2"/>
        <v>-1.8553285477636572E-2</v>
      </c>
    </row>
    <row r="23" spans="2:31" x14ac:dyDescent="0.25">
      <c r="W23" s="160">
        <v>42389</v>
      </c>
      <c r="X23" s="12">
        <v>88</v>
      </c>
      <c r="Y23" s="12">
        <v>91.83</v>
      </c>
      <c r="Z23" s="12">
        <v>86.28</v>
      </c>
      <c r="AA23" s="12">
        <v>90.55</v>
      </c>
      <c r="AB23" s="115">
        <v>19654600</v>
      </c>
      <c r="AC23" s="12">
        <v>90.55</v>
      </c>
      <c r="AD23" s="53">
        <f t="shared" si="1"/>
        <v>5.5499999999999972</v>
      </c>
      <c r="AE23" s="197">
        <f t="shared" si="2"/>
        <v>7.2302558398218419E-3</v>
      </c>
    </row>
    <row r="24" spans="2:31" x14ac:dyDescent="0.25">
      <c r="W24" s="160">
        <v>42388</v>
      </c>
      <c r="X24" s="12">
        <v>93.14</v>
      </c>
      <c r="Y24" s="12">
        <v>93.22</v>
      </c>
      <c r="Z24" s="12">
        <v>88.85</v>
      </c>
      <c r="AA24" s="12">
        <v>89.9</v>
      </c>
      <c r="AB24" s="115">
        <v>14243300</v>
      </c>
      <c r="AC24" s="12">
        <v>89.9</v>
      </c>
      <c r="AD24" s="53">
        <f t="shared" si="1"/>
        <v>4.3700000000000045</v>
      </c>
      <c r="AE24" s="197">
        <f t="shared" si="2"/>
        <v>-2.112369337979092E-2</v>
      </c>
    </row>
    <row r="25" spans="2:31" x14ac:dyDescent="0.25">
      <c r="W25" s="160">
        <v>42384</v>
      </c>
      <c r="X25" s="12">
        <v>90.37</v>
      </c>
      <c r="Y25" s="12">
        <v>92.78</v>
      </c>
      <c r="Z25" s="12">
        <v>89.68</v>
      </c>
      <c r="AA25" s="12">
        <v>91.84</v>
      </c>
      <c r="AB25" s="115">
        <v>18108300</v>
      </c>
      <c r="AC25" s="12">
        <v>91.84</v>
      </c>
      <c r="AD25" s="53">
        <f t="shared" si="1"/>
        <v>3.0999999999999943</v>
      </c>
      <c r="AE25" s="197">
        <f t="shared" si="2"/>
        <v>-1.2685443990539613E-2</v>
      </c>
    </row>
    <row r="26" spans="2:31" x14ac:dyDescent="0.25">
      <c r="W26" s="160">
        <v>42383</v>
      </c>
      <c r="X26" s="12">
        <v>92.72</v>
      </c>
      <c r="Y26" s="12">
        <v>94.88</v>
      </c>
      <c r="Z26" s="12">
        <v>90.79</v>
      </c>
      <c r="AA26" s="12">
        <v>93.02</v>
      </c>
      <c r="AB26" s="115">
        <v>16303200</v>
      </c>
      <c r="AC26" s="12">
        <v>93.02</v>
      </c>
      <c r="AD26" s="53">
        <f t="shared" si="1"/>
        <v>4.0899999999999892</v>
      </c>
      <c r="AE26" s="197">
        <f t="shared" si="2"/>
        <v>5.1869461854332499E-3</v>
      </c>
    </row>
    <row r="27" spans="2:31" x14ac:dyDescent="0.25">
      <c r="W27" s="160">
        <v>42382</v>
      </c>
      <c r="X27" s="12">
        <v>97.25</v>
      </c>
      <c r="Y27" s="12">
        <v>98.03</v>
      </c>
      <c r="Z27" s="12">
        <v>92.12</v>
      </c>
      <c r="AA27" s="12">
        <v>92.54</v>
      </c>
      <c r="AB27" s="115">
        <v>12135700</v>
      </c>
      <c r="AC27" s="12">
        <v>92.54</v>
      </c>
      <c r="AD27" s="53">
        <f t="shared" si="1"/>
        <v>5.9099999999999966</v>
      </c>
      <c r="AE27" s="197">
        <f t="shared" si="2"/>
        <v>-4.6961894953655881E-2</v>
      </c>
    </row>
    <row r="28" spans="2:31" x14ac:dyDescent="0.25">
      <c r="W28" s="160">
        <v>42381</v>
      </c>
      <c r="X28" s="12">
        <v>96.9</v>
      </c>
      <c r="Y28" s="12">
        <v>98.49</v>
      </c>
      <c r="Z28" s="12">
        <v>95.21</v>
      </c>
      <c r="AA28" s="12">
        <v>97.1</v>
      </c>
      <c r="AB28" s="115">
        <v>9830100</v>
      </c>
      <c r="AC28" s="12">
        <v>97.1</v>
      </c>
      <c r="AD28" s="53">
        <f t="shared" si="1"/>
        <v>3.2800000000000011</v>
      </c>
      <c r="AE28" s="197">
        <f t="shared" si="2"/>
        <v>6.2176165803107253E-3</v>
      </c>
    </row>
    <row r="29" spans="2:31" x14ac:dyDescent="0.25">
      <c r="W29" s="160">
        <v>42380</v>
      </c>
      <c r="X29" s="12">
        <v>97.22</v>
      </c>
      <c r="Y29" s="12">
        <v>97.22</v>
      </c>
      <c r="Z29" s="12">
        <v>94.29</v>
      </c>
      <c r="AA29" s="12">
        <v>96.5</v>
      </c>
      <c r="AB29" s="115">
        <v>12322500</v>
      </c>
      <c r="AC29" s="12">
        <v>96.5</v>
      </c>
      <c r="AD29" s="53">
        <f t="shared" si="1"/>
        <v>2.9299999999999926</v>
      </c>
      <c r="AE29" s="197">
        <f t="shared" si="2"/>
        <v>5.1840331778119086E-4</v>
      </c>
    </row>
    <row r="30" spans="2:31" x14ac:dyDescent="0.25">
      <c r="W30" s="160">
        <v>42377</v>
      </c>
      <c r="X30" s="12">
        <v>96.9</v>
      </c>
      <c r="Y30" s="12">
        <v>97.99</v>
      </c>
      <c r="Z30" s="12">
        <v>96.41</v>
      </c>
      <c r="AA30" s="12">
        <v>96.45</v>
      </c>
      <c r="AB30" s="115">
        <v>11976000</v>
      </c>
      <c r="AC30" s="12">
        <v>96.45</v>
      </c>
      <c r="AD30" s="53">
        <f t="shared" si="1"/>
        <v>1.5799999999999983</v>
      </c>
      <c r="AE30" s="197">
        <f t="shared" si="2"/>
        <v>2.077922077922123E-3</v>
      </c>
    </row>
    <row r="31" spans="2:31" x14ac:dyDescent="0.25">
      <c r="W31" s="160">
        <v>42376</v>
      </c>
      <c r="X31" s="12">
        <v>98.06</v>
      </c>
      <c r="Y31" s="12">
        <v>99</v>
      </c>
      <c r="Z31" s="12">
        <v>96.03</v>
      </c>
      <c r="AA31" s="12">
        <v>96.25</v>
      </c>
      <c r="AB31" s="115">
        <v>12944600</v>
      </c>
      <c r="AC31" s="12">
        <v>96.25</v>
      </c>
      <c r="AD31" s="53">
        <f t="shared" si="1"/>
        <v>2.9699999999999989</v>
      </c>
      <c r="AE31" s="197">
        <f t="shared" si="2"/>
        <v>-4.0378863409770704E-2</v>
      </c>
    </row>
    <row r="32" spans="2:31" x14ac:dyDescent="0.25">
      <c r="W32" s="160">
        <v>42375</v>
      </c>
      <c r="X32" s="12">
        <v>97.57</v>
      </c>
      <c r="Y32" s="12">
        <v>100.68</v>
      </c>
      <c r="Z32" s="12">
        <v>97.52</v>
      </c>
      <c r="AA32" s="12">
        <v>100.3</v>
      </c>
      <c r="AB32" s="115">
        <v>12540700</v>
      </c>
      <c r="AC32" s="12">
        <v>100.3</v>
      </c>
      <c r="AD32" s="53">
        <f t="shared" si="1"/>
        <v>3.1600000000000108</v>
      </c>
      <c r="AE32" s="197">
        <f t="shared" si="2"/>
        <v>1.0477533749748025E-2</v>
      </c>
    </row>
    <row r="33" spans="15:31" x14ac:dyDescent="0.25">
      <c r="W33" s="160">
        <v>42374</v>
      </c>
      <c r="X33" s="12">
        <v>99.69</v>
      </c>
      <c r="Y33" s="12">
        <v>99.85</v>
      </c>
      <c r="Z33" s="12">
        <v>98.7</v>
      </c>
      <c r="AA33" s="12">
        <v>99.26</v>
      </c>
      <c r="AB33" s="115">
        <v>9260800</v>
      </c>
      <c r="AC33" s="12">
        <v>99.26</v>
      </c>
      <c r="AD33" s="53">
        <f t="shared" si="1"/>
        <v>1.1499999999999915</v>
      </c>
      <c r="AE33" s="197">
        <f t="shared" si="2"/>
        <v>1.2753800632588463E-2</v>
      </c>
    </row>
    <row r="34" spans="15:31" x14ac:dyDescent="0.25">
      <c r="W34" s="160">
        <v>42373</v>
      </c>
      <c r="X34" s="12">
        <v>99.77</v>
      </c>
      <c r="Y34" s="12">
        <v>100</v>
      </c>
      <c r="Z34" s="12">
        <v>97.01</v>
      </c>
      <c r="AA34" s="12">
        <v>98.01</v>
      </c>
      <c r="AB34" s="115">
        <v>14904400</v>
      </c>
      <c r="AC34" s="12">
        <v>98.01</v>
      </c>
      <c r="AD34" s="53">
        <f t="shared" si="1"/>
        <v>2.9899999999999949</v>
      </c>
      <c r="AE34" s="197">
        <f t="shared" si="2"/>
        <v>-3.1426030240142233E-2</v>
      </c>
    </row>
    <row r="35" spans="15:31" x14ac:dyDescent="0.25">
      <c r="W35" s="160">
        <v>42369</v>
      </c>
      <c r="X35" s="12">
        <v>102.36</v>
      </c>
      <c r="Y35" s="12">
        <v>102.42</v>
      </c>
      <c r="Z35" s="12">
        <v>101.17</v>
      </c>
      <c r="AA35" s="12">
        <v>101.19</v>
      </c>
      <c r="AB35" s="115">
        <v>6245200</v>
      </c>
      <c r="AC35" s="12">
        <v>101.19</v>
      </c>
      <c r="AD35" s="53">
        <f t="shared" si="1"/>
        <v>1.25</v>
      </c>
      <c r="AE35" s="197">
        <f t="shared" si="2"/>
        <v>-9.4949099451839825E-3</v>
      </c>
    </row>
    <row r="36" spans="15:31" x14ac:dyDescent="0.25">
      <c r="W36" s="160">
        <v>42368</v>
      </c>
      <c r="X36" s="12">
        <v>102.84</v>
      </c>
      <c r="Y36" s="12">
        <v>103.05</v>
      </c>
      <c r="Z36" s="12">
        <v>102.03</v>
      </c>
      <c r="AA36" s="12">
        <v>102.16</v>
      </c>
      <c r="AB36" s="115">
        <v>4876300</v>
      </c>
      <c r="AC36" s="12">
        <v>102.16</v>
      </c>
      <c r="AD36" s="53">
        <f t="shared" si="1"/>
        <v>1.019999999999996</v>
      </c>
      <c r="AE36" s="197">
        <f t="shared" si="2"/>
        <v>-1.1609907120743057E-2</v>
      </c>
    </row>
    <row r="37" spans="15:31" x14ac:dyDescent="0.25">
      <c r="W37" s="160">
        <v>42367</v>
      </c>
      <c r="X37" s="12">
        <v>102.25</v>
      </c>
      <c r="Y37" s="12">
        <v>103.55</v>
      </c>
      <c r="Z37" s="12">
        <v>101.57</v>
      </c>
      <c r="AA37" s="12">
        <v>103.36</v>
      </c>
      <c r="AB37" s="115">
        <v>7647300</v>
      </c>
      <c r="AC37" s="12">
        <v>103.36</v>
      </c>
      <c r="AD37" s="53">
        <f t="shared" si="1"/>
        <v>1.980000000000004</v>
      </c>
      <c r="AE37" s="197">
        <f t="shared" si="2"/>
        <v>1.6522423288748866E-2</v>
      </c>
    </row>
    <row r="38" spans="15:31" x14ac:dyDescent="0.25">
      <c r="W38" s="160">
        <v>42366</v>
      </c>
      <c r="X38" s="12">
        <v>103</v>
      </c>
      <c r="Y38" s="12">
        <v>103.31</v>
      </c>
      <c r="Z38" s="12">
        <v>101.51</v>
      </c>
      <c r="AA38" s="12">
        <v>101.68</v>
      </c>
      <c r="AB38" s="115">
        <v>5270900</v>
      </c>
      <c r="AC38" s="12">
        <v>101.68</v>
      </c>
      <c r="AD38" s="53">
        <f t="shared" si="1"/>
        <v>1.7999999999999972</v>
      </c>
      <c r="AE38" s="197">
        <f t="shared" si="2"/>
        <v>-1.8343309519212148E-2</v>
      </c>
    </row>
    <row r="39" spans="15:31" x14ac:dyDescent="0.25">
      <c r="W39" s="160">
        <v>42362</v>
      </c>
      <c r="X39" s="12">
        <v>103.35</v>
      </c>
      <c r="Y39" s="12">
        <v>103.9</v>
      </c>
      <c r="Z39" s="12">
        <v>103.15</v>
      </c>
      <c r="AA39" s="12">
        <v>103.58</v>
      </c>
      <c r="AB39" s="115">
        <v>2656900</v>
      </c>
      <c r="AC39" s="12">
        <v>103.58</v>
      </c>
      <c r="AD39" s="53">
        <f t="shared" si="1"/>
        <v>0.75</v>
      </c>
      <c r="AE39" s="197">
        <f t="shared" si="2"/>
        <v>4.26604615086279E-3</v>
      </c>
    </row>
    <row r="40" spans="15:31" x14ac:dyDescent="0.25">
      <c r="W40" s="160">
        <v>42361</v>
      </c>
      <c r="X40" s="12">
        <v>103.59</v>
      </c>
      <c r="Y40" s="12">
        <v>103.59</v>
      </c>
      <c r="Z40" s="12">
        <v>102.69</v>
      </c>
      <c r="AA40" s="12">
        <v>103.14</v>
      </c>
      <c r="AB40" s="115">
        <v>7279900</v>
      </c>
      <c r="AC40" s="12">
        <v>103.14</v>
      </c>
      <c r="AD40" s="53">
        <f t="shared" si="1"/>
        <v>0.90000000000000568</v>
      </c>
      <c r="AE40" s="197">
        <f t="shared" si="2"/>
        <v>2.7221466070386224E-3</v>
      </c>
    </row>
    <row r="41" spans="15:31" x14ac:dyDescent="0.25">
      <c r="W41" s="160">
        <v>42360</v>
      </c>
      <c r="X41" s="12">
        <v>102.99</v>
      </c>
      <c r="Y41" s="12">
        <v>103.54</v>
      </c>
      <c r="Z41" s="12">
        <v>102.49</v>
      </c>
      <c r="AA41" s="12">
        <v>102.86</v>
      </c>
      <c r="AB41" s="115">
        <v>7151200</v>
      </c>
      <c r="AC41" s="12">
        <v>102.86</v>
      </c>
      <c r="AD41" s="53">
        <f t="shared" si="1"/>
        <v>1.0500000000000114</v>
      </c>
      <c r="AE41" s="197">
        <f t="shared" si="2"/>
        <v>2.2410601188735946E-3</v>
      </c>
    </row>
    <row r="42" spans="15:31" ht="20.25" thickBot="1" x14ac:dyDescent="0.35">
      <c r="O42" s="389" t="s">
        <v>78</v>
      </c>
      <c r="P42" s="389"/>
      <c r="T42" s="111" t="s">
        <v>121</v>
      </c>
      <c r="W42" s="160">
        <v>42359</v>
      </c>
      <c r="X42" s="12">
        <v>102.21</v>
      </c>
      <c r="Y42" s="12">
        <v>103.26</v>
      </c>
      <c r="Z42" s="12">
        <v>101.63</v>
      </c>
      <c r="AA42" s="12">
        <v>102.63</v>
      </c>
      <c r="AB42" s="115">
        <v>8306500</v>
      </c>
      <c r="AC42" s="12">
        <v>102.63</v>
      </c>
      <c r="AD42" s="53">
        <f t="shared" si="1"/>
        <v>1.6300000000000097</v>
      </c>
      <c r="AE42" s="197">
        <f t="shared" si="2"/>
        <v>1.0137795275590555E-2</v>
      </c>
    </row>
    <row r="43" spans="15:31" ht="15.75" thickTop="1" x14ac:dyDescent="0.25">
      <c r="O43" s="103">
        <v>1.1000000000000001</v>
      </c>
      <c r="P43" s="103">
        <f>O43*$Q$4</f>
        <v>96.184000000000012</v>
      </c>
      <c r="Q43" s="2"/>
      <c r="T43" s="155" t="s">
        <v>106</v>
      </c>
      <c r="U43" s="118">
        <v>88.99</v>
      </c>
      <c r="W43" s="160">
        <v>42356</v>
      </c>
      <c r="X43" s="12">
        <v>101.68</v>
      </c>
      <c r="Y43" s="12">
        <v>101.99</v>
      </c>
      <c r="Z43" s="12">
        <v>100.92</v>
      </c>
      <c r="AA43" s="12">
        <v>101.6</v>
      </c>
      <c r="AB43" s="115">
        <v>15768500</v>
      </c>
      <c r="AC43" s="12">
        <v>101.6</v>
      </c>
      <c r="AD43" s="53">
        <f t="shared" si="1"/>
        <v>1.0699999999999932</v>
      </c>
      <c r="AE43" s="197">
        <f t="shared" si="2"/>
        <v>-7.4247753028526819E-3</v>
      </c>
    </row>
    <row r="44" spans="15:31" x14ac:dyDescent="0.25">
      <c r="O44" s="103">
        <v>1.0900000000000001</v>
      </c>
      <c r="P44" s="103">
        <f t="shared" ref="P44:P63" si="6">O44*$Q$4</f>
        <v>95.309600000000003</v>
      </c>
      <c r="Q44" s="2"/>
      <c r="T44" s="113" t="s">
        <v>107</v>
      </c>
      <c r="U44" s="108">
        <v>88.29</v>
      </c>
      <c r="W44" s="160">
        <v>42355</v>
      </c>
      <c r="X44" s="12">
        <v>104.25</v>
      </c>
      <c r="Y44" s="12">
        <v>104.79</v>
      </c>
      <c r="Z44" s="12">
        <v>102.33</v>
      </c>
      <c r="AA44" s="12">
        <v>102.36</v>
      </c>
      <c r="AB44" s="115">
        <v>7614400</v>
      </c>
      <c r="AC44" s="12">
        <v>102.36</v>
      </c>
      <c r="AD44" s="53">
        <f t="shared" si="1"/>
        <v>2.460000000000008</v>
      </c>
      <c r="AE44" s="197">
        <f t="shared" si="2"/>
        <v>-9.4832591445713765E-3</v>
      </c>
    </row>
    <row r="45" spans="15:31" x14ac:dyDescent="0.25">
      <c r="O45" s="103">
        <v>1.08</v>
      </c>
      <c r="P45" s="103">
        <f t="shared" si="6"/>
        <v>94.435200000000009</v>
      </c>
      <c r="Q45" s="2"/>
      <c r="T45" s="113" t="s">
        <v>108</v>
      </c>
      <c r="U45" s="108" t="s">
        <v>406</v>
      </c>
      <c r="W45" s="160">
        <v>42354</v>
      </c>
      <c r="X45" s="12">
        <v>103.18</v>
      </c>
      <c r="Y45" s="12">
        <v>103.49</v>
      </c>
      <c r="Z45" s="12">
        <v>101.64</v>
      </c>
      <c r="AA45" s="12">
        <v>103.34</v>
      </c>
      <c r="AB45" s="115">
        <v>10950300</v>
      </c>
      <c r="AC45" s="12">
        <v>103.34</v>
      </c>
      <c r="AD45" s="53">
        <f t="shared" si="1"/>
        <v>1.8499999999999943</v>
      </c>
      <c r="AE45" s="197">
        <f t="shared" si="2"/>
        <v>1.3435324114935865E-2</v>
      </c>
    </row>
    <row r="46" spans="15:31" x14ac:dyDescent="0.25">
      <c r="O46" s="103">
        <v>1.07</v>
      </c>
      <c r="P46" s="103">
        <f t="shared" si="6"/>
        <v>93.5608</v>
      </c>
      <c r="Q46" s="2"/>
      <c r="T46" s="113" t="s">
        <v>109</v>
      </c>
      <c r="U46" s="108" t="s">
        <v>407</v>
      </c>
      <c r="W46" s="160">
        <v>42353</v>
      </c>
      <c r="X46" s="12">
        <v>101.74</v>
      </c>
      <c r="Y46" s="12">
        <v>103</v>
      </c>
      <c r="Z46" s="12">
        <v>101.44</v>
      </c>
      <c r="AA46" s="12">
        <v>101.97</v>
      </c>
      <c r="AB46" s="115">
        <v>11678500</v>
      </c>
      <c r="AC46" s="12">
        <v>101.97</v>
      </c>
      <c r="AD46" s="53">
        <f t="shared" si="1"/>
        <v>1.5600000000000023</v>
      </c>
      <c r="AE46" s="197">
        <f t="shared" si="2"/>
        <v>1.472783361528518E-2</v>
      </c>
    </row>
    <row r="47" spans="15:31" x14ac:dyDescent="0.25">
      <c r="O47" s="103">
        <v>1.06</v>
      </c>
      <c r="P47" s="103">
        <f t="shared" si="6"/>
        <v>92.686400000000006</v>
      </c>
      <c r="Q47" s="2"/>
      <c r="T47" s="113" t="s">
        <v>110</v>
      </c>
      <c r="U47" s="108">
        <v>116.68</v>
      </c>
      <c r="W47" s="160">
        <v>42352</v>
      </c>
      <c r="X47" s="12">
        <v>99.97</v>
      </c>
      <c r="Y47" s="12">
        <v>100.93</v>
      </c>
      <c r="Z47" s="12">
        <v>98.66</v>
      </c>
      <c r="AA47" s="12">
        <v>100.49</v>
      </c>
      <c r="AB47" s="115">
        <v>10251300</v>
      </c>
      <c r="AC47" s="12">
        <v>100.49</v>
      </c>
      <c r="AD47" s="53">
        <f t="shared" si="1"/>
        <v>2.2700000000000102</v>
      </c>
      <c r="AE47" s="197" t="e">
        <f t="shared" si="2"/>
        <v>#DIV/0!</v>
      </c>
    </row>
    <row r="48" spans="15:31" x14ac:dyDescent="0.25">
      <c r="O48" s="103">
        <v>1.05</v>
      </c>
      <c r="P48" s="103">
        <f t="shared" si="6"/>
        <v>91.811999999999998</v>
      </c>
      <c r="Q48" s="2"/>
      <c r="T48" s="113" t="s">
        <v>111</v>
      </c>
      <c r="U48" s="108">
        <v>1.40682</v>
      </c>
      <c r="W48" s="160">
        <v>42352</v>
      </c>
      <c r="X48" s="12" t="s">
        <v>167</v>
      </c>
      <c r="Y48" s="12"/>
      <c r="Z48" s="12"/>
      <c r="AA48" s="12"/>
      <c r="AB48" s="115"/>
      <c r="AC48" s="12"/>
      <c r="AD48" s="53">
        <f t="shared" si="1"/>
        <v>0</v>
      </c>
      <c r="AE48" s="197">
        <f t="shared" si="2"/>
        <v>-1</v>
      </c>
    </row>
    <row r="49" spans="15:31" x14ac:dyDescent="0.25">
      <c r="O49" s="103">
        <v>1.04</v>
      </c>
      <c r="P49" s="103">
        <f t="shared" si="6"/>
        <v>90.937600000000003</v>
      </c>
      <c r="Q49" s="2"/>
      <c r="T49" s="113" t="s">
        <v>131</v>
      </c>
      <c r="U49" s="108" t="s">
        <v>296</v>
      </c>
      <c r="W49" s="160">
        <v>42349</v>
      </c>
      <c r="X49" s="12">
        <v>101.35</v>
      </c>
      <c r="Y49" s="12">
        <v>102.47</v>
      </c>
      <c r="Z49" s="12">
        <v>99.67</v>
      </c>
      <c r="AA49" s="12">
        <v>100.03</v>
      </c>
      <c r="AB49" s="115">
        <v>9518900</v>
      </c>
      <c r="AC49" s="12">
        <v>99.6</v>
      </c>
      <c r="AD49" s="53">
        <f t="shared" si="1"/>
        <v>2.7999999999999972</v>
      </c>
      <c r="AE49" s="197">
        <f t="shared" si="2"/>
        <v>-2.5249559600704741E-2</v>
      </c>
    </row>
    <row r="50" spans="15:31" x14ac:dyDescent="0.25">
      <c r="O50" s="103">
        <v>1.03</v>
      </c>
      <c r="P50" s="103">
        <f t="shared" si="6"/>
        <v>90.063199999999995</v>
      </c>
      <c r="Q50" s="2"/>
      <c r="T50" s="113"/>
      <c r="U50" s="108"/>
      <c r="W50" s="160">
        <v>42348</v>
      </c>
      <c r="X50" s="12">
        <v>102.45</v>
      </c>
      <c r="Y50" s="12">
        <v>103.06</v>
      </c>
      <c r="Z50" s="12">
        <v>101.56</v>
      </c>
      <c r="AA50" s="12">
        <v>102.62</v>
      </c>
      <c r="AB50" s="115">
        <v>7653300</v>
      </c>
      <c r="AC50" s="12">
        <v>102.18</v>
      </c>
      <c r="AD50" s="53">
        <f t="shared" si="1"/>
        <v>1.5</v>
      </c>
      <c r="AE50" s="197">
        <f t="shared" si="2"/>
        <v>6.6003349423702229E-3</v>
      </c>
    </row>
    <row r="51" spans="15:31" x14ac:dyDescent="0.25">
      <c r="O51" s="103">
        <v>1.02</v>
      </c>
      <c r="P51" s="103">
        <f t="shared" si="6"/>
        <v>89.188800000000001</v>
      </c>
      <c r="Q51" s="2"/>
      <c r="T51" s="113" t="s">
        <v>113</v>
      </c>
      <c r="U51" s="108" t="s">
        <v>408</v>
      </c>
      <c r="W51" s="160">
        <v>42347</v>
      </c>
      <c r="X51" s="12">
        <v>103.25</v>
      </c>
      <c r="Y51" s="12">
        <v>104.33</v>
      </c>
      <c r="Z51" s="12">
        <v>101.5</v>
      </c>
      <c r="AA51" s="12">
        <v>101.95</v>
      </c>
      <c r="AB51" s="115">
        <v>7534900</v>
      </c>
      <c r="AC51" s="12">
        <v>101.51</v>
      </c>
      <c r="AD51" s="53">
        <f t="shared" si="1"/>
        <v>2.8299999999999983</v>
      </c>
      <c r="AE51" s="197">
        <f t="shared" si="2"/>
        <v>-1.5230888630190065E-2</v>
      </c>
    </row>
    <row r="52" spans="15:31" x14ac:dyDescent="0.25">
      <c r="O52" s="103">
        <v>1.01</v>
      </c>
      <c r="P52" s="103">
        <f t="shared" si="6"/>
        <v>88.314399999999992</v>
      </c>
      <c r="Q52" s="2"/>
      <c r="T52" s="113" t="s">
        <v>114</v>
      </c>
      <c r="U52" s="108" t="s">
        <v>297</v>
      </c>
      <c r="W52" s="160">
        <v>42346</v>
      </c>
      <c r="X52" s="12">
        <v>102.07</v>
      </c>
      <c r="Y52" s="12">
        <v>104.07</v>
      </c>
      <c r="Z52" s="12">
        <v>101.73</v>
      </c>
      <c r="AA52" s="12">
        <v>103.53</v>
      </c>
      <c r="AB52" s="115">
        <v>6675600</v>
      </c>
      <c r="AC52" s="12">
        <v>103.08</v>
      </c>
      <c r="AD52" s="53">
        <f t="shared" si="1"/>
        <v>2.3399999999999892</v>
      </c>
      <c r="AE52" s="197">
        <f t="shared" si="2"/>
        <v>5.9529618424905006E-3</v>
      </c>
    </row>
    <row r="53" spans="15:31" x14ac:dyDescent="0.25">
      <c r="O53" s="103">
        <v>1</v>
      </c>
      <c r="P53" s="103">
        <f t="shared" si="6"/>
        <v>87.44</v>
      </c>
      <c r="Q53" s="2"/>
      <c r="T53" s="113" t="s">
        <v>115</v>
      </c>
      <c r="U53" s="110">
        <v>12897807</v>
      </c>
      <c r="W53" s="160">
        <v>42345</v>
      </c>
      <c r="X53" s="12">
        <v>104.11</v>
      </c>
      <c r="Y53" s="12">
        <v>104.15</v>
      </c>
      <c r="Z53" s="12">
        <v>102.25</v>
      </c>
      <c r="AA53" s="12">
        <v>102.91</v>
      </c>
      <c r="AB53" s="115">
        <v>5956100</v>
      </c>
      <c r="AC53" s="12">
        <v>102.47</v>
      </c>
      <c r="AD53" s="53">
        <f t="shared" si="1"/>
        <v>1.9000000000000057</v>
      </c>
      <c r="AE53" s="197">
        <f t="shared" si="2"/>
        <v>-1.1098243582320033E-2</v>
      </c>
    </row>
    <row r="54" spans="15:31" x14ac:dyDescent="0.25">
      <c r="O54" s="103">
        <v>0.99</v>
      </c>
      <c r="P54" s="103">
        <f t="shared" si="6"/>
        <v>86.565600000000003</v>
      </c>
      <c r="Q54" s="2"/>
      <c r="T54" s="113" t="s">
        <v>118</v>
      </c>
      <c r="U54" s="110">
        <v>11625800</v>
      </c>
      <c r="W54" s="160">
        <v>42342</v>
      </c>
      <c r="X54" s="12">
        <v>101.44</v>
      </c>
      <c r="Y54" s="12">
        <v>104.16</v>
      </c>
      <c r="Z54" s="12">
        <v>101.25</v>
      </c>
      <c r="AA54" s="12">
        <v>104.07</v>
      </c>
      <c r="AB54" s="115">
        <v>8738300</v>
      </c>
      <c r="AC54" s="12">
        <v>103.62</v>
      </c>
      <c r="AD54" s="53">
        <f t="shared" si="1"/>
        <v>2.9099999999999966</v>
      </c>
      <c r="AE54" s="197">
        <f t="shared" si="2"/>
        <v>2.6550425995641058E-2</v>
      </c>
    </row>
    <row r="55" spans="15:31" x14ac:dyDescent="0.25">
      <c r="O55" s="103">
        <v>0.98</v>
      </c>
      <c r="P55" s="103">
        <f t="shared" si="6"/>
        <v>85.691199999999995</v>
      </c>
      <c r="Q55" s="2"/>
      <c r="T55" s="113" t="s">
        <v>116</v>
      </c>
      <c r="U55" s="108" t="s">
        <v>409</v>
      </c>
      <c r="W55" s="160">
        <v>42341</v>
      </c>
      <c r="X55" s="12">
        <v>104.32</v>
      </c>
      <c r="Y55" s="12">
        <v>104.59</v>
      </c>
      <c r="Z55" s="12">
        <v>100.5</v>
      </c>
      <c r="AA55" s="12">
        <v>101.38</v>
      </c>
      <c r="AB55" s="115">
        <v>13772400</v>
      </c>
      <c r="AC55" s="12">
        <v>100.94</v>
      </c>
      <c r="AD55" s="53">
        <f t="shared" si="1"/>
        <v>4.0900000000000034</v>
      </c>
      <c r="AE55" s="197">
        <f t="shared" si="2"/>
        <v>-2.9329743244542739E-2</v>
      </c>
    </row>
    <row r="56" spans="15:31" x14ac:dyDescent="0.25">
      <c r="O56" s="103">
        <v>0.97</v>
      </c>
      <c r="P56" s="103">
        <f t="shared" si="6"/>
        <v>84.816800000000001</v>
      </c>
      <c r="T56" s="113" t="s">
        <v>119</v>
      </c>
      <c r="U56" s="108">
        <v>7.34</v>
      </c>
      <c r="W56" s="160">
        <v>42340</v>
      </c>
      <c r="X56" s="12">
        <v>105</v>
      </c>
      <c r="Y56" s="12">
        <v>105.57</v>
      </c>
      <c r="Z56" s="12">
        <v>104.3</v>
      </c>
      <c r="AA56" s="12">
        <v>104.44</v>
      </c>
      <c r="AB56" s="115">
        <v>8850500</v>
      </c>
      <c r="AC56" s="12">
        <v>103.99</v>
      </c>
      <c r="AD56" s="53">
        <f t="shared" si="1"/>
        <v>1.269999999999996</v>
      </c>
      <c r="AE56" s="197">
        <f t="shared" si="2"/>
        <v>-1.3283992788689636E-2</v>
      </c>
    </row>
    <row r="57" spans="15:31" x14ac:dyDescent="0.25">
      <c r="O57" s="103">
        <v>0.96</v>
      </c>
      <c r="P57" s="103">
        <f t="shared" si="6"/>
        <v>83.942399999999992</v>
      </c>
      <c r="T57" s="113" t="s">
        <v>120</v>
      </c>
      <c r="U57" s="108">
        <v>11.91</v>
      </c>
      <c r="W57" s="160">
        <v>42339</v>
      </c>
      <c r="X57" s="12">
        <v>106.35</v>
      </c>
      <c r="Y57" s="12">
        <v>107.38</v>
      </c>
      <c r="Z57" s="12">
        <v>104.65</v>
      </c>
      <c r="AA57" s="12">
        <v>105.85</v>
      </c>
      <c r="AB57" s="115">
        <v>10659500</v>
      </c>
      <c r="AC57" s="12">
        <v>105.39</v>
      </c>
      <c r="AD57" s="53">
        <f t="shared" si="1"/>
        <v>2.7299999999999898</v>
      </c>
      <c r="AE57" s="197">
        <f t="shared" si="2"/>
        <v>-1.042654028436063E-3</v>
      </c>
    </row>
    <row r="58" spans="15:31" x14ac:dyDescent="0.25">
      <c r="O58" s="103">
        <v>0.95</v>
      </c>
      <c r="P58" s="103">
        <f t="shared" si="6"/>
        <v>83.067999999999998</v>
      </c>
      <c r="T58" s="113" t="s">
        <v>117</v>
      </c>
      <c r="U58" s="108" t="s">
        <v>410</v>
      </c>
      <c r="W58" s="160">
        <v>42338</v>
      </c>
      <c r="X58" s="12">
        <v>108.21</v>
      </c>
      <c r="Y58" s="12">
        <v>108.31</v>
      </c>
      <c r="Z58" s="12">
        <v>105.69</v>
      </c>
      <c r="AA58" s="12">
        <v>105.96</v>
      </c>
      <c r="AB58" s="115">
        <v>9837800</v>
      </c>
      <c r="AC58" s="12">
        <v>105.5</v>
      </c>
      <c r="AD58" s="53">
        <f t="shared" si="1"/>
        <v>2.6200000000000045</v>
      </c>
      <c r="AE58" s="197">
        <f t="shared" si="2"/>
        <v>-1.8969685698344896E-2</v>
      </c>
    </row>
    <row r="59" spans="15:31" x14ac:dyDescent="0.25">
      <c r="O59" s="103">
        <v>0.94</v>
      </c>
      <c r="P59" s="103">
        <f t="shared" si="6"/>
        <v>82.193599999999989</v>
      </c>
      <c r="W59" s="160">
        <v>42335</v>
      </c>
      <c r="X59" s="12">
        <v>108.14</v>
      </c>
      <c r="Y59" s="12">
        <v>108.63</v>
      </c>
      <c r="Z59" s="12">
        <v>107.62</v>
      </c>
      <c r="AA59" s="12">
        <v>108</v>
      </c>
      <c r="AB59" s="115">
        <v>2749200</v>
      </c>
      <c r="AC59" s="12">
        <v>107.54</v>
      </c>
      <c r="AD59" s="53">
        <f t="shared" si="1"/>
        <v>1.0099999999999909</v>
      </c>
      <c r="AE59" s="197">
        <f t="shared" si="2"/>
        <v>2.0499440924339751E-3</v>
      </c>
    </row>
    <row r="60" spans="15:31" x14ac:dyDescent="0.25">
      <c r="O60" s="103">
        <v>0.93</v>
      </c>
      <c r="P60" s="103">
        <f t="shared" si="6"/>
        <v>81.319200000000009</v>
      </c>
      <c r="W60" s="160">
        <v>42333</v>
      </c>
      <c r="X60" s="12">
        <v>106.57</v>
      </c>
      <c r="Y60" s="12">
        <v>108.07</v>
      </c>
      <c r="Z60" s="12">
        <v>106.31</v>
      </c>
      <c r="AA60" s="12">
        <v>107.78</v>
      </c>
      <c r="AB60" s="115">
        <v>5720500</v>
      </c>
      <c r="AC60" s="12">
        <v>107.32</v>
      </c>
      <c r="AD60" s="53">
        <f t="shared" si="1"/>
        <v>1.7599999999999909</v>
      </c>
      <c r="AE60" s="197">
        <f t="shared" si="2"/>
        <v>1.1403260767128387E-2</v>
      </c>
    </row>
    <row r="61" spans="15:31" x14ac:dyDescent="0.25">
      <c r="O61" s="103">
        <v>0.92</v>
      </c>
      <c r="P61" s="103">
        <f t="shared" si="6"/>
        <v>80.444800000000001</v>
      </c>
      <c r="W61" s="160">
        <v>42332</v>
      </c>
      <c r="X61" s="12">
        <v>105.75</v>
      </c>
      <c r="Y61" s="12">
        <v>106.8</v>
      </c>
      <c r="Z61" s="12">
        <v>105.5</v>
      </c>
      <c r="AA61" s="12">
        <v>106.57</v>
      </c>
      <c r="AB61" s="115">
        <v>6547100</v>
      </c>
      <c r="AC61" s="12">
        <v>106.11</v>
      </c>
      <c r="AD61" s="53">
        <f t="shared" si="1"/>
        <v>1.2999999999999972</v>
      </c>
      <c r="AE61" s="197">
        <f t="shared" si="2"/>
        <v>1.9830028328611249E-3</v>
      </c>
    </row>
    <row r="62" spans="15:31" x14ac:dyDescent="0.25">
      <c r="O62" s="103">
        <v>0.91</v>
      </c>
      <c r="P62" s="103">
        <f t="shared" si="6"/>
        <v>79.570400000000006</v>
      </c>
      <c r="W62" s="160">
        <v>42331</v>
      </c>
      <c r="X62" s="12">
        <v>106.7</v>
      </c>
      <c r="Y62" s="12">
        <v>107.65</v>
      </c>
      <c r="Z62" s="12">
        <v>105.93</v>
      </c>
      <c r="AA62" s="12">
        <v>106.36</v>
      </c>
      <c r="AB62" s="115">
        <v>5481700</v>
      </c>
      <c r="AC62" s="12">
        <v>105.9</v>
      </c>
      <c r="AD62" s="53">
        <f t="shared" si="1"/>
        <v>1.7199999999999989</v>
      </c>
      <c r="AE62" s="197">
        <f t="shared" si="2"/>
        <v>-1.6968325791854033E-3</v>
      </c>
    </row>
    <row r="63" spans="15:31" x14ac:dyDescent="0.25">
      <c r="O63" s="103">
        <v>0.9</v>
      </c>
      <c r="P63" s="103">
        <f t="shared" si="6"/>
        <v>78.695999999999998</v>
      </c>
      <c r="W63" s="160">
        <v>42328</v>
      </c>
      <c r="X63" s="12">
        <v>107.34</v>
      </c>
      <c r="Y63" s="12">
        <v>107.97</v>
      </c>
      <c r="Z63" s="12">
        <v>106.42</v>
      </c>
      <c r="AA63" s="12">
        <v>106.54</v>
      </c>
      <c r="AB63" s="115">
        <v>7113200</v>
      </c>
      <c r="AC63" s="12">
        <v>106.08</v>
      </c>
      <c r="AD63" s="53">
        <f t="shared" si="1"/>
        <v>1.5499999999999972</v>
      </c>
      <c r="AE63" s="197">
        <f t="shared" si="2"/>
        <v>2.8288543140031486E-4</v>
      </c>
    </row>
    <row r="64" spans="15:31" x14ac:dyDescent="0.25">
      <c r="W64" s="160">
        <v>42327</v>
      </c>
      <c r="X64" s="12">
        <v>108</v>
      </c>
      <c r="Y64" s="12">
        <v>108.05</v>
      </c>
      <c r="Z64" s="12">
        <v>106.21</v>
      </c>
      <c r="AA64" s="12">
        <v>106.51</v>
      </c>
      <c r="AB64" s="115">
        <v>7019600</v>
      </c>
      <c r="AC64" s="12">
        <v>106.05</v>
      </c>
      <c r="AD64" s="53">
        <f t="shared" si="1"/>
        <v>1.8400000000000034</v>
      </c>
      <c r="AE64" s="197">
        <f t="shared" si="2"/>
        <v>-1.5045973808860413E-2</v>
      </c>
    </row>
    <row r="65" spans="23:31" x14ac:dyDescent="0.25">
      <c r="W65" s="160">
        <v>42326</v>
      </c>
      <c r="X65" s="12">
        <v>104.49</v>
      </c>
      <c r="Y65" s="12">
        <v>108.22</v>
      </c>
      <c r="Z65" s="12">
        <v>104.45</v>
      </c>
      <c r="AA65" s="12">
        <v>108.13</v>
      </c>
      <c r="AB65" s="115">
        <v>8246800</v>
      </c>
      <c r="AC65" s="12">
        <v>107.67</v>
      </c>
      <c r="AD65" s="53">
        <f t="shared" si="1"/>
        <v>3.769999999999996</v>
      </c>
      <c r="AE65" s="197">
        <f t="shared" si="2"/>
        <v>3.4492697924673354E-2</v>
      </c>
    </row>
    <row r="66" spans="23:31" x14ac:dyDescent="0.25">
      <c r="W66" s="160">
        <v>42325</v>
      </c>
      <c r="X66" s="12">
        <v>104.45</v>
      </c>
      <c r="Y66" s="12">
        <v>104.89</v>
      </c>
      <c r="Z66" s="12">
        <v>103.5</v>
      </c>
      <c r="AA66" s="12">
        <v>104.53</v>
      </c>
      <c r="AB66" s="115">
        <v>6921800</v>
      </c>
      <c r="AC66" s="12">
        <v>104.08</v>
      </c>
      <c r="AD66" s="53">
        <f t="shared" si="1"/>
        <v>1.3900000000000006</v>
      </c>
      <c r="AE66" s="197">
        <f t="shared" si="2"/>
        <v>6.9659442724459009E-3</v>
      </c>
    </row>
    <row r="67" spans="23:31" x14ac:dyDescent="0.25">
      <c r="W67" s="160">
        <v>42324</v>
      </c>
      <c r="X67" s="12">
        <v>102.9</v>
      </c>
      <c r="Y67" s="12">
        <v>104</v>
      </c>
      <c r="Z67" s="12">
        <v>101.64</v>
      </c>
      <c r="AA67" s="12">
        <v>103.81</v>
      </c>
      <c r="AB67" s="115">
        <v>7344200</v>
      </c>
      <c r="AC67" s="12">
        <v>103.36</v>
      </c>
      <c r="AD67" s="53">
        <f t="shared" ref="AD67:AD69" si="7">Y67-Z67</f>
        <v>2.3599999999999994</v>
      </c>
      <c r="AE67" s="197">
        <f t="shared" ref="AE67:AE69" si="8">AC67/AC68-1</f>
        <v>1.2043474003720744E-2</v>
      </c>
    </row>
    <row r="68" spans="23:31" x14ac:dyDescent="0.25">
      <c r="W68" s="160">
        <v>42321</v>
      </c>
      <c r="X68" s="12">
        <v>104.09</v>
      </c>
      <c r="Y68" s="12">
        <v>104.18</v>
      </c>
      <c r="Z68" s="12">
        <v>102.12</v>
      </c>
      <c r="AA68" s="12">
        <v>102.57</v>
      </c>
      <c r="AB68" s="115">
        <v>10848400</v>
      </c>
      <c r="AC68" s="12">
        <v>102.13</v>
      </c>
      <c r="AD68" s="53">
        <f t="shared" si="7"/>
        <v>2.0600000000000023</v>
      </c>
      <c r="AE68" s="197" t="e">
        <f t="shared" si="8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107" priority="20">
      <formula>Q7&gt;0</formula>
    </cfRule>
    <cfRule type="expression" dxfId="106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105" priority="13">
      <formula>F20&gt;0</formula>
    </cfRule>
    <cfRule type="expression" dxfId="104" priority="14">
      <formula>F20&lt;0</formula>
    </cfRule>
  </conditionalFormatting>
  <conditionalFormatting sqref="H20">
    <cfRule type="expression" dxfId="103" priority="9">
      <formula>H20&gt;0</formula>
    </cfRule>
    <cfRule type="expression" dxfId="102" priority="10">
      <formula>H20&lt;0</formula>
    </cfRule>
  </conditionalFormatting>
  <conditionalFormatting sqref="H21">
    <cfRule type="expression" dxfId="101" priority="7">
      <formula>H21&gt;0</formula>
    </cfRule>
    <cfRule type="expression" dxfId="100" priority="8">
      <formula>H21&lt;0</formula>
    </cfRule>
  </conditionalFormatting>
  <conditionalFormatting sqref="H22">
    <cfRule type="expression" dxfId="99" priority="5">
      <formula>H22&gt;0</formula>
    </cfRule>
    <cfRule type="expression" dxfId="98" priority="6">
      <formula>H22&lt;0</formula>
    </cfRule>
  </conditionalFormatting>
  <conditionalFormatting sqref="F13:F19">
    <cfRule type="expression" dxfId="97" priority="3">
      <formula>F13&gt;0</formula>
    </cfRule>
    <cfRule type="expression" dxfId="96" priority="4">
      <formula>F13&lt;0</formula>
    </cfRule>
  </conditionalFormatting>
  <conditionalFormatting sqref="H13:H19">
    <cfRule type="expression" dxfId="95" priority="1">
      <formula>H13&gt;0</formula>
    </cfRule>
    <cfRule type="expression" dxfId="9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42419</v>
      </c>
      <c r="X2" s="12">
        <v>46.93</v>
      </c>
      <c r="Y2" s="12">
        <v>47.32</v>
      </c>
      <c r="Z2" s="12">
        <v>46.57</v>
      </c>
      <c r="AA2" s="12">
        <v>46.66</v>
      </c>
      <c r="AB2" s="115">
        <v>203700</v>
      </c>
      <c r="AC2" s="12">
        <v>46.66</v>
      </c>
      <c r="AD2" s="2">
        <f>Y2-Z2</f>
        <v>0.75</v>
      </c>
      <c r="AE2" s="165">
        <f>AC2/AC3-1</f>
        <v>-1.144067796610182E-2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46.66</v>
      </c>
      <c r="W3" s="160">
        <v>42418</v>
      </c>
      <c r="X3" s="12">
        <v>47.35</v>
      </c>
      <c r="Y3" s="12">
        <v>47.63</v>
      </c>
      <c r="Z3" s="12">
        <v>47.06</v>
      </c>
      <c r="AA3" s="12">
        <v>47.2</v>
      </c>
      <c r="AB3" s="115">
        <v>191700</v>
      </c>
      <c r="AC3" s="12">
        <v>47.2</v>
      </c>
      <c r="AD3" s="2">
        <f t="shared" ref="AD3:AD66" si="0">Y3-Z3</f>
        <v>0.57000000000000028</v>
      </c>
      <c r="AE3" s="165" t="e">
        <f t="shared" ref="AE3:AE66" si="1">AC3/AC4-1</f>
        <v>#DIV/0!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46.66</v>
      </c>
      <c r="W4" s="160">
        <v>42418</v>
      </c>
      <c r="X4" s="12" t="s">
        <v>416</v>
      </c>
      <c r="Y4" s="12"/>
      <c r="Z4" s="12"/>
      <c r="AA4" s="12"/>
      <c r="AB4" s="115"/>
      <c r="AC4" s="12"/>
      <c r="AD4" s="2">
        <f t="shared" si="0"/>
        <v>0</v>
      </c>
      <c r="AE4" s="165">
        <f t="shared" si="1"/>
        <v>-1</v>
      </c>
    </row>
    <row r="5" spans="1:31" x14ac:dyDescent="0.25">
      <c r="O5" s="13" t="s">
        <v>67</v>
      </c>
      <c r="Q5" s="3">
        <f>Q4*Q2</f>
        <v>0</v>
      </c>
      <c r="W5" s="160">
        <v>42417</v>
      </c>
      <c r="X5" s="12">
        <v>46.56</v>
      </c>
      <c r="Y5" s="12">
        <v>47.59</v>
      </c>
      <c r="Z5" s="12">
        <v>46.56</v>
      </c>
      <c r="AA5" s="12">
        <v>47.48</v>
      </c>
      <c r="AB5" s="115">
        <v>482400</v>
      </c>
      <c r="AC5" s="12">
        <v>47.37</v>
      </c>
      <c r="AD5" s="2">
        <f t="shared" si="0"/>
        <v>1.0300000000000011</v>
      </c>
      <c r="AE5" s="165">
        <f t="shared" si="1"/>
        <v>2.5324675324675194E-2</v>
      </c>
    </row>
    <row r="6" spans="1:31" x14ac:dyDescent="0.25">
      <c r="O6" s="13" t="s">
        <v>64</v>
      </c>
      <c r="Q6" s="2">
        <f>Q3*Q2</f>
        <v>0</v>
      </c>
      <c r="W6" s="160">
        <v>42416</v>
      </c>
      <c r="X6" s="12">
        <v>44.94</v>
      </c>
      <c r="Y6" s="12">
        <v>46.64</v>
      </c>
      <c r="Z6" s="12">
        <v>44.42</v>
      </c>
      <c r="AA6" s="12">
        <v>46.31</v>
      </c>
      <c r="AB6" s="115">
        <v>377000</v>
      </c>
      <c r="AC6" s="12">
        <v>46.2</v>
      </c>
      <c r="AD6" s="2">
        <f t="shared" si="0"/>
        <v>2.2199999999999989</v>
      </c>
      <c r="AE6" s="165">
        <f t="shared" si="1"/>
        <v>4.7856656838285216E-2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42412</v>
      </c>
      <c r="X7" s="12">
        <v>43.59</v>
      </c>
      <c r="Y7" s="12">
        <v>44.44</v>
      </c>
      <c r="Z7" s="12">
        <v>42.01</v>
      </c>
      <c r="AA7" s="12">
        <v>44.19</v>
      </c>
      <c r="AB7" s="115">
        <v>386500</v>
      </c>
      <c r="AC7" s="12">
        <v>44.09</v>
      </c>
      <c r="AD7" s="2">
        <f t="shared" si="0"/>
        <v>2.4299999999999997</v>
      </c>
      <c r="AE7" s="165">
        <f t="shared" si="1"/>
        <v>2.989955617846296E-2</v>
      </c>
    </row>
    <row r="8" spans="1:31" x14ac:dyDescent="0.25">
      <c r="O8" s="13" t="s">
        <v>92</v>
      </c>
      <c r="Q8" s="165">
        <f>(Q4-Q3)/Q3</f>
        <v>0</v>
      </c>
      <c r="W8" s="160">
        <v>42411</v>
      </c>
      <c r="X8" s="12">
        <v>43.14</v>
      </c>
      <c r="Y8" s="12">
        <v>44.4</v>
      </c>
      <c r="Z8" s="12">
        <v>42.45</v>
      </c>
      <c r="AA8" s="12">
        <v>42.91</v>
      </c>
      <c r="AB8" s="115">
        <v>425300</v>
      </c>
      <c r="AC8" s="12">
        <v>42.81</v>
      </c>
      <c r="AD8" s="2">
        <f t="shared" si="0"/>
        <v>1.9499999999999957</v>
      </c>
      <c r="AE8" s="165">
        <f t="shared" si="1"/>
        <v>-2.4829157175398575E-2</v>
      </c>
    </row>
    <row r="9" spans="1:31" x14ac:dyDescent="0.25">
      <c r="B9" s="246" t="s">
        <v>122</v>
      </c>
      <c r="C9" s="246" t="s">
        <v>189</v>
      </c>
      <c r="D9" s="247" t="s">
        <v>188</v>
      </c>
      <c r="E9" s="249" t="s">
        <v>190</v>
      </c>
      <c r="F9" s="250" t="s">
        <v>65</v>
      </c>
      <c r="W9" s="160">
        <v>42410</v>
      </c>
      <c r="X9" s="12">
        <v>43.97</v>
      </c>
      <c r="Y9" s="12">
        <v>44.82</v>
      </c>
      <c r="Z9" s="12">
        <v>43.96</v>
      </c>
      <c r="AA9" s="12">
        <v>44</v>
      </c>
      <c r="AB9" s="115">
        <v>345800</v>
      </c>
      <c r="AC9" s="12">
        <v>43.9</v>
      </c>
      <c r="AD9" s="2">
        <f t="shared" si="0"/>
        <v>0.85999999999999943</v>
      </c>
      <c r="AE9" s="165">
        <f t="shared" si="1"/>
        <v>4.8065918974593558E-3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42409</v>
      </c>
      <c r="X10" s="12">
        <v>43.72</v>
      </c>
      <c r="Y10" s="12">
        <v>44.73</v>
      </c>
      <c r="Z10" s="12">
        <v>43.61</v>
      </c>
      <c r="AA10" s="12">
        <v>43.79</v>
      </c>
      <c r="AB10" s="115">
        <v>581100</v>
      </c>
      <c r="AC10" s="12">
        <v>43.69</v>
      </c>
      <c r="AD10" s="2">
        <f t="shared" si="0"/>
        <v>1.1199999999999974</v>
      </c>
      <c r="AE10" s="165">
        <f t="shared" si="1"/>
        <v>-1.3769751693002208E-2</v>
      </c>
    </row>
    <row r="11" spans="1:31" x14ac:dyDescent="0.25">
      <c r="B11" s="248">
        <v>42310</v>
      </c>
      <c r="C11" s="12">
        <v>0</v>
      </c>
      <c r="D11" s="259" t="s">
        <v>145</v>
      </c>
      <c r="E11" s="53">
        <v>46.15</v>
      </c>
      <c r="F11" s="53">
        <v>33.94</v>
      </c>
      <c r="W11" s="160">
        <v>42408</v>
      </c>
      <c r="X11" s="12">
        <v>44.71</v>
      </c>
      <c r="Y11" s="12">
        <v>45.11</v>
      </c>
      <c r="Z11" s="12">
        <v>43.71</v>
      </c>
      <c r="AA11" s="12">
        <v>44.4</v>
      </c>
      <c r="AB11" s="115">
        <v>425300</v>
      </c>
      <c r="AC11" s="12">
        <v>44.3</v>
      </c>
      <c r="AD11" s="2">
        <f t="shared" si="0"/>
        <v>1.3999999999999986</v>
      </c>
      <c r="AE11" s="165">
        <f t="shared" si="1"/>
        <v>-1.5774272383914711E-2</v>
      </c>
    </row>
    <row r="12" spans="1:31" x14ac:dyDescent="0.25">
      <c r="B12" s="12"/>
      <c r="C12" s="12"/>
      <c r="D12" s="53"/>
      <c r="E12" s="53"/>
      <c r="F12" s="53"/>
      <c r="W12" s="160">
        <v>42405</v>
      </c>
      <c r="X12" s="12">
        <v>45.3</v>
      </c>
      <c r="Y12" s="12">
        <v>45.6</v>
      </c>
      <c r="Z12" s="12">
        <v>44.94</v>
      </c>
      <c r="AA12" s="12">
        <v>45.11</v>
      </c>
      <c r="AB12" s="115">
        <v>495200</v>
      </c>
      <c r="AC12" s="12">
        <v>45.01</v>
      </c>
      <c r="AD12" s="2">
        <f t="shared" si="0"/>
        <v>0.66000000000000369</v>
      </c>
      <c r="AE12" s="165">
        <f t="shared" si="1"/>
        <v>-9.6809680968097389E-3</v>
      </c>
    </row>
    <row r="13" spans="1:31" x14ac:dyDescent="0.25">
      <c r="B13" s="12"/>
      <c r="C13" s="12"/>
      <c r="D13" s="53"/>
      <c r="E13" s="53"/>
      <c r="F13" s="53"/>
      <c r="W13" s="160">
        <v>42404</v>
      </c>
      <c r="X13" s="12">
        <v>45</v>
      </c>
      <c r="Y13" s="12">
        <v>46.11</v>
      </c>
      <c r="Z13" s="12">
        <v>44.96</v>
      </c>
      <c r="AA13" s="12">
        <v>45.56</v>
      </c>
      <c r="AB13" s="115">
        <v>560000</v>
      </c>
      <c r="AC13" s="12">
        <v>45.45</v>
      </c>
      <c r="AD13" s="2">
        <f t="shared" si="0"/>
        <v>1.1499999999999986</v>
      </c>
      <c r="AE13" s="165">
        <f t="shared" si="1"/>
        <v>1.2249443207126953E-2</v>
      </c>
    </row>
    <row r="14" spans="1:31" x14ac:dyDescent="0.25">
      <c r="B14" s="12"/>
      <c r="C14" s="12"/>
      <c r="D14" s="53"/>
      <c r="E14" s="53"/>
      <c r="F14" s="53"/>
      <c r="W14" s="160">
        <v>42403</v>
      </c>
      <c r="X14" s="12">
        <v>45.02</v>
      </c>
      <c r="Y14" s="12">
        <v>45.42</v>
      </c>
      <c r="Z14" s="12">
        <v>44.21</v>
      </c>
      <c r="AA14" s="12">
        <v>45</v>
      </c>
      <c r="AB14" s="115">
        <v>387000</v>
      </c>
      <c r="AC14" s="12">
        <v>44.9</v>
      </c>
      <c r="AD14" s="2">
        <f t="shared" si="0"/>
        <v>1.2100000000000009</v>
      </c>
      <c r="AE14" s="165">
        <f t="shared" si="1"/>
        <v>1.2401352874858995E-2</v>
      </c>
    </row>
    <row r="15" spans="1:31" x14ac:dyDescent="0.25">
      <c r="B15" s="12"/>
      <c r="C15" s="12"/>
      <c r="D15" s="53"/>
      <c r="E15" s="53"/>
      <c r="F15" s="53"/>
      <c r="W15" s="160">
        <v>42402</v>
      </c>
      <c r="X15" s="12">
        <v>45.24</v>
      </c>
      <c r="Y15" s="12">
        <v>45.45</v>
      </c>
      <c r="Z15" s="12">
        <v>44.39</v>
      </c>
      <c r="AA15" s="12">
        <v>44.45</v>
      </c>
      <c r="AB15" s="115">
        <v>428300</v>
      </c>
      <c r="AC15" s="12">
        <v>44.35</v>
      </c>
      <c r="AD15" s="2">
        <f t="shared" si="0"/>
        <v>1.0600000000000023</v>
      </c>
      <c r="AE15" s="165">
        <f t="shared" si="1"/>
        <v>-2.9540481400437635E-2</v>
      </c>
    </row>
    <row r="16" spans="1:31" x14ac:dyDescent="0.25">
      <c r="B16" s="12"/>
      <c r="C16" s="12"/>
      <c r="D16" s="53"/>
      <c r="E16" s="53"/>
      <c r="F16" s="53"/>
      <c r="W16" s="160">
        <v>42401</v>
      </c>
      <c r="X16" s="12">
        <v>45.97</v>
      </c>
      <c r="Y16" s="12">
        <v>46.1</v>
      </c>
      <c r="Z16" s="12">
        <v>45.42</v>
      </c>
      <c r="AA16" s="12">
        <v>45.81</v>
      </c>
      <c r="AB16" s="115">
        <v>364900</v>
      </c>
      <c r="AC16" s="12">
        <v>45.7</v>
      </c>
      <c r="AD16" s="2">
        <f t="shared" si="0"/>
        <v>0.67999999999999972</v>
      </c>
      <c r="AE16" s="165">
        <f t="shared" si="1"/>
        <v>-8.2465277777776791E-3</v>
      </c>
    </row>
    <row r="17" spans="2:31" x14ac:dyDescent="0.25">
      <c r="B17" s="12"/>
      <c r="C17" s="12"/>
      <c r="D17" s="53"/>
      <c r="E17" s="53"/>
      <c r="F17" s="53"/>
      <c r="W17" s="160">
        <v>42398</v>
      </c>
      <c r="X17" s="12">
        <v>45.61</v>
      </c>
      <c r="Y17" s="12">
        <v>46.26</v>
      </c>
      <c r="Z17" s="12">
        <v>45.37</v>
      </c>
      <c r="AA17" s="12">
        <v>46.19</v>
      </c>
      <c r="AB17" s="115">
        <v>646700</v>
      </c>
      <c r="AC17" s="12">
        <v>46.08</v>
      </c>
      <c r="AD17" s="2">
        <f t="shared" si="0"/>
        <v>0.89000000000000057</v>
      </c>
      <c r="AE17" s="165">
        <f t="shared" si="1"/>
        <v>1.8117543084401166E-2</v>
      </c>
    </row>
    <row r="18" spans="2:31" x14ac:dyDescent="0.25">
      <c r="B18" s="12"/>
      <c r="C18" s="12"/>
      <c r="D18" s="53"/>
      <c r="E18" s="53"/>
      <c r="F18" s="53"/>
      <c r="W18" s="160">
        <v>42397</v>
      </c>
      <c r="X18" s="12">
        <v>45.91</v>
      </c>
      <c r="Y18" s="12">
        <v>46.2</v>
      </c>
      <c r="Z18" s="12">
        <v>45.21</v>
      </c>
      <c r="AA18" s="12">
        <v>45.37</v>
      </c>
      <c r="AB18" s="115">
        <v>425200</v>
      </c>
      <c r="AC18" s="12">
        <v>45.26</v>
      </c>
      <c r="AD18" s="2">
        <f t="shared" si="0"/>
        <v>0.99000000000000199</v>
      </c>
      <c r="AE18" s="165">
        <f t="shared" si="1"/>
        <v>-1.7644464049405562E-3</v>
      </c>
    </row>
    <row r="19" spans="2:31" x14ac:dyDescent="0.25">
      <c r="B19" s="12"/>
      <c r="C19" s="12"/>
      <c r="D19" s="53"/>
      <c r="E19" s="53"/>
      <c r="F19" s="53"/>
      <c r="W19" s="160">
        <v>42396</v>
      </c>
      <c r="X19" s="12">
        <v>46</v>
      </c>
      <c r="Y19" s="12">
        <v>46.45</v>
      </c>
      <c r="Z19" s="12">
        <v>45.33</v>
      </c>
      <c r="AA19" s="12">
        <v>45.45</v>
      </c>
      <c r="AB19" s="115">
        <v>460500</v>
      </c>
      <c r="AC19" s="12">
        <v>45.34</v>
      </c>
      <c r="AD19" s="2">
        <f t="shared" si="0"/>
        <v>1.1200000000000045</v>
      </c>
      <c r="AE19" s="165">
        <f t="shared" si="1"/>
        <v>-1.8402251569603734E-2</v>
      </c>
    </row>
    <row r="20" spans="2:31" x14ac:dyDescent="0.25">
      <c r="W20" s="160">
        <v>42395</v>
      </c>
      <c r="X20" s="12">
        <v>45.2</v>
      </c>
      <c r="Y20" s="12">
        <v>46.34</v>
      </c>
      <c r="Z20" s="12">
        <v>45.2</v>
      </c>
      <c r="AA20" s="12">
        <v>46.3</v>
      </c>
      <c r="AB20" s="115">
        <v>327000</v>
      </c>
      <c r="AC20" s="12">
        <v>46.19</v>
      </c>
      <c r="AD20" s="2">
        <f t="shared" si="0"/>
        <v>1.1400000000000006</v>
      </c>
      <c r="AE20" s="165">
        <f t="shared" si="1"/>
        <v>3.4490481522956307E-2</v>
      </c>
    </row>
    <row r="21" spans="2:31" x14ac:dyDescent="0.25">
      <c r="W21" s="160">
        <v>42394</v>
      </c>
      <c r="X21" s="12">
        <v>45.34</v>
      </c>
      <c r="Y21" s="12">
        <v>45.61</v>
      </c>
      <c r="Z21" s="12">
        <v>44.64</v>
      </c>
      <c r="AA21" s="12">
        <v>44.75</v>
      </c>
      <c r="AB21" s="115">
        <v>322200</v>
      </c>
      <c r="AC21" s="12">
        <v>44.65</v>
      </c>
      <c r="AD21" s="2">
        <f t="shared" si="0"/>
        <v>0.96999999999999886</v>
      </c>
      <c r="AE21" s="165">
        <f t="shared" si="1"/>
        <v>-1.9973661106233664E-2</v>
      </c>
    </row>
    <row r="22" spans="2:31" x14ac:dyDescent="0.25">
      <c r="W22" s="160">
        <v>42391</v>
      </c>
      <c r="X22" s="12">
        <v>44.8</v>
      </c>
      <c r="Y22" s="12">
        <v>46.18</v>
      </c>
      <c r="Z22" s="12">
        <v>44.75</v>
      </c>
      <c r="AA22" s="12">
        <v>45.67</v>
      </c>
      <c r="AB22" s="115">
        <v>372700</v>
      </c>
      <c r="AC22" s="12">
        <v>45.56</v>
      </c>
      <c r="AD22" s="2">
        <f t="shared" si="0"/>
        <v>1.4299999999999997</v>
      </c>
      <c r="AE22" s="165">
        <f t="shared" si="1"/>
        <v>3.7104484407011196E-2</v>
      </c>
    </row>
    <row r="23" spans="2:31" x14ac:dyDescent="0.25">
      <c r="W23" s="160">
        <v>42390</v>
      </c>
      <c r="X23" s="12">
        <v>43.4</v>
      </c>
      <c r="Y23" s="12">
        <v>44.78</v>
      </c>
      <c r="Z23" s="12">
        <v>43.32</v>
      </c>
      <c r="AA23" s="12">
        <v>44.03</v>
      </c>
      <c r="AB23" s="115">
        <v>405800</v>
      </c>
      <c r="AC23" s="12">
        <v>43.93</v>
      </c>
      <c r="AD23" s="2">
        <f t="shared" si="0"/>
        <v>1.4600000000000009</v>
      </c>
      <c r="AE23" s="165">
        <f t="shared" si="1"/>
        <v>1.2678653757491887E-2</v>
      </c>
    </row>
    <row r="24" spans="2:31" x14ac:dyDescent="0.25">
      <c r="W24" s="160">
        <v>42389</v>
      </c>
      <c r="X24" s="12">
        <v>43.5</v>
      </c>
      <c r="Y24" s="12">
        <v>44.06</v>
      </c>
      <c r="Z24" s="12">
        <v>41.24</v>
      </c>
      <c r="AA24" s="12">
        <v>43.48</v>
      </c>
      <c r="AB24" s="115">
        <v>877500</v>
      </c>
      <c r="AC24" s="12">
        <v>43.38</v>
      </c>
      <c r="AD24" s="2">
        <f t="shared" si="0"/>
        <v>2.8200000000000003</v>
      </c>
      <c r="AE24" s="165">
        <f t="shared" si="1"/>
        <v>-3.2775919732441428E-2</v>
      </c>
    </row>
    <row r="25" spans="2:31" x14ac:dyDescent="0.25">
      <c r="W25" s="160">
        <v>42388</v>
      </c>
      <c r="X25" s="12">
        <v>45.13</v>
      </c>
      <c r="Y25" s="12">
        <v>45.39</v>
      </c>
      <c r="Z25" s="12">
        <v>44.6</v>
      </c>
      <c r="AA25" s="12">
        <v>44.95</v>
      </c>
      <c r="AB25" s="115">
        <v>740800</v>
      </c>
      <c r="AC25" s="12">
        <v>44.85</v>
      </c>
      <c r="AD25" s="2">
        <f t="shared" si="0"/>
        <v>0.78999999999999915</v>
      </c>
      <c r="AE25" s="165">
        <f t="shared" si="1"/>
        <v>2.2301516503109298E-4</v>
      </c>
    </row>
    <row r="26" spans="2:31" x14ac:dyDescent="0.25">
      <c r="W26" s="160">
        <v>42384</v>
      </c>
      <c r="X26" s="12">
        <v>45</v>
      </c>
      <c r="Y26" s="12">
        <v>45.53</v>
      </c>
      <c r="Z26" s="12">
        <v>44.21</v>
      </c>
      <c r="AA26" s="12">
        <v>44.94</v>
      </c>
      <c r="AB26" s="115">
        <v>495900</v>
      </c>
      <c r="AC26" s="12">
        <v>44.84</v>
      </c>
      <c r="AD26" s="2">
        <f t="shared" si="0"/>
        <v>1.3200000000000003</v>
      </c>
      <c r="AE26" s="165">
        <f t="shared" si="1"/>
        <v>-2.9437229437229373E-2</v>
      </c>
    </row>
    <row r="27" spans="2:31" x14ac:dyDescent="0.25">
      <c r="W27" s="160">
        <v>42383</v>
      </c>
      <c r="X27" s="12">
        <v>46.08</v>
      </c>
      <c r="Y27" s="12">
        <v>46.86</v>
      </c>
      <c r="Z27" s="12">
        <v>45.34</v>
      </c>
      <c r="AA27" s="12">
        <v>46.31</v>
      </c>
      <c r="AB27" s="115">
        <v>420600</v>
      </c>
      <c r="AC27" s="12">
        <v>46.2</v>
      </c>
      <c r="AD27" s="2">
        <f t="shared" si="0"/>
        <v>1.519999999999996</v>
      </c>
      <c r="AE27" s="165">
        <f t="shared" si="1"/>
        <v>8.2933216935836551E-3</v>
      </c>
    </row>
    <row r="28" spans="2:31" x14ac:dyDescent="0.25">
      <c r="W28" s="160">
        <v>42382</v>
      </c>
      <c r="X28" s="12">
        <v>47.37</v>
      </c>
      <c r="Y28" s="12">
        <v>47.59</v>
      </c>
      <c r="Z28" s="12">
        <v>45.91</v>
      </c>
      <c r="AA28" s="12">
        <v>45.93</v>
      </c>
      <c r="AB28" s="115">
        <v>399900</v>
      </c>
      <c r="AC28" s="12">
        <v>45.82</v>
      </c>
      <c r="AD28" s="2">
        <f t="shared" si="0"/>
        <v>1.6800000000000068</v>
      </c>
      <c r="AE28" s="165">
        <f t="shared" si="1"/>
        <v>-2.5728258558367023E-2</v>
      </c>
    </row>
    <row r="29" spans="2:31" x14ac:dyDescent="0.25">
      <c r="W29" s="160">
        <v>42381</v>
      </c>
      <c r="X29" s="12">
        <v>46.93</v>
      </c>
      <c r="Y29" s="12">
        <v>47.44</v>
      </c>
      <c r="Z29" s="12">
        <v>46.28</v>
      </c>
      <c r="AA29" s="12">
        <v>47.14</v>
      </c>
      <c r="AB29" s="115">
        <v>324100</v>
      </c>
      <c r="AC29" s="12">
        <v>47.03</v>
      </c>
      <c r="AD29" s="2">
        <f t="shared" si="0"/>
        <v>1.1599999999999966</v>
      </c>
      <c r="AE29" s="165">
        <f t="shared" si="1"/>
        <v>1.1397849462365661E-2</v>
      </c>
    </row>
    <row r="30" spans="2:31" x14ac:dyDescent="0.25">
      <c r="W30" s="160">
        <v>42380</v>
      </c>
      <c r="X30" s="12">
        <v>46.26</v>
      </c>
      <c r="Y30" s="12">
        <v>47.82</v>
      </c>
      <c r="Z30" s="12">
        <v>46.03</v>
      </c>
      <c r="AA30" s="12">
        <v>46.61</v>
      </c>
      <c r="AB30" s="115">
        <v>459300</v>
      </c>
      <c r="AC30" s="12">
        <v>46.5</v>
      </c>
      <c r="AD30" s="2">
        <f t="shared" si="0"/>
        <v>1.7899999999999991</v>
      </c>
      <c r="AE30" s="165">
        <f t="shared" si="1"/>
        <v>1.108936725375087E-2</v>
      </c>
    </row>
    <row r="31" spans="2:31" x14ac:dyDescent="0.25">
      <c r="W31" s="160">
        <v>42377</v>
      </c>
      <c r="X31" s="12">
        <v>47.17</v>
      </c>
      <c r="Y31" s="12">
        <v>47.19</v>
      </c>
      <c r="Z31" s="12">
        <v>46.01</v>
      </c>
      <c r="AA31" s="12">
        <v>46.1</v>
      </c>
      <c r="AB31" s="115">
        <v>395700</v>
      </c>
      <c r="AC31" s="12">
        <v>45.99</v>
      </c>
      <c r="AD31" s="2">
        <f t="shared" si="0"/>
        <v>1.1799999999999997</v>
      </c>
      <c r="AE31" s="165">
        <f t="shared" si="1"/>
        <v>-1.6887558785805834E-2</v>
      </c>
    </row>
    <row r="32" spans="2:31" x14ac:dyDescent="0.25">
      <c r="W32" s="160">
        <v>42376</v>
      </c>
      <c r="X32" s="12">
        <v>47.93</v>
      </c>
      <c r="Y32" s="12">
        <v>48.19</v>
      </c>
      <c r="Z32" s="12">
        <v>46.6</v>
      </c>
      <c r="AA32" s="12">
        <v>46.89</v>
      </c>
      <c r="AB32" s="115">
        <v>372900</v>
      </c>
      <c r="AC32" s="12">
        <v>46.78</v>
      </c>
      <c r="AD32" s="2">
        <f t="shared" si="0"/>
        <v>1.5899999999999963</v>
      </c>
      <c r="AE32" s="165">
        <f t="shared" si="1"/>
        <v>-4.0410256410256418E-2</v>
      </c>
    </row>
    <row r="33" spans="15:31" x14ac:dyDescent="0.25">
      <c r="W33" s="160">
        <v>42375</v>
      </c>
      <c r="X33" s="12">
        <v>49.35</v>
      </c>
      <c r="Y33" s="12">
        <v>49.97</v>
      </c>
      <c r="Z33" s="12">
        <v>48.48</v>
      </c>
      <c r="AA33" s="12">
        <v>48.86</v>
      </c>
      <c r="AB33" s="115">
        <v>572300</v>
      </c>
      <c r="AC33" s="12">
        <v>48.75</v>
      </c>
      <c r="AD33" s="2">
        <f t="shared" si="0"/>
        <v>1.490000000000002</v>
      </c>
      <c r="AE33" s="165">
        <f t="shared" si="1"/>
        <v>-2.7140291359010194E-2</v>
      </c>
    </row>
    <row r="34" spans="15:31" x14ac:dyDescent="0.25">
      <c r="W34" s="160">
        <v>42374</v>
      </c>
      <c r="X34" s="12">
        <v>49.92</v>
      </c>
      <c r="Y34" s="12">
        <v>50.51</v>
      </c>
      <c r="Z34" s="12">
        <v>49.35</v>
      </c>
      <c r="AA34" s="12">
        <v>50.23</v>
      </c>
      <c r="AB34" s="115">
        <v>354900</v>
      </c>
      <c r="AC34" s="12">
        <v>50.11</v>
      </c>
      <c r="AD34" s="2">
        <f t="shared" si="0"/>
        <v>1.1599999999999966</v>
      </c>
      <c r="AE34" s="165">
        <f t="shared" si="1"/>
        <v>9.4681708299757528E-3</v>
      </c>
    </row>
    <row r="35" spans="15:31" x14ac:dyDescent="0.25">
      <c r="W35" s="160">
        <v>42373</v>
      </c>
      <c r="X35" s="12">
        <v>48.74</v>
      </c>
      <c r="Y35" s="12">
        <v>49.78</v>
      </c>
      <c r="Z35" s="12">
        <v>48.11</v>
      </c>
      <c r="AA35" s="12">
        <v>49.76</v>
      </c>
      <c r="AB35" s="115">
        <v>434900</v>
      </c>
      <c r="AC35" s="12">
        <v>49.64</v>
      </c>
      <c r="AD35" s="2">
        <f t="shared" si="0"/>
        <v>1.6700000000000017</v>
      </c>
      <c r="AE35" s="165">
        <f t="shared" si="1"/>
        <v>2.0185708518369871E-3</v>
      </c>
    </row>
    <row r="36" spans="15:31" x14ac:dyDescent="0.25">
      <c r="W36" s="160">
        <v>42369</v>
      </c>
      <c r="X36" s="12">
        <v>50.65</v>
      </c>
      <c r="Y36" s="12">
        <v>50.74</v>
      </c>
      <c r="Z36" s="12">
        <v>49.64</v>
      </c>
      <c r="AA36" s="12">
        <v>49.66</v>
      </c>
      <c r="AB36" s="115">
        <v>316700</v>
      </c>
      <c r="AC36" s="12">
        <v>49.54</v>
      </c>
      <c r="AD36" s="2">
        <f t="shared" si="0"/>
        <v>1.1000000000000014</v>
      </c>
      <c r="AE36" s="165">
        <f t="shared" si="1"/>
        <v>-2.3264984227129304E-2</v>
      </c>
    </row>
    <row r="37" spans="15:31" x14ac:dyDescent="0.25">
      <c r="W37" s="160">
        <v>42368</v>
      </c>
      <c r="X37" s="12">
        <v>51.06</v>
      </c>
      <c r="Y37" s="12">
        <v>51.13</v>
      </c>
      <c r="Z37" s="12">
        <v>50.56</v>
      </c>
      <c r="AA37" s="12">
        <v>50.84</v>
      </c>
      <c r="AB37" s="115">
        <v>225200</v>
      </c>
      <c r="AC37" s="12">
        <v>50.72</v>
      </c>
      <c r="AD37" s="2">
        <f t="shared" si="0"/>
        <v>0.57000000000000028</v>
      </c>
      <c r="AE37" s="165">
        <f t="shared" si="1"/>
        <v>-2.9486927462157864E-3</v>
      </c>
    </row>
    <row r="38" spans="15:31" x14ac:dyDescent="0.25">
      <c r="W38" s="160">
        <v>42367</v>
      </c>
      <c r="X38" s="12">
        <v>50.79</v>
      </c>
      <c r="Y38" s="12">
        <v>51.34</v>
      </c>
      <c r="Z38" s="12">
        <v>50.28</v>
      </c>
      <c r="AA38" s="12">
        <v>50.99</v>
      </c>
      <c r="AB38" s="115">
        <v>273400</v>
      </c>
      <c r="AC38" s="12">
        <v>50.87</v>
      </c>
      <c r="AD38" s="2">
        <f t="shared" si="0"/>
        <v>1.0600000000000023</v>
      </c>
      <c r="AE38" s="165">
        <f t="shared" si="1"/>
        <v>8.7249652984333625E-3</v>
      </c>
    </row>
    <row r="39" spans="15:31" x14ac:dyDescent="0.25">
      <c r="W39" s="160">
        <v>42366</v>
      </c>
      <c r="X39" s="12">
        <v>50.79</v>
      </c>
      <c r="Y39" s="12">
        <v>50.79</v>
      </c>
      <c r="Z39" s="12">
        <v>50.12</v>
      </c>
      <c r="AA39" s="12">
        <v>50.55</v>
      </c>
      <c r="AB39" s="115">
        <v>194800</v>
      </c>
      <c r="AC39" s="12">
        <v>50.43</v>
      </c>
      <c r="AD39" s="2">
        <f t="shared" si="0"/>
        <v>0.67000000000000171</v>
      </c>
      <c r="AE39" s="165">
        <f t="shared" si="1"/>
        <v>-1.1370319545187191E-2</v>
      </c>
    </row>
    <row r="40" spans="15:31" x14ac:dyDescent="0.25">
      <c r="W40" s="160">
        <v>42362</v>
      </c>
      <c r="X40" s="12">
        <v>50.62</v>
      </c>
      <c r="Y40" s="12">
        <v>51.28</v>
      </c>
      <c r="Z40" s="12">
        <v>50.62</v>
      </c>
      <c r="AA40" s="12">
        <v>51.13</v>
      </c>
      <c r="AB40" s="115">
        <v>113100</v>
      </c>
      <c r="AC40" s="12">
        <v>51.01</v>
      </c>
      <c r="AD40" s="2">
        <f t="shared" si="0"/>
        <v>0.66000000000000369</v>
      </c>
      <c r="AE40" s="165">
        <f t="shared" si="1"/>
        <v>8.501383946223795E-3</v>
      </c>
    </row>
    <row r="41" spans="15:31" x14ac:dyDescent="0.25">
      <c r="O41" s="47"/>
      <c r="W41" s="160">
        <v>42361</v>
      </c>
      <c r="X41" s="12">
        <v>50.24</v>
      </c>
      <c r="Y41" s="12">
        <v>50.91</v>
      </c>
      <c r="Z41" s="12">
        <v>50.03</v>
      </c>
      <c r="AA41" s="12">
        <v>50.7</v>
      </c>
      <c r="AB41" s="115">
        <v>211100</v>
      </c>
      <c r="AC41" s="12">
        <v>50.58</v>
      </c>
      <c r="AD41" s="2">
        <f t="shared" si="0"/>
        <v>0.87999999999999545</v>
      </c>
      <c r="AE41" s="165">
        <f t="shared" si="1"/>
        <v>1.3830426939266394E-2</v>
      </c>
    </row>
    <row r="42" spans="15:31" ht="20.25" thickBot="1" x14ac:dyDescent="0.35">
      <c r="O42" s="389" t="s">
        <v>78</v>
      </c>
      <c r="P42" s="389"/>
      <c r="Q42" s="47"/>
      <c r="T42" s="111" t="s">
        <v>121</v>
      </c>
      <c r="W42" s="160">
        <v>42360</v>
      </c>
      <c r="X42" s="12">
        <v>49.34</v>
      </c>
      <c r="Y42" s="12">
        <v>50.16</v>
      </c>
      <c r="Z42" s="12">
        <v>48.92</v>
      </c>
      <c r="AA42" s="12">
        <v>50.01</v>
      </c>
      <c r="AB42" s="115">
        <v>293200</v>
      </c>
      <c r="AC42" s="12">
        <v>49.89</v>
      </c>
      <c r="AD42" s="2">
        <f t="shared" si="0"/>
        <v>1.2399999999999949</v>
      </c>
      <c r="AE42" s="165">
        <f t="shared" si="1"/>
        <v>1.5882712278558309E-2</v>
      </c>
    </row>
    <row r="43" spans="15:31" ht="15.75" thickTop="1" x14ac:dyDescent="0.25">
      <c r="O43" s="103">
        <v>1.1000000000000001</v>
      </c>
      <c r="P43" s="103">
        <f>O43*$Q$4</f>
        <v>51.326000000000001</v>
      </c>
      <c r="Q43" s="47"/>
      <c r="T43" s="155" t="s">
        <v>106</v>
      </c>
      <c r="U43" s="118">
        <v>47.2</v>
      </c>
      <c r="W43" s="160">
        <v>42359</v>
      </c>
      <c r="X43" s="12">
        <v>49.5</v>
      </c>
      <c r="Y43" s="12">
        <v>50.09</v>
      </c>
      <c r="Z43" s="12">
        <v>48.94</v>
      </c>
      <c r="AA43" s="12">
        <v>49.22</v>
      </c>
      <c r="AB43" s="115">
        <v>487400</v>
      </c>
      <c r="AC43" s="12">
        <v>49.11</v>
      </c>
      <c r="AD43" s="2">
        <f t="shared" si="0"/>
        <v>1.1500000000000057</v>
      </c>
      <c r="AE43" s="165">
        <f t="shared" si="1"/>
        <v>3.4736411932978495E-3</v>
      </c>
    </row>
    <row r="44" spans="15:31" x14ac:dyDescent="0.25">
      <c r="O44" s="103">
        <v>1.0900000000000001</v>
      </c>
      <c r="P44" s="103">
        <f t="shared" ref="P44:P63" si="2">O44*$Q$4</f>
        <v>50.859400000000001</v>
      </c>
      <c r="Q44" s="47"/>
      <c r="T44" s="113" t="s">
        <v>107</v>
      </c>
      <c r="U44" s="108">
        <v>46.93</v>
      </c>
      <c r="W44" s="160">
        <v>42356</v>
      </c>
      <c r="X44" s="12">
        <v>49.72</v>
      </c>
      <c r="Y44" s="12">
        <v>50.3</v>
      </c>
      <c r="Z44" s="12">
        <v>49.02</v>
      </c>
      <c r="AA44" s="12">
        <v>49.05</v>
      </c>
      <c r="AB44" s="115">
        <v>697500</v>
      </c>
      <c r="AC44" s="12">
        <v>48.94</v>
      </c>
      <c r="AD44" s="2">
        <f t="shared" si="0"/>
        <v>1.279999999999994</v>
      </c>
      <c r="AE44" s="165">
        <f t="shared" si="1"/>
        <v>-1.3107481347045868E-2</v>
      </c>
    </row>
    <row r="45" spans="15:31" x14ac:dyDescent="0.25">
      <c r="O45" s="103">
        <v>1.08</v>
      </c>
      <c r="P45" s="103">
        <f t="shared" si="2"/>
        <v>50.392800000000001</v>
      </c>
      <c r="Q45" s="47"/>
      <c r="T45" s="113" t="s">
        <v>108</v>
      </c>
      <c r="U45" s="108" t="s">
        <v>411</v>
      </c>
      <c r="W45" s="160">
        <v>42355</v>
      </c>
      <c r="X45" s="12">
        <v>50.21</v>
      </c>
      <c r="Y45" s="12">
        <v>50.21</v>
      </c>
      <c r="Z45" s="12">
        <v>49.58</v>
      </c>
      <c r="AA45" s="12">
        <v>49.71</v>
      </c>
      <c r="AB45" s="115">
        <v>431500</v>
      </c>
      <c r="AC45" s="12">
        <v>49.59</v>
      </c>
      <c r="AD45" s="2">
        <f t="shared" si="0"/>
        <v>0.63000000000000256</v>
      </c>
      <c r="AE45" s="165">
        <f t="shared" si="1"/>
        <v>-9.9820323417847412E-3</v>
      </c>
    </row>
    <row r="46" spans="15:31" x14ac:dyDescent="0.25">
      <c r="O46" s="103">
        <v>1.07</v>
      </c>
      <c r="P46" s="103">
        <f t="shared" si="2"/>
        <v>49.926200000000001</v>
      </c>
      <c r="Q46" s="103"/>
      <c r="T46" s="113" t="s">
        <v>109</v>
      </c>
      <c r="U46" s="108" t="s">
        <v>412</v>
      </c>
      <c r="W46" s="160">
        <v>42354</v>
      </c>
      <c r="X46" s="12">
        <v>49.63</v>
      </c>
      <c r="Y46" s="12">
        <v>50.36</v>
      </c>
      <c r="Z46" s="12">
        <v>49.11</v>
      </c>
      <c r="AA46" s="12">
        <v>50.21</v>
      </c>
      <c r="AB46" s="115">
        <v>383000</v>
      </c>
      <c r="AC46" s="12">
        <v>50.09</v>
      </c>
      <c r="AD46" s="2">
        <f t="shared" si="0"/>
        <v>1.25</v>
      </c>
      <c r="AE46" s="165">
        <f t="shared" si="1"/>
        <v>2.0994700366897767E-2</v>
      </c>
    </row>
    <row r="47" spans="15:31" x14ac:dyDescent="0.25">
      <c r="O47" s="103">
        <v>1.06</v>
      </c>
      <c r="P47" s="103">
        <f t="shared" si="2"/>
        <v>49.459600000000002</v>
      </c>
      <c r="Q47" s="103"/>
      <c r="T47" s="113" t="s">
        <v>110</v>
      </c>
      <c r="U47" s="108">
        <v>52.5</v>
      </c>
      <c r="W47" s="160">
        <v>42353</v>
      </c>
      <c r="X47" s="12">
        <v>49.12</v>
      </c>
      <c r="Y47" s="12">
        <v>49.37</v>
      </c>
      <c r="Z47" s="12">
        <v>48.58</v>
      </c>
      <c r="AA47" s="12">
        <v>49.17</v>
      </c>
      <c r="AB47" s="115">
        <v>291100</v>
      </c>
      <c r="AC47" s="12">
        <v>49.06</v>
      </c>
      <c r="AD47" s="2">
        <f t="shared" si="0"/>
        <v>0.78999999999999915</v>
      </c>
      <c r="AE47" s="165">
        <f t="shared" si="1"/>
        <v>9.4650205761317441E-3</v>
      </c>
    </row>
    <row r="48" spans="15:31" x14ac:dyDescent="0.25">
      <c r="O48" s="103">
        <v>1.05</v>
      </c>
      <c r="P48" s="103">
        <f t="shared" si="2"/>
        <v>48.992999999999995</v>
      </c>
      <c r="Q48" s="103"/>
      <c r="T48" s="113" t="s">
        <v>111</v>
      </c>
      <c r="U48" s="108">
        <v>1.22376</v>
      </c>
      <c r="W48" s="160">
        <v>42352</v>
      </c>
      <c r="X48" s="12">
        <v>48.4</v>
      </c>
      <c r="Y48" s="12">
        <v>48.78</v>
      </c>
      <c r="Z48" s="12">
        <v>47.83</v>
      </c>
      <c r="AA48" s="12">
        <v>48.71</v>
      </c>
      <c r="AB48" s="115">
        <v>416900</v>
      </c>
      <c r="AC48" s="12">
        <v>48.6</v>
      </c>
      <c r="AD48" s="2">
        <f t="shared" si="0"/>
        <v>0.95000000000000284</v>
      </c>
      <c r="AE48" s="165">
        <f t="shared" si="1"/>
        <v>9.5554632322392141E-3</v>
      </c>
    </row>
    <row r="49" spans="15:31" x14ac:dyDescent="0.25">
      <c r="O49" s="103">
        <v>1.04</v>
      </c>
      <c r="P49" s="103">
        <f t="shared" si="2"/>
        <v>48.526399999999995</v>
      </c>
      <c r="Q49" s="103"/>
      <c r="T49" s="113" t="s">
        <v>131</v>
      </c>
      <c r="U49" s="108" t="s">
        <v>292</v>
      </c>
      <c r="W49" s="160">
        <v>42349</v>
      </c>
      <c r="X49" s="12">
        <v>47.48</v>
      </c>
      <c r="Y49" s="12">
        <v>48.51</v>
      </c>
      <c r="Z49" s="12">
        <v>47.48</v>
      </c>
      <c r="AA49" s="12">
        <v>48.25</v>
      </c>
      <c r="AB49" s="115">
        <v>444500</v>
      </c>
      <c r="AC49" s="12">
        <v>48.14</v>
      </c>
      <c r="AD49" s="2">
        <f t="shared" si="0"/>
        <v>1.0300000000000011</v>
      </c>
      <c r="AE49" s="165">
        <f t="shared" si="1"/>
        <v>-6.1932287365812355E-3</v>
      </c>
    </row>
    <row r="50" spans="15:31" x14ac:dyDescent="0.25">
      <c r="O50" s="103">
        <v>1.03</v>
      </c>
      <c r="P50" s="103">
        <f t="shared" si="2"/>
        <v>48.059799999999996</v>
      </c>
      <c r="Q50" s="103"/>
      <c r="T50" s="113"/>
      <c r="U50" s="108"/>
      <c r="W50" s="160">
        <v>42348</v>
      </c>
      <c r="X50" s="12">
        <v>48.02</v>
      </c>
      <c r="Y50" s="12">
        <v>48.75</v>
      </c>
      <c r="Z50" s="12">
        <v>47.72</v>
      </c>
      <c r="AA50" s="12">
        <v>48.55</v>
      </c>
      <c r="AB50" s="115">
        <v>280700</v>
      </c>
      <c r="AC50" s="12">
        <v>48.44</v>
      </c>
      <c r="AD50" s="2">
        <f t="shared" si="0"/>
        <v>1.0300000000000011</v>
      </c>
      <c r="AE50" s="165">
        <f t="shared" si="1"/>
        <v>1.3177159590043841E-2</v>
      </c>
    </row>
    <row r="51" spans="15:31" x14ac:dyDescent="0.25">
      <c r="O51" s="103">
        <v>1.02</v>
      </c>
      <c r="P51" s="103">
        <f t="shared" si="2"/>
        <v>47.593199999999996</v>
      </c>
      <c r="Q51" s="103"/>
      <c r="T51" s="113" t="s">
        <v>113</v>
      </c>
      <c r="U51" s="108" t="s">
        <v>413</v>
      </c>
      <c r="W51" s="160">
        <v>42347</v>
      </c>
      <c r="X51" s="12">
        <v>48.33</v>
      </c>
      <c r="Y51" s="12">
        <v>49.01</v>
      </c>
      <c r="Z51" s="12">
        <v>47.61</v>
      </c>
      <c r="AA51" s="12">
        <v>47.92</v>
      </c>
      <c r="AB51" s="115">
        <v>400000</v>
      </c>
      <c r="AC51" s="12">
        <v>47.81</v>
      </c>
      <c r="AD51" s="2">
        <f t="shared" si="0"/>
        <v>1.3999999999999986</v>
      </c>
      <c r="AE51" s="165">
        <f t="shared" si="1"/>
        <v>-9.9399461586249238E-3</v>
      </c>
    </row>
    <row r="52" spans="15:31" x14ac:dyDescent="0.25">
      <c r="O52" s="103">
        <v>1.01</v>
      </c>
      <c r="P52" s="103">
        <f t="shared" si="2"/>
        <v>47.126599999999996</v>
      </c>
      <c r="Q52" s="103"/>
      <c r="T52" s="113" t="s">
        <v>114</v>
      </c>
      <c r="U52" s="108" t="s">
        <v>172</v>
      </c>
      <c r="W52" s="160">
        <v>42346</v>
      </c>
      <c r="X52" s="12">
        <v>49.41</v>
      </c>
      <c r="Y52" s="12">
        <v>49.61</v>
      </c>
      <c r="Z52" s="12">
        <v>48.18</v>
      </c>
      <c r="AA52" s="12">
        <v>48.4</v>
      </c>
      <c r="AB52" s="115">
        <v>435300</v>
      </c>
      <c r="AC52" s="12">
        <v>48.29</v>
      </c>
      <c r="AD52" s="2">
        <f t="shared" si="0"/>
        <v>1.4299999999999997</v>
      </c>
      <c r="AE52" s="165">
        <f t="shared" si="1"/>
        <v>-3.1682374172849359E-2</v>
      </c>
    </row>
    <row r="53" spans="15:31" x14ac:dyDescent="0.25">
      <c r="O53" s="103">
        <v>1</v>
      </c>
      <c r="P53" s="103">
        <f t="shared" si="2"/>
        <v>46.66</v>
      </c>
      <c r="Q53" s="103"/>
      <c r="T53" s="113" t="s">
        <v>115</v>
      </c>
      <c r="U53" s="110">
        <v>210971</v>
      </c>
      <c r="W53" s="160">
        <v>42345</v>
      </c>
      <c r="X53" s="12">
        <v>50.66</v>
      </c>
      <c r="Y53" s="12">
        <v>50.73</v>
      </c>
      <c r="Z53" s="12">
        <v>49.72</v>
      </c>
      <c r="AA53" s="12">
        <v>49.99</v>
      </c>
      <c r="AB53" s="115">
        <v>336900</v>
      </c>
      <c r="AC53" s="12">
        <v>49.87</v>
      </c>
      <c r="AD53" s="2">
        <f t="shared" si="0"/>
        <v>1.009999999999998</v>
      </c>
      <c r="AE53" s="165">
        <f t="shared" si="1"/>
        <v>-1.7533490937746254E-2</v>
      </c>
    </row>
    <row r="54" spans="15:31" x14ac:dyDescent="0.25">
      <c r="O54" s="103">
        <v>0.99</v>
      </c>
      <c r="P54" s="103">
        <f t="shared" si="2"/>
        <v>46.193399999999997</v>
      </c>
      <c r="Q54" s="103"/>
      <c r="T54" s="113" t="s">
        <v>118</v>
      </c>
      <c r="U54" s="110">
        <v>393185</v>
      </c>
      <c r="W54" s="160">
        <v>42342</v>
      </c>
      <c r="X54" s="12">
        <v>49.7</v>
      </c>
      <c r="Y54" s="12">
        <v>51.15</v>
      </c>
      <c r="Z54" s="12">
        <v>49.7</v>
      </c>
      <c r="AA54" s="12">
        <v>50.88</v>
      </c>
      <c r="AB54" s="115">
        <v>419700</v>
      </c>
      <c r="AC54" s="12">
        <v>50.76</v>
      </c>
      <c r="AD54" s="2">
        <f t="shared" si="0"/>
        <v>1.4499999999999957</v>
      </c>
      <c r="AE54" s="165">
        <f t="shared" si="1"/>
        <v>2.0917135961383782E-2</v>
      </c>
    </row>
    <row r="55" spans="15:31" x14ac:dyDescent="0.25">
      <c r="O55" s="103">
        <v>0.98</v>
      </c>
      <c r="P55" s="103">
        <f t="shared" si="2"/>
        <v>45.726799999999997</v>
      </c>
      <c r="Q55" s="103"/>
      <c r="T55" s="113" t="s">
        <v>116</v>
      </c>
      <c r="U55" s="108" t="s">
        <v>414</v>
      </c>
      <c r="W55" s="160">
        <v>42341</v>
      </c>
      <c r="X55" s="12">
        <v>50.93</v>
      </c>
      <c r="Y55" s="12">
        <v>51.27</v>
      </c>
      <c r="Z55" s="12">
        <v>49.67</v>
      </c>
      <c r="AA55" s="12">
        <v>49.84</v>
      </c>
      <c r="AB55" s="115">
        <v>453300</v>
      </c>
      <c r="AC55" s="12">
        <v>49.72</v>
      </c>
      <c r="AD55" s="2">
        <f t="shared" si="0"/>
        <v>1.6000000000000014</v>
      </c>
      <c r="AE55" s="165">
        <f t="shared" si="1"/>
        <v>-1.9716088328075698E-2</v>
      </c>
    </row>
    <row r="56" spans="15:31" x14ac:dyDescent="0.25">
      <c r="O56" s="103">
        <v>0.97</v>
      </c>
      <c r="P56" s="103">
        <f t="shared" si="2"/>
        <v>45.260199999999998</v>
      </c>
      <c r="Q56" s="103"/>
      <c r="T56" s="113" t="s">
        <v>119</v>
      </c>
      <c r="U56" s="108">
        <v>18.7</v>
      </c>
      <c r="W56" s="160">
        <v>42340</v>
      </c>
      <c r="X56" s="12">
        <v>50.62</v>
      </c>
      <c r="Y56" s="12">
        <v>51.11</v>
      </c>
      <c r="Z56" s="12">
        <v>50.4</v>
      </c>
      <c r="AA56" s="12">
        <v>50.84</v>
      </c>
      <c r="AB56" s="115">
        <v>369700</v>
      </c>
      <c r="AC56" s="12">
        <v>50.72</v>
      </c>
      <c r="AD56" s="2">
        <f t="shared" si="0"/>
        <v>0.71000000000000085</v>
      </c>
      <c r="AE56" s="165">
        <f t="shared" si="1"/>
        <v>1.9755037534572306E-3</v>
      </c>
    </row>
    <row r="57" spans="15:31" x14ac:dyDescent="0.25">
      <c r="O57" s="103">
        <v>0.96</v>
      </c>
      <c r="P57" s="103">
        <f t="shared" si="2"/>
        <v>44.793599999999998</v>
      </c>
      <c r="Q57" s="103"/>
      <c r="T57" s="113" t="s">
        <v>120</v>
      </c>
      <c r="U57" s="108">
        <v>2.5</v>
      </c>
      <c r="W57" s="160">
        <v>42339</v>
      </c>
      <c r="X57" s="12">
        <v>50.63</v>
      </c>
      <c r="Y57" s="12">
        <v>50.92</v>
      </c>
      <c r="Z57" s="12">
        <v>50.18</v>
      </c>
      <c r="AA57" s="12">
        <v>50.74</v>
      </c>
      <c r="AB57" s="115">
        <v>331700</v>
      </c>
      <c r="AC57" s="12">
        <v>50.62</v>
      </c>
      <c r="AD57" s="2">
        <f t="shared" si="0"/>
        <v>0.74000000000000199</v>
      </c>
      <c r="AE57" s="165">
        <f t="shared" si="1"/>
        <v>6.1617968594711581E-3</v>
      </c>
    </row>
    <row r="58" spans="15:31" x14ac:dyDescent="0.25">
      <c r="O58" s="103">
        <v>0.95</v>
      </c>
      <c r="P58" s="103">
        <f t="shared" si="2"/>
        <v>44.326999999999998</v>
      </c>
      <c r="Q58" s="103"/>
      <c r="T58" s="113" t="s">
        <v>117</v>
      </c>
      <c r="U58" s="108" t="s">
        <v>415</v>
      </c>
      <c r="W58" s="160">
        <v>42338</v>
      </c>
      <c r="X58" s="12">
        <v>50.53</v>
      </c>
      <c r="Y58" s="12">
        <v>50.77</v>
      </c>
      <c r="Z58" s="12">
        <v>49.81</v>
      </c>
      <c r="AA58" s="12">
        <v>50.43</v>
      </c>
      <c r="AB58" s="115">
        <v>353100</v>
      </c>
      <c r="AC58" s="12">
        <v>50.31</v>
      </c>
      <c r="AD58" s="2">
        <f t="shared" si="0"/>
        <v>0.96000000000000085</v>
      </c>
      <c r="AE58" s="165">
        <f t="shared" si="1"/>
        <v>5.5966420147910423E-3</v>
      </c>
    </row>
    <row r="59" spans="15:31" x14ac:dyDescent="0.25">
      <c r="O59" s="103">
        <v>0.94</v>
      </c>
      <c r="P59" s="103">
        <f t="shared" si="2"/>
        <v>43.860399999999991</v>
      </c>
      <c r="Q59" s="103"/>
      <c r="W59" s="160">
        <v>42335</v>
      </c>
      <c r="X59" s="12">
        <v>49.61</v>
      </c>
      <c r="Y59" s="12">
        <v>50.66</v>
      </c>
      <c r="Z59" s="12">
        <v>49.33</v>
      </c>
      <c r="AA59" s="12">
        <v>50.15</v>
      </c>
      <c r="AB59" s="115">
        <v>222300</v>
      </c>
      <c r="AC59" s="12">
        <v>50.03</v>
      </c>
      <c r="AD59" s="2">
        <f t="shared" si="0"/>
        <v>1.3299999999999983</v>
      </c>
      <c r="AE59" s="165">
        <f t="shared" si="1"/>
        <v>9.4834543987085684E-3</v>
      </c>
    </row>
    <row r="60" spans="15:31" x14ac:dyDescent="0.25">
      <c r="O60" s="103">
        <v>0.93</v>
      </c>
      <c r="P60" s="103">
        <f t="shared" si="2"/>
        <v>43.393799999999999</v>
      </c>
      <c r="Q60" s="103"/>
      <c r="W60" s="160">
        <v>42333</v>
      </c>
      <c r="X60" s="12">
        <v>49.76</v>
      </c>
      <c r="Y60" s="12">
        <v>50</v>
      </c>
      <c r="Z60" s="12">
        <v>49.46</v>
      </c>
      <c r="AA60" s="12">
        <v>49.68</v>
      </c>
      <c r="AB60" s="115">
        <v>353500</v>
      </c>
      <c r="AC60" s="12">
        <v>49.56</v>
      </c>
      <c r="AD60" s="2">
        <f t="shared" si="0"/>
        <v>0.53999999999999915</v>
      </c>
      <c r="AE60" s="165">
        <f t="shared" si="1"/>
        <v>-3.0175015087506862E-3</v>
      </c>
    </row>
    <row r="61" spans="15:31" x14ac:dyDescent="0.25">
      <c r="O61" s="103">
        <v>0.92</v>
      </c>
      <c r="P61" s="103">
        <f t="shared" si="2"/>
        <v>42.927199999999999</v>
      </c>
      <c r="Q61" s="103"/>
      <c r="W61" s="160">
        <v>42332</v>
      </c>
      <c r="X61" s="12">
        <v>48.41</v>
      </c>
      <c r="Y61" s="12">
        <v>49.98</v>
      </c>
      <c r="Z61" s="12">
        <v>48.41</v>
      </c>
      <c r="AA61" s="12">
        <v>49.83</v>
      </c>
      <c r="AB61" s="115">
        <v>275600</v>
      </c>
      <c r="AC61" s="12">
        <v>49.71</v>
      </c>
      <c r="AD61" s="2">
        <f t="shared" si="0"/>
        <v>1.5700000000000003</v>
      </c>
      <c r="AE61" s="165">
        <f t="shared" si="1"/>
        <v>2.1158586688578396E-2</v>
      </c>
    </row>
    <row r="62" spans="15:31" x14ac:dyDescent="0.25">
      <c r="O62" s="103">
        <v>0.91</v>
      </c>
      <c r="P62" s="103">
        <f t="shared" si="2"/>
        <v>42.460599999999999</v>
      </c>
      <c r="Q62" s="103"/>
      <c r="W62" s="160">
        <v>42331</v>
      </c>
      <c r="X62" s="12">
        <v>48.21</v>
      </c>
      <c r="Y62" s="12">
        <v>49.05</v>
      </c>
      <c r="Z62" s="12">
        <v>48.21</v>
      </c>
      <c r="AA62" s="12">
        <v>48.79</v>
      </c>
      <c r="AB62" s="115">
        <v>300600</v>
      </c>
      <c r="AC62" s="12">
        <v>48.68</v>
      </c>
      <c r="AD62" s="2">
        <f t="shared" si="0"/>
        <v>0.83999999999999631</v>
      </c>
      <c r="AE62" s="165">
        <f t="shared" si="1"/>
        <v>9.9585062240663547E-3</v>
      </c>
    </row>
    <row r="63" spans="15:31" x14ac:dyDescent="0.25">
      <c r="O63" s="103">
        <v>0.9</v>
      </c>
      <c r="P63" s="103">
        <f t="shared" si="2"/>
        <v>41.994</v>
      </c>
      <c r="Q63" s="103"/>
      <c r="W63" s="160">
        <v>42328</v>
      </c>
      <c r="X63" s="12">
        <v>48.39</v>
      </c>
      <c r="Y63" s="12">
        <v>48.8</v>
      </c>
      <c r="Z63" s="12">
        <v>47.2</v>
      </c>
      <c r="AA63" s="12">
        <v>48.31</v>
      </c>
      <c r="AB63" s="115">
        <v>209400</v>
      </c>
      <c r="AC63" s="12">
        <v>48.2</v>
      </c>
      <c r="AD63" s="2">
        <f t="shared" si="0"/>
        <v>1.5999999999999943</v>
      </c>
      <c r="AE63" s="165">
        <f t="shared" si="1"/>
        <v>4.5852438516049698E-3</v>
      </c>
    </row>
    <row r="64" spans="15:31" x14ac:dyDescent="0.25">
      <c r="O64" s="47"/>
      <c r="W64" s="160">
        <v>42327</v>
      </c>
      <c r="X64" s="12">
        <v>47.54</v>
      </c>
      <c r="Y64" s="12">
        <v>48.17</v>
      </c>
      <c r="Z64" s="12">
        <v>47.46</v>
      </c>
      <c r="AA64" s="12">
        <v>48.09</v>
      </c>
      <c r="AB64" s="115">
        <v>365800</v>
      </c>
      <c r="AC64" s="12">
        <v>47.98</v>
      </c>
      <c r="AD64" s="2">
        <f t="shared" si="0"/>
        <v>0.71000000000000085</v>
      </c>
      <c r="AE64" s="165">
        <f t="shared" si="1"/>
        <v>9.4677046076161453E-3</v>
      </c>
    </row>
    <row r="65" spans="15:31" x14ac:dyDescent="0.25">
      <c r="O65" s="47"/>
      <c r="W65" s="160">
        <v>42326</v>
      </c>
      <c r="X65" s="12">
        <v>46.61</v>
      </c>
      <c r="Y65" s="12">
        <v>47.69</v>
      </c>
      <c r="Z65" s="12">
        <v>46.2</v>
      </c>
      <c r="AA65" s="12">
        <v>47.64</v>
      </c>
      <c r="AB65" s="115">
        <v>203600</v>
      </c>
      <c r="AC65" s="12">
        <v>47.53</v>
      </c>
      <c r="AD65" s="2">
        <f t="shared" si="0"/>
        <v>1.4899999999999949</v>
      </c>
      <c r="AE65" s="165">
        <f t="shared" si="1"/>
        <v>2.8787878787878807E-2</v>
      </c>
    </row>
    <row r="66" spans="15:31" x14ac:dyDescent="0.25">
      <c r="O66" s="47"/>
      <c r="W66" s="160">
        <v>42325</v>
      </c>
      <c r="X66" s="12">
        <v>46.65</v>
      </c>
      <c r="Y66" s="12">
        <v>47.02</v>
      </c>
      <c r="Z66" s="12">
        <v>45.91</v>
      </c>
      <c r="AA66" s="12">
        <v>46.31</v>
      </c>
      <c r="AB66" s="115">
        <v>362100</v>
      </c>
      <c r="AC66" s="12">
        <v>46.2</v>
      </c>
      <c r="AD66" s="2">
        <f t="shared" si="0"/>
        <v>1.1100000000000065</v>
      </c>
      <c r="AE66" s="165">
        <f t="shared" si="1"/>
        <v>-6.8787618228718372E-3</v>
      </c>
    </row>
    <row r="67" spans="15:31" x14ac:dyDescent="0.25">
      <c r="W67" s="160">
        <v>42324</v>
      </c>
      <c r="X67" s="12">
        <v>45.8</v>
      </c>
      <c r="Y67" s="12">
        <v>46.65</v>
      </c>
      <c r="Z67" s="12">
        <v>45.68</v>
      </c>
      <c r="AA67" s="12">
        <v>46.63</v>
      </c>
      <c r="AB67" s="115">
        <v>310900</v>
      </c>
      <c r="AC67" s="12">
        <v>46.52</v>
      </c>
      <c r="AD67" s="2">
        <f t="shared" ref="AD67:AD68" si="3">Y67-Z67</f>
        <v>0.96999999999999886</v>
      </c>
      <c r="AE67" s="165">
        <f t="shared" ref="AE67" si="4">AC67/AC68-1</f>
        <v>1.2404787812840157E-2</v>
      </c>
    </row>
    <row r="68" spans="15:31" x14ac:dyDescent="0.25">
      <c r="W68" s="160">
        <v>42321</v>
      </c>
      <c r="X68" s="12">
        <v>45.75</v>
      </c>
      <c r="Y68" s="12">
        <v>46.78</v>
      </c>
      <c r="Z68" s="12">
        <v>45.72</v>
      </c>
      <c r="AA68" s="12">
        <v>46.06</v>
      </c>
      <c r="AB68" s="115">
        <v>250000</v>
      </c>
      <c r="AC68" s="12">
        <v>45.95</v>
      </c>
      <c r="AD68" s="2">
        <f t="shared" si="3"/>
        <v>1.0600000000000023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93" priority="11">
      <formula>Q7&gt;0</formula>
    </cfRule>
    <cfRule type="expression" dxfId="9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91" priority="1">
      <formula>F10&gt;0</formula>
    </cfRule>
    <cfRule type="expression" dxfId="9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142</v>
      </c>
      <c r="AE1" s="13" t="s">
        <v>144</v>
      </c>
    </row>
    <row r="2" spans="1:31" x14ac:dyDescent="0.25">
      <c r="A2" s="6" t="s">
        <v>275</v>
      </c>
      <c r="B2" s="328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57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8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58.72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58.72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122</v>
      </c>
      <c r="C12" s="246" t="s">
        <v>189</v>
      </c>
      <c r="D12" s="247" t="s">
        <v>188</v>
      </c>
      <c r="E12" s="249" t="s">
        <v>190</v>
      </c>
      <c r="F12" s="249" t="s">
        <v>65</v>
      </c>
      <c r="G12" s="294" t="s">
        <v>195</v>
      </c>
      <c r="H12" s="294" t="s">
        <v>92</v>
      </c>
      <c r="I12" s="294" t="s">
        <v>203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89" t="s">
        <v>78</v>
      </c>
      <c r="P41" s="389"/>
      <c r="T41" s="111" t="s">
        <v>121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64.591999999999999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64.004800000000003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63.4176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62.830400000000004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62.243200000000002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61.655999999999999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61.068800000000003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60.4816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59.894399999999997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59.307200000000002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58.72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58.132799999999996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57.5456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56.958399999999997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56.371199999999995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55.783999999999999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55.196799999999996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54.6096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54.022400000000005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53.435200000000002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52.847999999999999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89" priority="9">
      <formula>Q7&gt;0</formula>
    </cfRule>
    <cfRule type="expression" dxfId="8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87" priority="3">
      <formula>F13&gt;0</formula>
    </cfRule>
    <cfRule type="expression" dxfId="86" priority="4">
      <formula>F13&lt;0</formula>
    </cfRule>
  </conditionalFormatting>
  <conditionalFormatting sqref="H13:H16">
    <cfRule type="expression" dxfId="85" priority="1">
      <formula>H13&gt;0</formula>
    </cfRule>
    <cfRule type="expression" dxfId="8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56</v>
      </c>
      <c r="B2" s="390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159</v>
      </c>
      <c r="W2" s="160">
        <v>42419</v>
      </c>
      <c r="X2" s="12">
        <v>28.88</v>
      </c>
      <c r="Y2" s="12">
        <v>28.98</v>
      </c>
      <c r="Z2" s="12">
        <v>28.38</v>
      </c>
      <c r="AA2" s="12">
        <v>28.78</v>
      </c>
      <c r="AB2" s="115">
        <v>12350300</v>
      </c>
      <c r="AC2" s="12">
        <v>28.78</v>
      </c>
      <c r="AD2" s="2">
        <f>Y2-Z2</f>
        <v>0.60000000000000142</v>
      </c>
      <c r="AE2" s="165">
        <f>AC2/AC3-1</f>
        <v>-8.6117809162934433E-3</v>
      </c>
    </row>
    <row r="3" spans="1:31" x14ac:dyDescent="0.25">
      <c r="A3" s="26" t="s">
        <v>71</v>
      </c>
      <c r="B3" s="390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28.78</v>
      </c>
      <c r="T3" t="s">
        <v>88</v>
      </c>
      <c r="W3" s="160">
        <v>42418</v>
      </c>
      <c r="X3" s="12">
        <v>29.45</v>
      </c>
      <c r="Y3" s="12">
        <v>29.55</v>
      </c>
      <c r="Z3" s="12">
        <v>28.92</v>
      </c>
      <c r="AA3" s="12">
        <v>29.03</v>
      </c>
      <c r="AB3" s="115">
        <v>11632300</v>
      </c>
      <c r="AC3" s="12">
        <v>29.03</v>
      </c>
      <c r="AD3" s="2">
        <f t="shared" ref="AD3:AD66" si="0">Y3-Z3</f>
        <v>0.62999999999999901</v>
      </c>
      <c r="AE3" s="165">
        <f t="shared" ref="AE3:AE66" si="1">AC3/AC4-1</f>
        <v>-8.1995216945677241E-3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28.78</v>
      </c>
      <c r="W4" s="160">
        <v>42417</v>
      </c>
      <c r="X4" s="12">
        <v>28.86</v>
      </c>
      <c r="Y4" s="12">
        <v>29.35</v>
      </c>
      <c r="Z4" s="12">
        <v>28.7</v>
      </c>
      <c r="AA4" s="12">
        <v>29.27</v>
      </c>
      <c r="AB4" s="115">
        <v>13198400</v>
      </c>
      <c r="AC4" s="12">
        <v>29.27</v>
      </c>
      <c r="AD4" s="2">
        <f t="shared" si="0"/>
        <v>0.65000000000000213</v>
      </c>
      <c r="AE4" s="165">
        <f t="shared" si="1"/>
        <v>2.4142757172848084E-2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42416</v>
      </c>
      <c r="X5" s="12">
        <v>28</v>
      </c>
      <c r="Y5" s="12">
        <v>28.59</v>
      </c>
      <c r="Z5" s="12">
        <v>27.76</v>
      </c>
      <c r="AA5" s="12">
        <v>28.58</v>
      </c>
      <c r="AB5" s="115">
        <v>13408300</v>
      </c>
      <c r="AC5" s="12">
        <v>28.58</v>
      </c>
      <c r="AD5" s="2">
        <f t="shared" si="0"/>
        <v>0.82999999999999829</v>
      </c>
      <c r="AE5" s="165">
        <f t="shared" si="1"/>
        <v>3.1396607722843584E-2</v>
      </c>
    </row>
    <row r="6" spans="1:31" x14ac:dyDescent="0.25">
      <c r="O6" s="13" t="s">
        <v>64</v>
      </c>
      <c r="Q6" s="2">
        <f>Q3*Q2</f>
        <v>0</v>
      </c>
      <c r="W6" s="160">
        <v>42412</v>
      </c>
      <c r="X6" s="12">
        <v>27.23</v>
      </c>
      <c r="Y6" s="12">
        <v>27.74</v>
      </c>
      <c r="Z6" s="12">
        <v>27.05</v>
      </c>
      <c r="AA6" s="12">
        <v>27.71</v>
      </c>
      <c r="AB6" s="115">
        <v>10992200</v>
      </c>
      <c r="AC6" s="12">
        <v>27.71</v>
      </c>
      <c r="AD6" s="2">
        <f t="shared" si="0"/>
        <v>0.68999999999999773</v>
      </c>
      <c r="AE6" s="165">
        <f t="shared" si="1"/>
        <v>3.011152416356877E-2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42411</v>
      </c>
      <c r="X7" s="12">
        <v>27.48</v>
      </c>
      <c r="Y7" s="12">
        <v>28.09</v>
      </c>
      <c r="Z7" s="12">
        <v>26.69</v>
      </c>
      <c r="AA7" s="12">
        <v>26.9</v>
      </c>
      <c r="AB7" s="115">
        <v>24501400</v>
      </c>
      <c r="AC7" s="12">
        <v>26.9</v>
      </c>
      <c r="AD7" s="2">
        <f t="shared" si="0"/>
        <v>1.3999999999999986</v>
      </c>
      <c r="AE7" s="165">
        <f t="shared" si="1"/>
        <v>-2.9231324431613248E-2</v>
      </c>
    </row>
    <row r="8" spans="1:31" x14ac:dyDescent="0.25">
      <c r="O8" s="13" t="s">
        <v>92</v>
      </c>
      <c r="Q8" s="165">
        <f>(Q4-Q3)/Q3</f>
        <v>0</v>
      </c>
      <c r="W8" s="160">
        <v>42410</v>
      </c>
      <c r="X8" s="12">
        <v>28.12</v>
      </c>
      <c r="Y8" s="12">
        <v>28.64</v>
      </c>
      <c r="Z8" s="12">
        <v>27.69</v>
      </c>
      <c r="AA8" s="12">
        <v>27.71</v>
      </c>
      <c r="AB8" s="115">
        <v>15149000</v>
      </c>
      <c r="AC8" s="12">
        <v>27.71</v>
      </c>
      <c r="AD8" s="2">
        <f t="shared" si="0"/>
        <v>0.94999999999999929</v>
      </c>
      <c r="AE8" s="165">
        <f t="shared" si="1"/>
        <v>-5.7409400789378839E-3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42409</v>
      </c>
      <c r="X9" s="12">
        <v>28.13</v>
      </c>
      <c r="Y9" s="12">
        <v>28.87</v>
      </c>
      <c r="Z9" s="12">
        <v>27.77</v>
      </c>
      <c r="AA9" s="12">
        <v>27.87</v>
      </c>
      <c r="AB9" s="115">
        <v>21245900</v>
      </c>
      <c r="AC9" s="12">
        <v>27.87</v>
      </c>
      <c r="AD9" s="2">
        <f t="shared" si="0"/>
        <v>1.1000000000000014</v>
      </c>
      <c r="AE9" s="165">
        <f t="shared" si="1"/>
        <v>-2.8242677824267703E-2</v>
      </c>
    </row>
    <row r="10" spans="1:31" x14ac:dyDescent="0.25">
      <c r="W10" s="160">
        <v>42408</v>
      </c>
      <c r="X10" s="12">
        <v>28.28</v>
      </c>
      <c r="Y10" s="12">
        <v>28.84</v>
      </c>
      <c r="Z10" s="12">
        <v>28.05</v>
      </c>
      <c r="AA10" s="12">
        <v>28.68</v>
      </c>
      <c r="AB10" s="115">
        <v>18668700</v>
      </c>
      <c r="AC10" s="12">
        <v>28.68</v>
      </c>
      <c r="AD10" s="2">
        <f t="shared" si="0"/>
        <v>0.78999999999999915</v>
      </c>
      <c r="AE10" s="165">
        <f t="shared" si="1"/>
        <v>4.9053959355291887E-3</v>
      </c>
    </row>
    <row r="11" spans="1:31" x14ac:dyDescent="0.25">
      <c r="W11" s="160">
        <v>42405</v>
      </c>
      <c r="X11" s="12">
        <v>28.67</v>
      </c>
      <c r="Y11" s="12">
        <v>29.2</v>
      </c>
      <c r="Z11" s="12">
        <v>28.42</v>
      </c>
      <c r="AA11" s="12">
        <v>28.54</v>
      </c>
      <c r="AB11" s="115">
        <v>13962000</v>
      </c>
      <c r="AC11" s="12">
        <v>28.54</v>
      </c>
      <c r="AD11" s="2">
        <f t="shared" si="0"/>
        <v>0.77999999999999758</v>
      </c>
      <c r="AE11" s="165">
        <f t="shared" si="1"/>
        <v>-3.4916201117318746E-3</v>
      </c>
    </row>
    <row r="12" spans="1:31" x14ac:dyDescent="0.25">
      <c r="B12" s="246" t="s">
        <v>122</v>
      </c>
      <c r="C12" s="246" t="s">
        <v>189</v>
      </c>
      <c r="D12" s="247" t="s">
        <v>188</v>
      </c>
      <c r="E12" s="249" t="s">
        <v>190</v>
      </c>
      <c r="F12" s="249" t="s">
        <v>65</v>
      </c>
      <c r="G12" s="294" t="s">
        <v>195</v>
      </c>
      <c r="H12" s="294" t="s">
        <v>92</v>
      </c>
      <c r="I12" s="294" t="s">
        <v>203</v>
      </c>
      <c r="W12" s="160">
        <v>42404</v>
      </c>
      <c r="X12" s="12">
        <v>28.94</v>
      </c>
      <c r="Y12" s="12">
        <v>29.21</v>
      </c>
      <c r="Z12" s="12">
        <v>28.1</v>
      </c>
      <c r="AA12" s="12">
        <v>28.64</v>
      </c>
      <c r="AB12" s="115">
        <v>20856400</v>
      </c>
      <c r="AC12" s="12">
        <v>28.64</v>
      </c>
      <c r="AD12" s="2">
        <f t="shared" si="0"/>
        <v>1.1099999999999994</v>
      </c>
      <c r="AE12" s="165">
        <f t="shared" si="1"/>
        <v>-9.6818810511757336E-3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42403</v>
      </c>
      <c r="X13" s="12">
        <v>30.1</v>
      </c>
      <c r="Y13" s="12">
        <v>30.25</v>
      </c>
      <c r="Z13" s="12">
        <v>28.18</v>
      </c>
      <c r="AA13" s="12">
        <v>28.92</v>
      </c>
      <c r="AB13" s="115">
        <v>29021400</v>
      </c>
      <c r="AC13" s="12">
        <v>28.92</v>
      </c>
      <c r="AD13" s="2">
        <f t="shared" si="0"/>
        <v>2.0700000000000003</v>
      </c>
      <c r="AE13" s="165">
        <f t="shared" si="1"/>
        <v>-2.4620573355817799E-2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42402</v>
      </c>
      <c r="X14" s="12">
        <v>29.99</v>
      </c>
      <c r="Y14" s="12">
        <v>30.19</v>
      </c>
      <c r="Z14" s="12">
        <v>28.87</v>
      </c>
      <c r="AA14" s="12">
        <v>29.65</v>
      </c>
      <c r="AB14" s="115">
        <v>23661800</v>
      </c>
      <c r="AC14" s="12">
        <v>29.65</v>
      </c>
      <c r="AD14" s="2">
        <f t="shared" si="0"/>
        <v>1.3200000000000003</v>
      </c>
      <c r="AE14" s="165">
        <f t="shared" si="1"/>
        <v>-1.5277316506144167E-2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42401</v>
      </c>
      <c r="X15" s="12">
        <v>29.46</v>
      </c>
      <c r="Y15" s="12">
        <v>30.24</v>
      </c>
      <c r="Z15" s="12">
        <v>29.1</v>
      </c>
      <c r="AA15" s="12">
        <v>30.11</v>
      </c>
      <c r="AB15" s="115">
        <v>13635800</v>
      </c>
      <c r="AC15" s="12">
        <v>30.11</v>
      </c>
      <c r="AD15" s="2">
        <f t="shared" si="0"/>
        <v>1.139999999999997</v>
      </c>
      <c r="AE15" s="165">
        <f t="shared" si="1"/>
        <v>1.5856950067476339E-2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42398</v>
      </c>
      <c r="X16" s="12">
        <v>29.17</v>
      </c>
      <c r="Y16" s="12">
        <v>29.64</v>
      </c>
      <c r="Z16" s="12">
        <v>29.02</v>
      </c>
      <c r="AA16" s="12">
        <v>29.64</v>
      </c>
      <c r="AB16" s="115">
        <v>13306000</v>
      </c>
      <c r="AC16" s="12">
        <v>29.64</v>
      </c>
      <c r="AD16" s="2">
        <f t="shared" si="0"/>
        <v>0.62000000000000099</v>
      </c>
      <c r="AE16" s="165">
        <f t="shared" si="1"/>
        <v>2.1364576154376369E-2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42397</v>
      </c>
      <c r="X17" s="12">
        <v>29.47</v>
      </c>
      <c r="Y17" s="12">
        <v>29.48</v>
      </c>
      <c r="Z17" s="12">
        <v>28.4</v>
      </c>
      <c r="AA17" s="12">
        <v>29.02</v>
      </c>
      <c r="AB17" s="115">
        <v>16353400</v>
      </c>
      <c r="AC17" s="12">
        <v>29.02</v>
      </c>
      <c r="AD17" s="2">
        <f t="shared" si="0"/>
        <v>1.0800000000000018</v>
      </c>
      <c r="AE17" s="165">
        <f t="shared" si="1"/>
        <v>-6.5046217048956301E-3</v>
      </c>
    </row>
    <row r="18" spans="2:31" x14ac:dyDescent="0.25">
      <c r="W18" s="160">
        <v>42396</v>
      </c>
      <c r="X18" s="12">
        <v>29.72</v>
      </c>
      <c r="Y18" s="12">
        <v>29.9</v>
      </c>
      <c r="Z18" s="12">
        <v>29</v>
      </c>
      <c r="AA18" s="12">
        <v>29.21</v>
      </c>
      <c r="AB18" s="115">
        <v>12857300</v>
      </c>
      <c r="AC18" s="12">
        <v>29.21</v>
      </c>
      <c r="AD18" s="2">
        <f t="shared" si="0"/>
        <v>0.89999999999999858</v>
      </c>
      <c r="AE18" s="165">
        <f t="shared" si="1"/>
        <v>-1.483979763912302E-2</v>
      </c>
    </row>
    <row r="19" spans="2:31" x14ac:dyDescent="0.25">
      <c r="W19" s="160">
        <v>42395</v>
      </c>
      <c r="X19" s="12">
        <v>29.41</v>
      </c>
      <c r="Y19" s="12">
        <v>29.75</v>
      </c>
      <c r="Z19" s="12">
        <v>29.04</v>
      </c>
      <c r="AA19" s="12">
        <v>29.65</v>
      </c>
      <c r="AB19" s="115">
        <v>11652600</v>
      </c>
      <c r="AC19" s="12">
        <v>29.65</v>
      </c>
      <c r="AD19" s="2">
        <f t="shared" si="0"/>
        <v>0.71000000000000085</v>
      </c>
      <c r="AE19" s="165">
        <f t="shared" si="1"/>
        <v>1.436879917892564E-2</v>
      </c>
    </row>
    <row r="20" spans="2:31" x14ac:dyDescent="0.25">
      <c r="W20" s="160">
        <v>42394</v>
      </c>
      <c r="X20" s="12">
        <v>29.33</v>
      </c>
      <c r="Y20" s="12">
        <v>29.59</v>
      </c>
      <c r="Z20" s="12">
        <v>29.02</v>
      </c>
      <c r="AA20" s="12">
        <v>29.23</v>
      </c>
      <c r="AB20" s="115">
        <v>33627700</v>
      </c>
      <c r="AC20" s="12">
        <v>29.23</v>
      </c>
      <c r="AD20" s="2">
        <f t="shared" si="0"/>
        <v>0.57000000000000028</v>
      </c>
      <c r="AE20" s="165">
        <f t="shared" si="1"/>
        <v>-1.7076502732240595E-3</v>
      </c>
    </row>
    <row r="21" spans="2:31" x14ac:dyDescent="0.25">
      <c r="W21" s="160">
        <v>42391</v>
      </c>
      <c r="X21" s="12">
        <v>30.16</v>
      </c>
      <c r="Y21" s="12">
        <v>30.29</v>
      </c>
      <c r="Z21" s="12">
        <v>29.03</v>
      </c>
      <c r="AA21" s="12">
        <v>29.28</v>
      </c>
      <c r="AB21" s="115">
        <v>18270300</v>
      </c>
      <c r="AC21" s="12">
        <v>29.28</v>
      </c>
      <c r="AD21" s="2">
        <f t="shared" si="0"/>
        <v>1.259999999999998</v>
      </c>
      <c r="AE21" s="165">
        <f t="shared" si="1"/>
        <v>-9.1370558375634126E-3</v>
      </c>
    </row>
    <row r="22" spans="2:31" x14ac:dyDescent="0.25">
      <c r="W22" s="160">
        <v>42390</v>
      </c>
      <c r="X22" s="12">
        <v>29.46</v>
      </c>
      <c r="Y22" s="12">
        <v>30.14</v>
      </c>
      <c r="Z22" s="12">
        <v>29.07</v>
      </c>
      <c r="AA22" s="12">
        <v>29.55</v>
      </c>
      <c r="AB22" s="115">
        <v>15825900</v>
      </c>
      <c r="AC22" s="12">
        <v>29.55</v>
      </c>
      <c r="AD22" s="2">
        <f t="shared" si="0"/>
        <v>1.0700000000000003</v>
      </c>
      <c r="AE22" s="165">
        <f t="shared" si="1"/>
        <v>4.4187627464309376E-3</v>
      </c>
    </row>
    <row r="23" spans="2:31" x14ac:dyDescent="0.25">
      <c r="W23" s="160">
        <v>42389</v>
      </c>
      <c r="X23" s="12">
        <v>28.86</v>
      </c>
      <c r="Y23" s="12">
        <v>29.9</v>
      </c>
      <c r="Z23" s="12">
        <v>28.32</v>
      </c>
      <c r="AA23" s="12">
        <v>29.42</v>
      </c>
      <c r="AB23" s="115">
        <v>21463400</v>
      </c>
      <c r="AC23" s="12">
        <v>29.42</v>
      </c>
      <c r="AD23" s="2">
        <f t="shared" si="0"/>
        <v>1.5799999999999983</v>
      </c>
      <c r="AE23" s="165">
        <f t="shared" si="1"/>
        <v>6.802721088436936E-4</v>
      </c>
    </row>
    <row r="24" spans="2:31" x14ac:dyDescent="0.25">
      <c r="W24" s="160">
        <v>42388</v>
      </c>
      <c r="X24" s="12">
        <v>29.93</v>
      </c>
      <c r="Y24" s="12">
        <v>30</v>
      </c>
      <c r="Z24" s="12">
        <v>28.91</v>
      </c>
      <c r="AA24" s="12">
        <v>29.4</v>
      </c>
      <c r="AB24" s="115">
        <v>17259500</v>
      </c>
      <c r="AC24" s="12">
        <v>29.4</v>
      </c>
      <c r="AD24" s="2">
        <f t="shared" si="0"/>
        <v>1.0899999999999999</v>
      </c>
      <c r="AE24" s="165">
        <f t="shared" si="1"/>
        <v>-5.7490700033818731E-3</v>
      </c>
    </row>
    <row r="25" spans="2:31" x14ac:dyDescent="0.25">
      <c r="W25" s="160">
        <v>42384</v>
      </c>
      <c r="X25" s="12">
        <v>29.46</v>
      </c>
      <c r="Y25" s="12">
        <v>29.68</v>
      </c>
      <c r="Z25" s="12">
        <v>28.8</v>
      </c>
      <c r="AA25" s="12">
        <v>29.57</v>
      </c>
      <c r="AB25" s="115">
        <v>26698100</v>
      </c>
      <c r="AC25" s="12">
        <v>29.57</v>
      </c>
      <c r="AD25" s="2">
        <f t="shared" si="0"/>
        <v>0.87999999999999901</v>
      </c>
      <c r="AE25" s="165">
        <f t="shared" si="1"/>
        <v>-2.4092409240924151E-2</v>
      </c>
    </row>
    <row r="26" spans="2:31" x14ac:dyDescent="0.25">
      <c r="W26" s="160">
        <v>42383</v>
      </c>
      <c r="X26" s="12">
        <v>30.81</v>
      </c>
      <c r="Y26" s="12">
        <v>30.89</v>
      </c>
      <c r="Z26" s="12">
        <v>29.45</v>
      </c>
      <c r="AA26" s="12">
        <v>30.3</v>
      </c>
      <c r="AB26" s="115">
        <v>27106700</v>
      </c>
      <c r="AC26" s="12">
        <v>30.3</v>
      </c>
      <c r="AD26" s="2">
        <f t="shared" si="0"/>
        <v>1.4400000000000013</v>
      </c>
      <c r="AE26" s="165">
        <f t="shared" si="1"/>
        <v>-6.23155132830433E-3</v>
      </c>
    </row>
    <row r="27" spans="2:31" x14ac:dyDescent="0.25">
      <c r="W27" s="160">
        <v>42382</v>
      </c>
      <c r="X27" s="12">
        <v>31.83</v>
      </c>
      <c r="Y27" s="12">
        <v>31.9</v>
      </c>
      <c r="Z27" s="12">
        <v>30.09</v>
      </c>
      <c r="AA27" s="12">
        <v>30.49</v>
      </c>
      <c r="AB27" s="115">
        <v>31586200</v>
      </c>
      <c r="AC27" s="12">
        <v>30.49</v>
      </c>
      <c r="AD27" s="2">
        <f t="shared" si="0"/>
        <v>1.8099999999999987</v>
      </c>
      <c r="AE27" s="165">
        <f t="shared" si="1"/>
        <v>6.2706270627062022E-3</v>
      </c>
    </row>
    <row r="28" spans="2:31" x14ac:dyDescent="0.25">
      <c r="W28" s="160">
        <v>42381</v>
      </c>
      <c r="X28" s="12">
        <v>30.63</v>
      </c>
      <c r="Y28" s="12">
        <v>30.75</v>
      </c>
      <c r="Z28" s="12">
        <v>29.8</v>
      </c>
      <c r="AA28" s="12">
        <v>30.3</v>
      </c>
      <c r="AB28" s="115">
        <v>13398900</v>
      </c>
      <c r="AC28" s="12">
        <v>30.3</v>
      </c>
      <c r="AD28" s="2">
        <f t="shared" si="0"/>
        <v>0.94999999999999929</v>
      </c>
      <c r="AE28" s="165">
        <f t="shared" si="1"/>
        <v>1.6528925619834212E-3</v>
      </c>
    </row>
    <row r="29" spans="2:31" x14ac:dyDescent="0.25">
      <c r="W29" s="160">
        <v>42380</v>
      </c>
      <c r="X29" s="12">
        <v>30.37</v>
      </c>
      <c r="Y29" s="12">
        <v>30.48</v>
      </c>
      <c r="Z29" s="12">
        <v>29.68</v>
      </c>
      <c r="AA29" s="12">
        <v>30.25</v>
      </c>
      <c r="AB29" s="115">
        <v>16877400</v>
      </c>
      <c r="AC29" s="12">
        <v>30.25</v>
      </c>
      <c r="AD29" s="2">
        <f t="shared" si="0"/>
        <v>0.80000000000000071</v>
      </c>
      <c r="AE29" s="165">
        <f t="shared" si="1"/>
        <v>2.4381984422620961E-2</v>
      </c>
    </row>
    <row r="30" spans="2:31" x14ac:dyDescent="0.25">
      <c r="W30" s="160">
        <v>42377</v>
      </c>
      <c r="X30" s="12">
        <v>30.46</v>
      </c>
      <c r="Y30" s="12">
        <v>30.7</v>
      </c>
      <c r="Z30" s="12">
        <v>29.42</v>
      </c>
      <c r="AA30" s="12">
        <v>29.53</v>
      </c>
      <c r="AB30" s="115">
        <v>16448000</v>
      </c>
      <c r="AC30" s="12">
        <v>29.53</v>
      </c>
      <c r="AD30" s="2">
        <f t="shared" si="0"/>
        <v>1.2799999999999976</v>
      </c>
      <c r="AE30" s="165">
        <f t="shared" si="1"/>
        <v>-1.5338446148716156E-2</v>
      </c>
    </row>
    <row r="31" spans="2:31" x14ac:dyDescent="0.25">
      <c r="W31" s="160">
        <v>42376</v>
      </c>
      <c r="X31" s="12">
        <v>30.26</v>
      </c>
      <c r="Y31" s="12">
        <v>30.82</v>
      </c>
      <c r="Z31" s="12">
        <v>29.83</v>
      </c>
      <c r="AA31" s="12">
        <v>29.99</v>
      </c>
      <c r="AB31" s="115">
        <v>21046300</v>
      </c>
      <c r="AC31" s="12">
        <v>29.99</v>
      </c>
      <c r="AD31" s="2">
        <f t="shared" si="0"/>
        <v>0.99000000000000199</v>
      </c>
      <c r="AE31" s="165">
        <f t="shared" si="1"/>
        <v>-4.0933802366485472E-2</v>
      </c>
    </row>
    <row r="32" spans="2:31" x14ac:dyDescent="0.25">
      <c r="W32" s="160">
        <v>42375</v>
      </c>
      <c r="X32" s="12">
        <v>31.95</v>
      </c>
      <c r="Y32" s="12">
        <v>31.98</v>
      </c>
      <c r="Z32" s="12">
        <v>31.01</v>
      </c>
      <c r="AA32" s="12">
        <v>31.27</v>
      </c>
      <c r="AB32" s="115">
        <v>27515200</v>
      </c>
      <c r="AC32" s="12">
        <v>31.27</v>
      </c>
      <c r="AD32" s="2">
        <f t="shared" si="0"/>
        <v>0.96999999999999886</v>
      </c>
      <c r="AE32" s="165">
        <f t="shared" si="1"/>
        <v>-3.5769349367869241E-2</v>
      </c>
    </row>
    <row r="33" spans="4:31" x14ac:dyDescent="0.25">
      <c r="W33" s="160">
        <v>42374</v>
      </c>
      <c r="X33" s="12">
        <v>33.33</v>
      </c>
      <c r="Y33" s="12">
        <v>33.409999999999997</v>
      </c>
      <c r="Z33" s="12">
        <v>32.18</v>
      </c>
      <c r="AA33" s="12">
        <v>32.43</v>
      </c>
      <c r="AB33" s="115">
        <v>19777200</v>
      </c>
      <c r="AC33" s="12">
        <v>32.43</v>
      </c>
      <c r="AD33" s="2">
        <f t="shared" si="0"/>
        <v>1.2299999999999969</v>
      </c>
      <c r="AE33" s="165">
        <f t="shared" si="1"/>
        <v>-2.64184929450616E-2</v>
      </c>
    </row>
    <row r="34" spans="4:31" x14ac:dyDescent="0.25">
      <c r="W34" s="160">
        <v>42373</v>
      </c>
      <c r="X34" s="12">
        <v>33.450000000000003</v>
      </c>
      <c r="Y34" s="12">
        <v>33.54</v>
      </c>
      <c r="Z34" s="12">
        <v>32.840000000000003</v>
      </c>
      <c r="AA34" s="12">
        <v>33.31</v>
      </c>
      <c r="AB34" s="115">
        <v>14875500</v>
      </c>
      <c r="AC34" s="12">
        <v>33.31</v>
      </c>
      <c r="AD34" s="2">
        <f t="shared" si="0"/>
        <v>0.69999999999999574</v>
      </c>
      <c r="AE34" s="165">
        <f t="shared" si="1"/>
        <v>-2.0582181711261249E-2</v>
      </c>
    </row>
    <row r="35" spans="4:31" x14ac:dyDescent="0.25">
      <c r="W35" s="160">
        <v>42369</v>
      </c>
      <c r="X35" s="12">
        <v>34.21</v>
      </c>
      <c r="Y35" s="12">
        <v>34.299999999999997</v>
      </c>
      <c r="Z35" s="12">
        <v>34</v>
      </c>
      <c r="AA35" s="12">
        <v>34.01</v>
      </c>
      <c r="AB35" s="115">
        <v>6586000</v>
      </c>
      <c r="AC35" s="12">
        <v>34.01</v>
      </c>
      <c r="AD35" s="2">
        <f t="shared" si="0"/>
        <v>0.29999999999999716</v>
      </c>
      <c r="AE35" s="165">
        <f t="shared" si="1"/>
        <v>-9.3212933294494205E-3</v>
      </c>
    </row>
    <row r="36" spans="4:31" x14ac:dyDescent="0.25">
      <c r="W36" s="160">
        <v>42368</v>
      </c>
      <c r="X36" s="12">
        <v>34.32</v>
      </c>
      <c r="Y36" s="12">
        <v>34.56</v>
      </c>
      <c r="Z36" s="12">
        <v>34.28</v>
      </c>
      <c r="AA36" s="12">
        <v>34.33</v>
      </c>
      <c r="AB36" s="115">
        <v>4694500</v>
      </c>
      <c r="AC36" s="12">
        <v>34.33</v>
      </c>
      <c r="AD36" s="2">
        <f t="shared" si="0"/>
        <v>0.28000000000000114</v>
      </c>
      <c r="AE36" s="165">
        <f t="shared" si="1"/>
        <v>-4.9275362318841331E-3</v>
      </c>
    </row>
    <row r="37" spans="4:31" x14ac:dyDescent="0.25">
      <c r="W37" s="160">
        <v>42367</v>
      </c>
      <c r="X37" s="12">
        <v>34.659999999999997</v>
      </c>
      <c r="Y37" s="12">
        <v>34.69</v>
      </c>
      <c r="Z37" s="12">
        <v>34.17</v>
      </c>
      <c r="AA37" s="12">
        <v>34.5</v>
      </c>
      <c r="AB37" s="115">
        <v>7056400</v>
      </c>
      <c r="AC37" s="12">
        <v>34.5</v>
      </c>
      <c r="AD37" s="2">
        <f t="shared" si="0"/>
        <v>0.51999999999999602</v>
      </c>
      <c r="AE37" s="165">
        <f t="shared" si="1"/>
        <v>-2.897710808460463E-4</v>
      </c>
    </row>
    <row r="38" spans="4:31" x14ac:dyDescent="0.25">
      <c r="W38" s="160">
        <v>42366</v>
      </c>
      <c r="X38" s="12">
        <v>34.53</v>
      </c>
      <c r="Y38" s="12">
        <v>34.67</v>
      </c>
      <c r="Z38" s="12">
        <v>34.299999999999997</v>
      </c>
      <c r="AA38" s="12">
        <v>34.51</v>
      </c>
      <c r="AB38" s="115">
        <v>5348600</v>
      </c>
      <c r="AC38" s="12">
        <v>34.51</v>
      </c>
      <c r="AD38" s="2">
        <f t="shared" si="0"/>
        <v>0.37000000000000455</v>
      </c>
      <c r="AE38" s="165">
        <f t="shared" si="1"/>
        <v>-2.6011560693642855E-3</v>
      </c>
    </row>
    <row r="39" spans="4:31" x14ac:dyDescent="0.25">
      <c r="W39" s="160">
        <v>42362</v>
      </c>
      <c r="X39" s="12">
        <v>34.72</v>
      </c>
      <c r="Y39" s="12">
        <v>34.75</v>
      </c>
      <c r="Z39" s="12">
        <v>34.5</v>
      </c>
      <c r="AA39" s="12">
        <v>34.6</v>
      </c>
      <c r="AB39" s="115">
        <v>3134800</v>
      </c>
      <c r="AC39" s="12">
        <v>34.6</v>
      </c>
      <c r="AD39" s="2">
        <f t="shared" si="0"/>
        <v>0.25</v>
      </c>
      <c r="AE39" s="165">
        <f t="shared" si="1"/>
        <v>-5.1753881541115598E-3</v>
      </c>
    </row>
    <row r="40" spans="4:31" x14ac:dyDescent="0.25">
      <c r="D40"/>
      <c r="E40"/>
      <c r="W40" s="160">
        <v>42361</v>
      </c>
      <c r="X40" s="12">
        <v>34.51</v>
      </c>
      <c r="Y40" s="12">
        <v>34.94</v>
      </c>
      <c r="Z40" s="12">
        <v>34.380000000000003</v>
      </c>
      <c r="AA40" s="12">
        <v>34.78</v>
      </c>
      <c r="AB40" s="115">
        <v>8816700</v>
      </c>
      <c r="AC40" s="12">
        <v>34.78</v>
      </c>
      <c r="AD40" s="2">
        <f t="shared" si="0"/>
        <v>0.55999999999999517</v>
      </c>
      <c r="AE40" s="165">
        <f t="shared" si="1"/>
        <v>1.4289880431612723E-2</v>
      </c>
    </row>
    <row r="41" spans="4:31" ht="20.25" thickBot="1" x14ac:dyDescent="0.35">
      <c r="O41" s="389" t="s">
        <v>78</v>
      </c>
      <c r="P41" s="389"/>
      <c r="T41" s="111" t="s">
        <v>121</v>
      </c>
      <c r="W41" s="160">
        <v>42360</v>
      </c>
      <c r="X41" s="12">
        <v>34.21</v>
      </c>
      <c r="Y41" s="12">
        <v>34.49</v>
      </c>
      <c r="Z41" s="12">
        <v>34.07</v>
      </c>
      <c r="AA41" s="12">
        <v>34.29</v>
      </c>
      <c r="AB41" s="115">
        <v>9202900</v>
      </c>
      <c r="AC41" s="12">
        <v>34.29</v>
      </c>
      <c r="AD41" s="2">
        <f t="shared" si="0"/>
        <v>0.42000000000000171</v>
      </c>
      <c r="AE41" s="165">
        <f t="shared" si="1"/>
        <v>1.3597398758498302E-2</v>
      </c>
    </row>
    <row r="42" spans="4:31" ht="15.75" thickTop="1" x14ac:dyDescent="0.25">
      <c r="O42" s="103">
        <v>1.1000000000000001</v>
      </c>
      <c r="P42" s="103">
        <f>O42*$Q$4</f>
        <v>31.658000000000005</v>
      </c>
      <c r="Q42" s="2"/>
      <c r="T42" s="196" t="s">
        <v>106</v>
      </c>
      <c r="U42" s="196">
        <v>29.03</v>
      </c>
      <c r="W42" s="160">
        <v>42359</v>
      </c>
      <c r="X42" s="12">
        <v>33.79</v>
      </c>
      <c r="Y42" s="12">
        <v>34.06</v>
      </c>
      <c r="Z42" s="12">
        <v>33.590000000000003</v>
      </c>
      <c r="AA42" s="12">
        <v>33.83</v>
      </c>
      <c r="AB42" s="115">
        <v>12820000</v>
      </c>
      <c r="AC42" s="12">
        <v>33.83</v>
      </c>
      <c r="AD42" s="2">
        <f t="shared" si="0"/>
        <v>0.46999999999999886</v>
      </c>
      <c r="AE42" s="165">
        <f t="shared" si="1"/>
        <v>4.7520047520046571E-3</v>
      </c>
    </row>
    <row r="43" spans="4:31" x14ac:dyDescent="0.25">
      <c r="O43" s="103">
        <v>1.0900000000000001</v>
      </c>
      <c r="P43" s="103">
        <f t="shared" ref="P43:P62" si="3">O43*$Q$4</f>
        <v>31.370200000000004</v>
      </c>
      <c r="Q43" s="2"/>
      <c r="T43" s="12" t="s">
        <v>107</v>
      </c>
      <c r="U43" s="12">
        <v>28.88</v>
      </c>
      <c r="W43" s="160">
        <v>42356</v>
      </c>
      <c r="X43" s="12">
        <v>33.96</v>
      </c>
      <c r="Y43" s="12">
        <v>34.06</v>
      </c>
      <c r="Z43" s="12">
        <v>33.54</v>
      </c>
      <c r="AA43" s="12">
        <v>33.67</v>
      </c>
      <c r="AB43" s="115">
        <v>19469500</v>
      </c>
      <c r="AC43" s="12">
        <v>33.67</v>
      </c>
      <c r="AD43" s="2">
        <f t="shared" si="0"/>
        <v>0.52000000000000313</v>
      </c>
      <c r="AE43" s="165">
        <f t="shared" si="1"/>
        <v>-1.2899442978598574E-2</v>
      </c>
    </row>
    <row r="44" spans="4:31" x14ac:dyDescent="0.25">
      <c r="O44" s="103">
        <v>1.08</v>
      </c>
      <c r="P44" s="103">
        <f t="shared" si="3"/>
        <v>31.082400000000003</v>
      </c>
      <c r="Q44" s="2"/>
      <c r="T44" s="12" t="s">
        <v>108</v>
      </c>
      <c r="U44" s="12" t="s">
        <v>417</v>
      </c>
      <c r="W44" s="160">
        <v>42355</v>
      </c>
      <c r="X44" s="12">
        <v>35.15</v>
      </c>
      <c r="Y44" s="12">
        <v>35.270000000000003</v>
      </c>
      <c r="Z44" s="12">
        <v>34.07</v>
      </c>
      <c r="AA44" s="12">
        <v>34.11</v>
      </c>
      <c r="AB44" s="115">
        <v>14448400</v>
      </c>
      <c r="AC44" s="12">
        <v>34.11</v>
      </c>
      <c r="AD44" s="2">
        <f t="shared" si="0"/>
        <v>1.2000000000000028</v>
      </c>
      <c r="AE44" s="165">
        <f t="shared" si="1"/>
        <v>-2.9311326124075165E-2</v>
      </c>
    </row>
    <row r="45" spans="4:31" x14ac:dyDescent="0.25">
      <c r="O45" s="103">
        <v>1.07</v>
      </c>
      <c r="P45" s="103">
        <f t="shared" si="3"/>
        <v>30.794600000000003</v>
      </c>
      <c r="Q45" s="2"/>
      <c r="T45" s="12" t="s">
        <v>109</v>
      </c>
      <c r="U45" s="12" t="s">
        <v>418</v>
      </c>
      <c r="W45" s="160">
        <v>42354</v>
      </c>
      <c r="X45" s="12">
        <v>34.35</v>
      </c>
      <c r="Y45" s="12">
        <v>35.17</v>
      </c>
      <c r="Z45" s="12">
        <v>34.25</v>
      </c>
      <c r="AA45" s="12">
        <v>35.14</v>
      </c>
      <c r="AB45" s="115">
        <v>14771600</v>
      </c>
      <c r="AC45" s="12">
        <v>35.14</v>
      </c>
      <c r="AD45" s="2">
        <f t="shared" si="0"/>
        <v>0.92000000000000171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30.506800000000002</v>
      </c>
      <c r="Q46" s="2"/>
      <c r="T46" s="12" t="s">
        <v>110</v>
      </c>
      <c r="U46" s="12">
        <v>38.630000000000003</v>
      </c>
      <c r="W46" s="160">
        <v>42354</v>
      </c>
      <c r="X46" s="12" t="s">
        <v>169</v>
      </c>
      <c r="Y46" s="12"/>
      <c r="Z46" s="12"/>
      <c r="AA46" s="12"/>
      <c r="AB46" s="115"/>
      <c r="AC46" s="12"/>
      <c r="AD46" s="2">
        <f t="shared" si="0"/>
        <v>0</v>
      </c>
      <c r="AE46" s="165">
        <f t="shared" si="1"/>
        <v>-1</v>
      </c>
    </row>
    <row r="47" spans="4:31" x14ac:dyDescent="0.25">
      <c r="O47" s="103">
        <v>1.05</v>
      </c>
      <c r="P47" s="103">
        <f t="shared" si="3"/>
        <v>30.219000000000001</v>
      </c>
      <c r="Q47" s="2"/>
      <c r="T47" s="12" t="s">
        <v>111</v>
      </c>
      <c r="U47" s="12">
        <v>1.65557</v>
      </c>
      <c r="W47" s="160">
        <v>42353</v>
      </c>
      <c r="X47" s="12">
        <v>34.75</v>
      </c>
      <c r="Y47" s="12">
        <v>34.96</v>
      </c>
      <c r="Z47" s="12">
        <v>34.299999999999997</v>
      </c>
      <c r="AA47" s="12">
        <v>34.54</v>
      </c>
      <c r="AB47" s="115">
        <v>13834300</v>
      </c>
      <c r="AC47" s="12">
        <v>34.18</v>
      </c>
      <c r="AD47" s="2">
        <f t="shared" si="0"/>
        <v>0.66000000000000369</v>
      </c>
      <c r="AE47" s="165">
        <f t="shared" si="1"/>
        <v>4.4078754040552948E-3</v>
      </c>
    </row>
    <row r="48" spans="4:31" x14ac:dyDescent="0.25">
      <c r="O48" s="103">
        <v>1.04</v>
      </c>
      <c r="P48" s="103">
        <f t="shared" si="3"/>
        <v>29.9312</v>
      </c>
      <c r="Q48" s="2"/>
      <c r="T48" s="12" t="s">
        <v>131</v>
      </c>
      <c r="U48" s="12" t="s">
        <v>306</v>
      </c>
      <c r="W48" s="160">
        <v>42352</v>
      </c>
      <c r="X48" s="12">
        <v>34.78</v>
      </c>
      <c r="Y48" s="12">
        <v>34.840000000000003</v>
      </c>
      <c r="Z48" s="12">
        <v>34.049999999999997</v>
      </c>
      <c r="AA48" s="12">
        <v>34.39</v>
      </c>
      <c r="AB48" s="115">
        <v>13793100</v>
      </c>
      <c r="AC48" s="12">
        <v>34.03</v>
      </c>
      <c r="AD48" s="2">
        <f t="shared" si="0"/>
        <v>0.79000000000000625</v>
      </c>
      <c r="AE48" s="165">
        <f t="shared" si="1"/>
        <v>-4.6797309154722466E-3</v>
      </c>
    </row>
    <row r="49" spans="15:31" x14ac:dyDescent="0.25">
      <c r="O49" s="103">
        <v>1.03</v>
      </c>
      <c r="P49" s="103">
        <f t="shared" si="3"/>
        <v>29.643400000000003</v>
      </c>
      <c r="Q49" s="2"/>
      <c r="T49" s="12"/>
      <c r="U49" s="12"/>
      <c r="W49" s="160">
        <v>42349</v>
      </c>
      <c r="X49" s="12">
        <v>35.14</v>
      </c>
      <c r="Y49" s="12">
        <v>35.409999999999997</v>
      </c>
      <c r="Z49" s="12">
        <v>34.270000000000003</v>
      </c>
      <c r="AA49" s="12">
        <v>34.549999999999997</v>
      </c>
      <c r="AB49" s="115">
        <v>16271200</v>
      </c>
      <c r="AC49" s="12">
        <v>34.19</v>
      </c>
      <c r="AD49" s="2">
        <f t="shared" si="0"/>
        <v>1.1399999999999935</v>
      </c>
      <c r="AE49" s="165">
        <f t="shared" si="1"/>
        <v>-3.0346001134429978E-2</v>
      </c>
    </row>
    <row r="50" spans="15:31" x14ac:dyDescent="0.25">
      <c r="O50" s="103">
        <v>1.02</v>
      </c>
      <c r="P50" s="103">
        <f t="shared" si="3"/>
        <v>29.355600000000003</v>
      </c>
      <c r="Q50" s="2"/>
      <c r="T50" s="12" t="s">
        <v>113</v>
      </c>
      <c r="U50" s="12" t="s">
        <v>419</v>
      </c>
      <c r="W50" s="160">
        <v>42348</v>
      </c>
      <c r="X50" s="12">
        <v>35.25</v>
      </c>
      <c r="Y50" s="12">
        <v>35.89</v>
      </c>
      <c r="Z50" s="12">
        <v>35.18</v>
      </c>
      <c r="AA50" s="12">
        <v>35.630000000000003</v>
      </c>
      <c r="AB50" s="115">
        <v>8827000</v>
      </c>
      <c r="AC50" s="12">
        <v>35.26</v>
      </c>
      <c r="AD50" s="2">
        <f t="shared" si="0"/>
        <v>0.71000000000000085</v>
      </c>
      <c r="AE50" s="165">
        <f t="shared" si="1"/>
        <v>5.1311288483466555E-3</v>
      </c>
    </row>
    <row r="51" spans="15:31" x14ac:dyDescent="0.25">
      <c r="O51" s="103">
        <v>1.01</v>
      </c>
      <c r="P51" s="103">
        <f t="shared" si="3"/>
        <v>29.067800000000002</v>
      </c>
      <c r="Q51" s="2"/>
      <c r="T51" s="12" t="s">
        <v>114</v>
      </c>
      <c r="U51" s="12" t="s">
        <v>168</v>
      </c>
      <c r="W51" s="160">
        <v>42347</v>
      </c>
      <c r="X51" s="12">
        <v>35.299999999999997</v>
      </c>
      <c r="Y51" s="12">
        <v>35.700000000000003</v>
      </c>
      <c r="Z51" s="12">
        <v>34.86</v>
      </c>
      <c r="AA51" s="12">
        <v>35.450000000000003</v>
      </c>
      <c r="AB51" s="115">
        <v>11692000</v>
      </c>
      <c r="AC51" s="12">
        <v>35.08</v>
      </c>
      <c r="AD51" s="2">
        <f t="shared" si="0"/>
        <v>0.84000000000000341</v>
      </c>
      <c r="AE51" s="165">
        <f t="shared" si="1"/>
        <v>-8.5445741953860121E-4</v>
      </c>
    </row>
    <row r="52" spans="15:31" x14ac:dyDescent="0.25">
      <c r="O52" s="103">
        <v>1</v>
      </c>
      <c r="P52" s="103">
        <f t="shared" si="3"/>
        <v>28.78</v>
      </c>
      <c r="Q52" s="2"/>
      <c r="T52" s="12" t="s">
        <v>115</v>
      </c>
      <c r="U52" s="115">
        <v>12362341</v>
      </c>
      <c r="W52" s="160">
        <v>42346</v>
      </c>
      <c r="X52" s="12">
        <v>35.83</v>
      </c>
      <c r="Y52" s="12">
        <v>35.869999999999997</v>
      </c>
      <c r="Z52" s="12">
        <v>35.229999999999997</v>
      </c>
      <c r="AA52" s="12">
        <v>35.479999999999997</v>
      </c>
      <c r="AB52" s="115">
        <v>11905400</v>
      </c>
      <c r="AC52" s="12">
        <v>35.11</v>
      </c>
      <c r="AD52" s="2">
        <f t="shared" si="0"/>
        <v>0.64000000000000057</v>
      </c>
      <c r="AE52" s="165">
        <f t="shared" si="1"/>
        <v>-1.7902097902097958E-2</v>
      </c>
    </row>
    <row r="53" spans="15:31" x14ac:dyDescent="0.25">
      <c r="O53" s="103">
        <v>0.99</v>
      </c>
      <c r="P53" s="103">
        <f t="shared" si="3"/>
        <v>28.4922</v>
      </c>
      <c r="Q53" s="2"/>
      <c r="T53" s="12" t="s">
        <v>118</v>
      </c>
      <c r="U53" s="115">
        <v>15034600</v>
      </c>
      <c r="W53" s="160">
        <v>42345</v>
      </c>
      <c r="X53" s="12">
        <v>36.46</v>
      </c>
      <c r="Y53" s="12">
        <v>36.520000000000003</v>
      </c>
      <c r="Z53" s="12">
        <v>35.99</v>
      </c>
      <c r="AA53" s="12">
        <v>36.130000000000003</v>
      </c>
      <c r="AB53" s="115">
        <v>11303500</v>
      </c>
      <c r="AC53" s="12">
        <v>35.75</v>
      </c>
      <c r="AD53" s="2">
        <f t="shared" si="0"/>
        <v>0.53000000000000114</v>
      </c>
      <c r="AE53" s="165">
        <f t="shared" si="1"/>
        <v>-3.3454139949817829E-3</v>
      </c>
    </row>
    <row r="54" spans="15:31" x14ac:dyDescent="0.25">
      <c r="O54" s="103">
        <v>0.98</v>
      </c>
      <c r="P54" s="103">
        <f t="shared" si="3"/>
        <v>28.2044</v>
      </c>
      <c r="Q54" s="2"/>
      <c r="T54" s="12" t="s">
        <v>116</v>
      </c>
      <c r="U54" s="12" t="s">
        <v>420</v>
      </c>
      <c r="W54" s="160">
        <v>42342</v>
      </c>
      <c r="X54" s="12">
        <v>35.6</v>
      </c>
      <c r="Y54" s="12">
        <v>36.340000000000003</v>
      </c>
      <c r="Z54" s="12">
        <v>35.369999999999997</v>
      </c>
      <c r="AA54" s="12">
        <v>36.25</v>
      </c>
      <c r="AB54" s="115">
        <v>11562600</v>
      </c>
      <c r="AC54" s="12">
        <v>35.869999999999997</v>
      </c>
      <c r="AD54" s="2">
        <f t="shared" si="0"/>
        <v>0.97000000000000597</v>
      </c>
      <c r="AE54" s="165">
        <f t="shared" si="1"/>
        <v>2.1937321937321785E-2</v>
      </c>
    </row>
    <row r="55" spans="15:31" x14ac:dyDescent="0.25">
      <c r="O55" s="103">
        <v>0.97</v>
      </c>
      <c r="P55" s="103">
        <f t="shared" si="3"/>
        <v>27.916599999999999</v>
      </c>
      <c r="T55" s="12" t="s">
        <v>119</v>
      </c>
      <c r="U55" s="12">
        <v>4.87</v>
      </c>
      <c r="W55" s="160">
        <v>42341</v>
      </c>
      <c r="X55" s="12">
        <v>35.83</v>
      </c>
      <c r="Y55" s="12">
        <v>36</v>
      </c>
      <c r="Z55" s="12">
        <v>35.229999999999997</v>
      </c>
      <c r="AA55" s="12">
        <v>35.47</v>
      </c>
      <c r="AB55" s="115">
        <v>10795800</v>
      </c>
      <c r="AC55" s="12">
        <v>35.1</v>
      </c>
      <c r="AD55" s="2">
        <f t="shared" si="0"/>
        <v>0.77000000000000313</v>
      </c>
      <c r="AE55" s="165">
        <f t="shared" si="1"/>
        <v>-7.3529411764705621E-3</v>
      </c>
    </row>
    <row r="56" spans="15:31" x14ac:dyDescent="0.25">
      <c r="O56" s="103">
        <v>0.96</v>
      </c>
      <c r="P56" s="103">
        <f t="shared" si="3"/>
        <v>27.628800000000002</v>
      </c>
      <c r="T56" s="12" t="s">
        <v>120</v>
      </c>
      <c r="U56" s="12">
        <v>5.91</v>
      </c>
      <c r="W56" s="160">
        <v>42340</v>
      </c>
      <c r="X56" s="12">
        <v>36.31</v>
      </c>
      <c r="Y56" s="12">
        <v>36.36</v>
      </c>
      <c r="Z56" s="12">
        <v>35.619999999999997</v>
      </c>
      <c r="AA56" s="12">
        <v>35.729999999999997</v>
      </c>
      <c r="AB56" s="115">
        <v>9715100</v>
      </c>
      <c r="AC56" s="12">
        <v>35.36</v>
      </c>
      <c r="AD56" s="2">
        <f t="shared" si="0"/>
        <v>0.74000000000000199</v>
      </c>
      <c r="AE56" s="165">
        <f t="shared" si="1"/>
        <v>-1.449275362318847E-2</v>
      </c>
    </row>
    <row r="57" spans="15:31" x14ac:dyDescent="0.25">
      <c r="O57" s="103">
        <v>0.95</v>
      </c>
      <c r="P57" s="103">
        <f t="shared" si="3"/>
        <v>27.341000000000001</v>
      </c>
      <c r="T57" s="12" t="s">
        <v>117</v>
      </c>
      <c r="U57" s="12" t="s">
        <v>421</v>
      </c>
      <c r="W57" s="160">
        <v>42339</v>
      </c>
      <c r="X57" s="12">
        <v>35.950000000000003</v>
      </c>
      <c r="Y57" s="12">
        <v>36.340000000000003</v>
      </c>
      <c r="Z57" s="12">
        <v>35.799999999999997</v>
      </c>
      <c r="AA57" s="12">
        <v>36.26</v>
      </c>
      <c r="AB57" s="115">
        <v>12656400</v>
      </c>
      <c r="AC57" s="12">
        <v>35.880000000000003</v>
      </c>
      <c r="AD57" s="2">
        <f t="shared" si="0"/>
        <v>0.54000000000000625</v>
      </c>
      <c r="AE57" s="165">
        <f t="shared" si="1"/>
        <v>1.6750418760469454E-3</v>
      </c>
    </row>
    <row r="58" spans="15:31" x14ac:dyDescent="0.25">
      <c r="O58" s="103">
        <v>0.94</v>
      </c>
      <c r="P58" s="103">
        <f t="shared" si="3"/>
        <v>27.0532</v>
      </c>
      <c r="W58" s="160">
        <v>42338</v>
      </c>
      <c r="X58" s="12">
        <v>36.6</v>
      </c>
      <c r="Y58" s="12">
        <v>36.880000000000003</v>
      </c>
      <c r="Z58" s="12">
        <v>36.19</v>
      </c>
      <c r="AA58" s="12">
        <v>36.200000000000003</v>
      </c>
      <c r="AB58" s="115">
        <v>13959400</v>
      </c>
      <c r="AC58" s="12">
        <v>35.82</v>
      </c>
      <c r="AD58" s="2">
        <f t="shared" si="0"/>
        <v>0.69000000000000483</v>
      </c>
      <c r="AE58" s="165">
        <f t="shared" si="1"/>
        <v>-4.7235343150875408E-3</v>
      </c>
    </row>
    <row r="59" spans="15:31" x14ac:dyDescent="0.25">
      <c r="O59" s="103">
        <v>0.93</v>
      </c>
      <c r="P59" s="103">
        <f t="shared" si="3"/>
        <v>26.765400000000003</v>
      </c>
      <c r="W59" s="160">
        <v>42335</v>
      </c>
      <c r="X59" s="12">
        <v>36.36</v>
      </c>
      <c r="Y59" s="12">
        <v>36.49</v>
      </c>
      <c r="Z59" s="12">
        <v>36.22</v>
      </c>
      <c r="AA59" s="12">
        <v>36.369999999999997</v>
      </c>
      <c r="AB59" s="115">
        <v>2899300</v>
      </c>
      <c r="AC59" s="12">
        <v>35.99</v>
      </c>
      <c r="AD59" s="2">
        <f t="shared" si="0"/>
        <v>0.27000000000000313</v>
      </c>
      <c r="AE59" s="165">
        <f t="shared" si="1"/>
        <v>8.3426028921018691E-4</v>
      </c>
    </row>
    <row r="60" spans="15:31" x14ac:dyDescent="0.25">
      <c r="O60" s="103">
        <v>0.92</v>
      </c>
      <c r="P60" s="103">
        <f t="shared" si="3"/>
        <v>26.477600000000002</v>
      </c>
      <c r="W60" s="160">
        <v>42333</v>
      </c>
      <c r="X60" s="12">
        <v>36.15</v>
      </c>
      <c r="Y60" s="12">
        <v>36.42</v>
      </c>
      <c r="Z60" s="12">
        <v>36.11</v>
      </c>
      <c r="AA60" s="12">
        <v>36.340000000000003</v>
      </c>
      <c r="AB60" s="115">
        <v>7292800</v>
      </c>
      <c r="AC60" s="12">
        <v>35.96</v>
      </c>
      <c r="AD60" s="2">
        <f t="shared" si="0"/>
        <v>0.31000000000000227</v>
      </c>
      <c r="AE60" s="165">
        <f t="shared" si="1"/>
        <v>3.3482142857141906E-3</v>
      </c>
    </row>
    <row r="61" spans="15:31" x14ac:dyDescent="0.25">
      <c r="O61" s="103">
        <v>0.91</v>
      </c>
      <c r="P61" s="103">
        <f t="shared" si="3"/>
        <v>26.189800000000002</v>
      </c>
      <c r="W61" s="160">
        <v>42332</v>
      </c>
      <c r="X61" s="12">
        <v>35.76</v>
      </c>
      <c r="Y61" s="12">
        <v>36.33</v>
      </c>
      <c r="Z61" s="12">
        <v>35.69</v>
      </c>
      <c r="AA61" s="12">
        <v>36.22</v>
      </c>
      <c r="AB61" s="115">
        <v>10346900</v>
      </c>
      <c r="AC61" s="12">
        <v>35.840000000000003</v>
      </c>
      <c r="AD61" s="2">
        <f t="shared" si="0"/>
        <v>0.64000000000000057</v>
      </c>
      <c r="AE61" s="165">
        <f t="shared" si="1"/>
        <v>3.9215686274509665E-3</v>
      </c>
    </row>
    <row r="62" spans="15:31" x14ac:dyDescent="0.25">
      <c r="O62" s="103">
        <v>0.9</v>
      </c>
      <c r="P62" s="103">
        <f t="shared" si="3"/>
        <v>25.902000000000001</v>
      </c>
      <c r="W62" s="160">
        <v>42331</v>
      </c>
      <c r="X62" s="12">
        <v>36.39</v>
      </c>
      <c r="Y62" s="12">
        <v>36.869999999999997</v>
      </c>
      <c r="Z62" s="12">
        <v>36.06</v>
      </c>
      <c r="AA62" s="12">
        <v>36.08</v>
      </c>
      <c r="AB62" s="115">
        <v>9849300</v>
      </c>
      <c r="AC62" s="12">
        <v>35.700000000000003</v>
      </c>
      <c r="AD62" s="2">
        <f t="shared" si="0"/>
        <v>0.80999999999999517</v>
      </c>
      <c r="AE62" s="165">
        <f t="shared" si="1"/>
        <v>-7.230255839821953E-3</v>
      </c>
    </row>
    <row r="63" spans="15:31" x14ac:dyDescent="0.25">
      <c r="W63" s="160">
        <v>42328</v>
      </c>
      <c r="X63" s="12">
        <v>36.31</v>
      </c>
      <c r="Y63" s="12">
        <v>36.42</v>
      </c>
      <c r="Z63" s="12">
        <v>36.01</v>
      </c>
      <c r="AA63" s="12">
        <v>36.340000000000003</v>
      </c>
      <c r="AB63" s="115">
        <v>10793200</v>
      </c>
      <c r="AC63" s="12">
        <v>35.96</v>
      </c>
      <c r="AD63" s="2">
        <f t="shared" si="0"/>
        <v>0.41000000000000369</v>
      </c>
      <c r="AE63" s="165">
        <f t="shared" si="1"/>
        <v>5.5928411633110464E-3</v>
      </c>
    </row>
    <row r="64" spans="15:31" x14ac:dyDescent="0.25">
      <c r="W64" s="160">
        <v>42327</v>
      </c>
      <c r="X64" s="12">
        <v>36.43</v>
      </c>
      <c r="Y64" s="12">
        <v>36.47</v>
      </c>
      <c r="Z64" s="12">
        <v>36.07</v>
      </c>
      <c r="AA64" s="12">
        <v>36.14</v>
      </c>
      <c r="AB64" s="115">
        <v>9760800</v>
      </c>
      <c r="AC64" s="12">
        <v>35.76</v>
      </c>
      <c r="AD64" s="2">
        <f t="shared" si="0"/>
        <v>0.39999999999999858</v>
      </c>
      <c r="AE64" s="165">
        <f t="shared" si="1"/>
        <v>-8.8691796008869561E-3</v>
      </c>
    </row>
    <row r="65" spans="23:31" x14ac:dyDescent="0.25">
      <c r="W65" s="160">
        <v>42326</v>
      </c>
      <c r="X65" s="12">
        <v>35.4</v>
      </c>
      <c r="Y65" s="12">
        <v>36.479999999999997</v>
      </c>
      <c r="Z65" s="12">
        <v>35.299999999999997</v>
      </c>
      <c r="AA65" s="12">
        <v>36.46</v>
      </c>
      <c r="AB65" s="115">
        <v>14866300</v>
      </c>
      <c r="AC65" s="12">
        <v>36.08</v>
      </c>
      <c r="AD65" s="2">
        <f t="shared" si="0"/>
        <v>1.1799999999999997</v>
      </c>
      <c r="AE65" s="165">
        <f t="shared" si="1"/>
        <v>3.559127439724441E-2</v>
      </c>
    </row>
    <row r="66" spans="23:31" x14ac:dyDescent="0.25">
      <c r="W66" s="160">
        <v>42325</v>
      </c>
      <c r="X66" s="12">
        <v>34.31</v>
      </c>
      <c r="Y66" s="12">
        <v>35.590000000000003</v>
      </c>
      <c r="Z66" s="12">
        <v>34.31</v>
      </c>
      <c r="AA66" s="12">
        <v>35.21</v>
      </c>
      <c r="AB66" s="115">
        <v>11748200</v>
      </c>
      <c r="AC66" s="12">
        <v>34.840000000000003</v>
      </c>
      <c r="AD66" s="2">
        <f t="shared" si="0"/>
        <v>1.2800000000000011</v>
      </c>
      <c r="AE66" s="165">
        <f t="shared" si="1"/>
        <v>1.1494252873565092E-3</v>
      </c>
    </row>
    <row r="67" spans="23:31" x14ac:dyDescent="0.25">
      <c r="W67" s="160">
        <v>42324</v>
      </c>
      <c r="X67" s="12">
        <v>34.31</v>
      </c>
      <c r="Y67" s="12">
        <v>35.22</v>
      </c>
      <c r="Z67" s="12">
        <v>34.29</v>
      </c>
      <c r="AA67" s="12">
        <v>35.17</v>
      </c>
      <c r="AB67" s="115">
        <v>14599100</v>
      </c>
      <c r="AC67" s="12">
        <v>34.799999999999997</v>
      </c>
      <c r="AD67" s="2">
        <f t="shared" ref="AD67:AD69" si="4">Y67-Z67</f>
        <v>0.92999999999999972</v>
      </c>
      <c r="AE67" s="165">
        <f t="shared" ref="AE67:AE69" si="5">AC67/AC68-1</f>
        <v>2.5036818851251752E-2</v>
      </c>
    </row>
    <row r="68" spans="23:31" x14ac:dyDescent="0.25">
      <c r="W68" s="160">
        <v>42321</v>
      </c>
      <c r="X68" s="12">
        <v>34.97</v>
      </c>
      <c r="Y68" s="12">
        <v>35.17</v>
      </c>
      <c r="Z68" s="12">
        <v>34.19</v>
      </c>
      <c r="AA68" s="12">
        <v>34.31</v>
      </c>
      <c r="AB68" s="115">
        <v>12090600</v>
      </c>
      <c r="AC68" s="12">
        <v>33.950000000000003</v>
      </c>
      <c r="AD68" s="2">
        <f t="shared" si="4"/>
        <v>0.98000000000000398</v>
      </c>
      <c r="AE68" s="165" t="e">
        <f t="shared" si="5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83" priority="10">
      <formula>Q7&gt;0</formula>
    </cfRule>
    <cfRule type="expression" dxfId="8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81" priority="3">
      <formula>F13&gt;0</formula>
    </cfRule>
    <cfRule type="expression" dxfId="80" priority="4">
      <formula>F13&lt;0</formula>
    </cfRule>
  </conditionalFormatting>
  <conditionalFormatting sqref="H13:H17">
    <cfRule type="expression" dxfId="79" priority="1">
      <formula>H13&gt;0</formula>
    </cfRule>
    <cfRule type="expression" dxfId="7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180</v>
      </c>
      <c r="W2" s="160">
        <v>42419</v>
      </c>
      <c r="X2" s="12">
        <v>129.52000000000001</v>
      </c>
      <c r="Y2" s="12">
        <v>130.76</v>
      </c>
      <c r="Z2" s="12">
        <v>128.31</v>
      </c>
      <c r="AA2" s="12">
        <v>130.16</v>
      </c>
      <c r="AB2" s="115">
        <v>1300200</v>
      </c>
      <c r="AC2" s="12">
        <v>130.16</v>
      </c>
      <c r="AD2" s="2"/>
      <c r="AE2" s="165"/>
      <c r="AP2" t="s">
        <v>209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42418</v>
      </c>
      <c r="X3" s="12">
        <v>130.26</v>
      </c>
      <c r="Y3" s="12">
        <v>131.37</v>
      </c>
      <c r="Z3" s="12">
        <v>129.29</v>
      </c>
      <c r="AA3" s="12">
        <v>129.69</v>
      </c>
      <c r="AB3" s="115">
        <v>1261400</v>
      </c>
      <c r="AC3" s="12">
        <v>129.69</v>
      </c>
      <c r="AD3" s="2"/>
      <c r="AE3" s="165"/>
      <c r="AI3" t="s">
        <v>264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130.16</v>
      </c>
      <c r="W4" s="160">
        <v>42417</v>
      </c>
      <c r="X4" s="12">
        <v>128.16999999999999</v>
      </c>
      <c r="Y4" s="12">
        <v>131.61000000000001</v>
      </c>
      <c r="Z4" s="12">
        <v>127.56</v>
      </c>
      <c r="AA4" s="12">
        <v>130.69999999999999</v>
      </c>
      <c r="AB4" s="115">
        <v>1828700</v>
      </c>
      <c r="AC4" s="12">
        <v>130.69999999999999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1301.5999999999999</v>
      </c>
      <c r="W5" s="160">
        <v>42416</v>
      </c>
      <c r="X5" s="12">
        <v>127.72</v>
      </c>
      <c r="Y5" s="12">
        <v>128.41999999999999</v>
      </c>
      <c r="Z5" s="12">
        <v>126.42</v>
      </c>
      <c r="AA5" s="12">
        <v>127.42</v>
      </c>
      <c r="AB5" s="115">
        <v>2437700</v>
      </c>
      <c r="AC5" s="12">
        <v>127.42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42412</v>
      </c>
      <c r="X6" s="12">
        <v>124.52</v>
      </c>
      <c r="Y6" s="12">
        <v>126.55</v>
      </c>
      <c r="Z6" s="12">
        <v>123.96</v>
      </c>
      <c r="AA6" s="12">
        <v>126.48</v>
      </c>
      <c r="AB6" s="115">
        <v>1570700</v>
      </c>
      <c r="AC6" s="12">
        <v>126.48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66.599999999999909</v>
      </c>
      <c r="R7" s="244"/>
      <c r="W7" s="160">
        <v>42411</v>
      </c>
      <c r="X7" s="12">
        <v>122.86</v>
      </c>
      <c r="Y7" s="12">
        <v>124.29</v>
      </c>
      <c r="Z7" s="12">
        <v>122.25</v>
      </c>
      <c r="AA7" s="12">
        <v>123.3</v>
      </c>
      <c r="AB7" s="115">
        <v>1428000</v>
      </c>
      <c r="AC7" s="12">
        <v>123.3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5.392712550607285E-2</v>
      </c>
      <c r="W8" s="160">
        <v>42410</v>
      </c>
      <c r="X8" s="12">
        <v>126.07</v>
      </c>
      <c r="Y8" s="12">
        <v>129</v>
      </c>
      <c r="Z8" s="12">
        <v>125.22</v>
      </c>
      <c r="AA8" s="12">
        <v>125.46</v>
      </c>
      <c r="AB8" s="115">
        <v>1584400</v>
      </c>
      <c r="AC8" s="12">
        <v>125.46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42409</v>
      </c>
      <c r="X9" s="12">
        <v>121.03</v>
      </c>
      <c r="Y9" s="12">
        <v>125.47</v>
      </c>
      <c r="Z9" s="12">
        <v>120.73</v>
      </c>
      <c r="AA9" s="12">
        <v>124.45</v>
      </c>
      <c r="AB9" s="115">
        <v>2811500</v>
      </c>
      <c r="AC9" s="12">
        <v>124.45</v>
      </c>
      <c r="AD9" s="2"/>
      <c r="AE9" s="165"/>
    </row>
    <row r="10" spans="1:43" x14ac:dyDescent="0.25">
      <c r="W10" s="160">
        <v>42408</v>
      </c>
      <c r="X10" s="12">
        <v>121.75</v>
      </c>
      <c r="Y10" s="12">
        <v>122.82</v>
      </c>
      <c r="Z10" s="12">
        <v>119.75</v>
      </c>
      <c r="AA10" s="12">
        <v>121.94</v>
      </c>
      <c r="AB10" s="115">
        <v>2919000</v>
      </c>
      <c r="AC10" s="12">
        <v>121.94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42405</v>
      </c>
      <c r="X11" s="12">
        <v>127</v>
      </c>
      <c r="Y11" s="12">
        <v>127.25</v>
      </c>
      <c r="Z11" s="12">
        <v>121.3</v>
      </c>
      <c r="AA11" s="12">
        <v>123.18</v>
      </c>
      <c r="AB11" s="115">
        <v>4163100</v>
      </c>
      <c r="AC11" s="12">
        <v>123.18</v>
      </c>
      <c r="AD11" s="2"/>
      <c r="AE11" s="165"/>
    </row>
    <row r="12" spans="1:43" x14ac:dyDescent="0.25">
      <c r="W12" s="160">
        <v>42404</v>
      </c>
      <c r="X12" s="12">
        <v>126.36</v>
      </c>
      <c r="Y12" s="12">
        <v>128.61000000000001</v>
      </c>
      <c r="Z12" s="12">
        <v>125.95</v>
      </c>
      <c r="AA12" s="12">
        <v>127.8</v>
      </c>
      <c r="AB12" s="115">
        <v>2292200</v>
      </c>
      <c r="AC12" s="12">
        <v>127.8</v>
      </c>
      <c r="AD12" s="2"/>
      <c r="AE12" s="165"/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I13" s="249" t="s">
        <v>203</v>
      </c>
      <c r="W13" s="160">
        <v>42403</v>
      </c>
      <c r="X13" s="12">
        <v>127.94</v>
      </c>
      <c r="Y13" s="12">
        <v>127.94</v>
      </c>
      <c r="Z13" s="12">
        <v>123.19</v>
      </c>
      <c r="AA13" s="12">
        <v>126.05</v>
      </c>
      <c r="AB13" s="115">
        <v>2984400</v>
      </c>
      <c r="AC13" s="12">
        <v>126.05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5">
        <f t="shared" ref="H14" si="0">IF(C14=0, D14, (E14-D14)/D14)</f>
        <v>2.0647773279352202E-2</v>
      </c>
      <c r="I14" s="53"/>
      <c r="W14" s="160">
        <v>42402</v>
      </c>
      <c r="X14" s="12">
        <v>129.31</v>
      </c>
      <c r="Y14" s="12">
        <v>129.86000000000001</v>
      </c>
      <c r="Z14" s="12">
        <v>126.53</v>
      </c>
      <c r="AA14" s="12">
        <v>126.89</v>
      </c>
      <c r="AB14" s="115">
        <v>1825600</v>
      </c>
      <c r="AC14" s="12">
        <v>126.89</v>
      </c>
      <c r="AD14" s="2"/>
      <c r="AE14" s="165"/>
    </row>
    <row r="15" spans="1:43" x14ac:dyDescent="0.25">
      <c r="B15" s="248"/>
      <c r="C15" s="12"/>
      <c r="D15" s="53"/>
      <c r="E15" s="53"/>
      <c r="F15" s="53"/>
      <c r="G15" s="53"/>
      <c r="H15" s="305"/>
      <c r="I15" s="53"/>
      <c r="W15" s="160">
        <v>42401</v>
      </c>
      <c r="X15" s="12">
        <v>131.26</v>
      </c>
      <c r="Y15" s="12">
        <v>132.1</v>
      </c>
      <c r="Z15" s="12">
        <v>129.63999999999999</v>
      </c>
      <c r="AA15" s="12">
        <v>130.69</v>
      </c>
      <c r="AB15" s="115">
        <v>1745000</v>
      </c>
      <c r="AC15" s="12">
        <v>130.69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42398</v>
      </c>
      <c r="X16" s="12">
        <v>129.07</v>
      </c>
      <c r="Y16" s="12">
        <v>132.06</v>
      </c>
      <c r="Z16" s="12">
        <v>128.6</v>
      </c>
      <c r="AA16" s="12">
        <v>132.06</v>
      </c>
      <c r="AB16" s="115">
        <v>3137100</v>
      </c>
      <c r="AC16" s="12">
        <v>132.06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42397</v>
      </c>
      <c r="X17" s="12">
        <v>130.86000000000001</v>
      </c>
      <c r="Y17" s="12">
        <v>133</v>
      </c>
      <c r="Z17" s="12">
        <v>127.18</v>
      </c>
      <c r="AA17" s="12">
        <v>128.16999999999999</v>
      </c>
      <c r="AB17" s="115">
        <v>4609900</v>
      </c>
      <c r="AC17" s="12">
        <v>128.16999999999999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42396</v>
      </c>
      <c r="X18" s="12">
        <v>134.05000000000001</v>
      </c>
      <c r="Y18" s="12">
        <v>137.21</v>
      </c>
      <c r="Z18" s="12">
        <v>133.34</v>
      </c>
      <c r="AA18" s="12">
        <v>135.83000000000001</v>
      </c>
      <c r="AB18" s="115">
        <v>3300700</v>
      </c>
      <c r="AC18" s="12">
        <v>135.83000000000001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42395</v>
      </c>
      <c r="X19" s="12">
        <v>134.59</v>
      </c>
      <c r="Y19" s="12">
        <v>135.06</v>
      </c>
      <c r="Z19" s="12">
        <v>132.07</v>
      </c>
      <c r="AA19" s="12">
        <v>134.1</v>
      </c>
      <c r="AB19" s="115">
        <v>1721600</v>
      </c>
      <c r="AC19" s="12">
        <v>134.1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42394</v>
      </c>
      <c r="X20" s="12">
        <v>134.72999999999999</v>
      </c>
      <c r="Y20" s="12">
        <v>136.25</v>
      </c>
      <c r="Z20" s="12">
        <v>134.28</v>
      </c>
      <c r="AA20" s="12">
        <v>134.72999999999999</v>
      </c>
      <c r="AB20" s="115">
        <v>1313700</v>
      </c>
      <c r="AC20" s="12">
        <v>134.72999999999999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42391</v>
      </c>
      <c r="X21" s="12">
        <v>133.59</v>
      </c>
      <c r="Y21" s="12">
        <v>135.4</v>
      </c>
      <c r="Z21" s="12">
        <v>132.91999999999999</v>
      </c>
      <c r="AA21" s="12">
        <v>135.31</v>
      </c>
      <c r="AB21" s="115">
        <v>1927800</v>
      </c>
      <c r="AC21" s="12">
        <v>135.31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42390</v>
      </c>
      <c r="X22" s="12">
        <v>133.47</v>
      </c>
      <c r="Y22" s="12">
        <v>133.61000000000001</v>
      </c>
      <c r="Z22" s="12">
        <v>130.74</v>
      </c>
      <c r="AA22" s="12">
        <v>131.68</v>
      </c>
      <c r="AB22" s="115">
        <v>2193500</v>
      </c>
      <c r="AC22" s="12">
        <v>131.68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42389</v>
      </c>
      <c r="X23" s="12">
        <v>132.66</v>
      </c>
      <c r="Y23" s="12">
        <v>134.66</v>
      </c>
      <c r="Z23" s="12">
        <v>129.54</v>
      </c>
      <c r="AA23" s="12">
        <v>133.05000000000001</v>
      </c>
      <c r="AB23" s="115">
        <v>2904000</v>
      </c>
      <c r="AC23" s="12">
        <v>133.05000000000001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42388</v>
      </c>
      <c r="X24" s="12">
        <v>134.57</v>
      </c>
      <c r="Y24" s="12">
        <v>135.65</v>
      </c>
      <c r="Z24" s="12">
        <v>132.9</v>
      </c>
      <c r="AA24" s="12">
        <v>134.91</v>
      </c>
      <c r="AB24" s="115">
        <v>2896600</v>
      </c>
      <c r="AC24" s="12">
        <v>134.91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42384</v>
      </c>
      <c r="X25" s="12">
        <v>134.59</v>
      </c>
      <c r="Y25" s="12">
        <v>135.19999999999999</v>
      </c>
      <c r="Z25" s="12">
        <v>130.65</v>
      </c>
      <c r="AA25" s="12">
        <v>132.76</v>
      </c>
      <c r="AB25" s="115">
        <v>3332600</v>
      </c>
      <c r="AC25" s="12">
        <v>132.76</v>
      </c>
      <c r="AD25" s="2"/>
      <c r="AE25" s="165"/>
    </row>
    <row r="26" spans="2:31" x14ac:dyDescent="0.25">
      <c r="W26" s="160">
        <v>42383</v>
      </c>
      <c r="X26" s="12">
        <v>133.63999999999999</v>
      </c>
      <c r="Y26" s="12">
        <v>137.36000000000001</v>
      </c>
      <c r="Z26" s="12">
        <v>133.44</v>
      </c>
      <c r="AA26" s="12">
        <v>135.79</v>
      </c>
      <c r="AB26" s="115">
        <v>2871200</v>
      </c>
      <c r="AC26" s="12">
        <v>135.79</v>
      </c>
      <c r="AD26" s="2"/>
      <c r="AE26" s="165"/>
    </row>
    <row r="27" spans="2:31" x14ac:dyDescent="0.25">
      <c r="W27" s="160">
        <v>42382</v>
      </c>
      <c r="X27" s="12">
        <v>137.41999999999999</v>
      </c>
      <c r="Y27" s="12">
        <v>138.01</v>
      </c>
      <c r="Z27" s="12">
        <v>133</v>
      </c>
      <c r="AA27" s="12">
        <v>133.77000000000001</v>
      </c>
      <c r="AB27" s="115">
        <v>2521200</v>
      </c>
      <c r="AC27" s="12">
        <v>133.77000000000001</v>
      </c>
      <c r="AD27" s="2"/>
      <c r="AE27" s="165"/>
    </row>
    <row r="28" spans="2:31" x14ac:dyDescent="0.25">
      <c r="W28" s="160">
        <v>42381</v>
      </c>
      <c r="X28" s="12">
        <v>136.29</v>
      </c>
      <c r="Y28" s="12">
        <v>137.9</v>
      </c>
      <c r="Z28" s="12">
        <v>135.54</v>
      </c>
      <c r="AA28" s="12">
        <v>136.97</v>
      </c>
      <c r="AB28" s="115">
        <v>3088000</v>
      </c>
      <c r="AC28" s="12">
        <v>136.97</v>
      </c>
      <c r="AD28" s="2"/>
      <c r="AE28" s="165"/>
    </row>
    <row r="29" spans="2:31" x14ac:dyDescent="0.25">
      <c r="W29" s="160">
        <v>42380</v>
      </c>
      <c r="X29" s="12">
        <v>134.34</v>
      </c>
      <c r="Y29" s="12">
        <v>137.29</v>
      </c>
      <c r="Z29" s="12">
        <v>133.38999999999999</v>
      </c>
      <c r="AA29" s="12">
        <v>134.88</v>
      </c>
      <c r="AB29" s="115">
        <v>2407000</v>
      </c>
      <c r="AC29" s="12">
        <v>134.88</v>
      </c>
      <c r="AD29" s="2"/>
      <c r="AE29" s="165"/>
    </row>
    <row r="30" spans="2:31" x14ac:dyDescent="0.25">
      <c r="W30" s="160">
        <v>42377</v>
      </c>
      <c r="X30" s="12">
        <v>135.6</v>
      </c>
      <c r="Y30" s="12">
        <v>137.01</v>
      </c>
      <c r="Z30" s="12">
        <v>133.82</v>
      </c>
      <c r="AA30" s="12">
        <v>134.16</v>
      </c>
      <c r="AB30" s="115">
        <v>2148100</v>
      </c>
      <c r="AC30" s="12">
        <v>134.16</v>
      </c>
      <c r="AD30" s="2"/>
      <c r="AE30" s="165"/>
    </row>
    <row r="31" spans="2:31" x14ac:dyDescent="0.25">
      <c r="W31" s="160">
        <v>42376</v>
      </c>
      <c r="X31" s="12">
        <v>135</v>
      </c>
      <c r="Y31" s="12">
        <v>135.26</v>
      </c>
      <c r="Z31" s="12">
        <v>133.13999999999999</v>
      </c>
      <c r="AA31" s="12">
        <v>134.31</v>
      </c>
      <c r="AB31" s="115">
        <v>2470900</v>
      </c>
      <c r="AC31" s="12">
        <v>134.31</v>
      </c>
      <c r="AD31" s="2"/>
      <c r="AE31" s="165"/>
    </row>
    <row r="32" spans="2:31" x14ac:dyDescent="0.25">
      <c r="W32" s="160">
        <v>42375</v>
      </c>
      <c r="X32" s="12">
        <v>136.55000000000001</v>
      </c>
      <c r="Y32" s="12">
        <v>138.44999999999999</v>
      </c>
      <c r="Z32" s="12">
        <v>136.55000000000001</v>
      </c>
      <c r="AA32" s="12">
        <v>137.44999999999999</v>
      </c>
      <c r="AB32" s="115">
        <v>2300800</v>
      </c>
      <c r="AC32" s="12">
        <v>137.44999999999999</v>
      </c>
      <c r="AD32" s="2"/>
      <c r="AE32" s="165"/>
    </row>
    <row r="33" spans="15:31" x14ac:dyDescent="0.25">
      <c r="W33" s="160">
        <v>42374</v>
      </c>
      <c r="X33" s="12">
        <v>139</v>
      </c>
      <c r="Y33" s="12">
        <v>140.94</v>
      </c>
      <c r="Z33" s="12">
        <v>138.37</v>
      </c>
      <c r="AA33" s="12">
        <v>138.51</v>
      </c>
      <c r="AB33" s="115">
        <v>3184400</v>
      </c>
      <c r="AC33" s="12">
        <v>138.51</v>
      </c>
      <c r="AD33" s="2"/>
      <c r="AE33" s="165"/>
    </row>
    <row r="34" spans="15:31" x14ac:dyDescent="0.25">
      <c r="W34" s="160">
        <v>42373</v>
      </c>
      <c r="X34" s="12">
        <v>139.44999999999999</v>
      </c>
      <c r="Y34" s="12">
        <v>140.15</v>
      </c>
      <c r="Z34" s="12">
        <v>137.32</v>
      </c>
      <c r="AA34" s="12">
        <v>138.75</v>
      </c>
      <c r="AB34" s="115">
        <v>3287500</v>
      </c>
      <c r="AC34" s="12">
        <v>138.75</v>
      </c>
      <c r="AD34" s="2"/>
      <c r="AE34" s="165"/>
    </row>
    <row r="35" spans="15:31" x14ac:dyDescent="0.25">
      <c r="W35" s="160">
        <v>42369</v>
      </c>
      <c r="X35" s="12">
        <v>141.97</v>
      </c>
      <c r="Y35" s="12">
        <v>143.21</v>
      </c>
      <c r="Z35" s="12">
        <v>141.84</v>
      </c>
      <c r="AA35" s="12">
        <v>141.85</v>
      </c>
      <c r="AB35" s="115">
        <v>1145000</v>
      </c>
      <c r="AC35" s="12">
        <v>141.85</v>
      </c>
      <c r="AD35" s="2"/>
      <c r="AE35" s="165"/>
    </row>
    <row r="36" spans="15:31" x14ac:dyDescent="0.25">
      <c r="W36" s="160">
        <v>42368</v>
      </c>
      <c r="X36" s="12">
        <v>143.04</v>
      </c>
      <c r="Y36" s="12">
        <v>143.65</v>
      </c>
      <c r="Z36" s="12">
        <v>142.51</v>
      </c>
      <c r="AA36" s="12">
        <v>142.86000000000001</v>
      </c>
      <c r="AB36" s="115">
        <v>1057500</v>
      </c>
      <c r="AC36" s="12">
        <v>142.86000000000001</v>
      </c>
      <c r="AD36" s="2"/>
      <c r="AE36" s="165"/>
    </row>
    <row r="37" spans="15:31" x14ac:dyDescent="0.25">
      <c r="W37" s="160">
        <v>42367</v>
      </c>
      <c r="X37" s="12">
        <v>141.58000000000001</v>
      </c>
      <c r="Y37" s="12">
        <v>143.5</v>
      </c>
      <c r="Z37" s="12">
        <v>141.38999999999999</v>
      </c>
      <c r="AA37" s="12">
        <v>143.03</v>
      </c>
      <c r="AB37" s="115">
        <v>1416200</v>
      </c>
      <c r="AC37" s="12">
        <v>143.03</v>
      </c>
      <c r="AD37" s="2"/>
      <c r="AE37" s="165"/>
    </row>
    <row r="38" spans="15:31" x14ac:dyDescent="0.25">
      <c r="W38" s="160">
        <v>42366</v>
      </c>
      <c r="X38" s="12">
        <v>140.97</v>
      </c>
      <c r="Y38" s="12">
        <v>141.21</v>
      </c>
      <c r="Z38" s="12">
        <v>140.53</v>
      </c>
      <c r="AA38" s="12">
        <v>140.69999999999999</v>
      </c>
      <c r="AB38" s="115">
        <v>835700</v>
      </c>
      <c r="AC38" s="12">
        <v>140.69999999999999</v>
      </c>
      <c r="AD38" s="2"/>
      <c r="AE38" s="165"/>
    </row>
    <row r="39" spans="15:31" x14ac:dyDescent="0.25">
      <c r="W39" s="160">
        <v>42362</v>
      </c>
      <c r="X39" s="12">
        <v>140.94</v>
      </c>
      <c r="Y39" s="12">
        <v>141.75</v>
      </c>
      <c r="Z39" s="12">
        <v>140.75</v>
      </c>
      <c r="AA39" s="12">
        <v>141.32</v>
      </c>
      <c r="AB39" s="115">
        <v>370700</v>
      </c>
      <c r="AC39" s="12">
        <v>141.32</v>
      </c>
      <c r="AD39" s="2"/>
      <c r="AE39" s="165"/>
    </row>
    <row r="40" spans="15:31" x14ac:dyDescent="0.25">
      <c r="W40" s="160">
        <v>42361</v>
      </c>
      <c r="X40" s="12">
        <v>140</v>
      </c>
      <c r="Y40" s="12">
        <v>141.44999999999999</v>
      </c>
      <c r="Z40" s="12">
        <v>139.63999999999999</v>
      </c>
      <c r="AA40" s="12">
        <v>141.02000000000001</v>
      </c>
      <c r="AB40" s="115">
        <v>1534800</v>
      </c>
      <c r="AC40" s="12">
        <v>141.02000000000001</v>
      </c>
      <c r="AD40" s="2"/>
      <c r="AE40" s="165"/>
    </row>
    <row r="41" spans="15:31" x14ac:dyDescent="0.25">
      <c r="W41" s="160">
        <v>42360</v>
      </c>
      <c r="X41" s="12">
        <v>138.1</v>
      </c>
      <c r="Y41" s="12">
        <v>139.69999999999999</v>
      </c>
      <c r="Z41" s="12">
        <v>137.19999999999999</v>
      </c>
      <c r="AA41" s="12">
        <v>139.53</v>
      </c>
      <c r="AB41" s="115">
        <v>1250700</v>
      </c>
      <c r="AC41" s="12">
        <v>139.53</v>
      </c>
      <c r="AD41" s="2"/>
      <c r="AE41" s="165"/>
    </row>
    <row r="42" spans="15:31" x14ac:dyDescent="0.25">
      <c r="W42" s="160">
        <v>42359</v>
      </c>
      <c r="X42" s="12">
        <v>135.76</v>
      </c>
      <c r="Y42" s="12">
        <v>137.63999999999999</v>
      </c>
      <c r="Z42" s="12">
        <v>135.58000000000001</v>
      </c>
      <c r="AA42" s="12">
        <v>137.55000000000001</v>
      </c>
      <c r="AB42" s="115">
        <v>1325900</v>
      </c>
      <c r="AC42" s="12">
        <v>137.55000000000001</v>
      </c>
      <c r="AD42" s="2"/>
      <c r="AE42" s="165"/>
    </row>
    <row r="43" spans="15:31" x14ac:dyDescent="0.25">
      <c r="W43" s="160">
        <v>42356</v>
      </c>
      <c r="X43" s="12">
        <v>137.26</v>
      </c>
      <c r="Y43" s="12">
        <v>137.44</v>
      </c>
      <c r="Z43" s="12">
        <v>134.51</v>
      </c>
      <c r="AA43" s="12">
        <v>134.51</v>
      </c>
      <c r="AB43" s="115">
        <v>2716600</v>
      </c>
      <c r="AC43" s="12">
        <v>134.51</v>
      </c>
      <c r="AD43" s="2"/>
      <c r="AE43" s="165"/>
    </row>
    <row r="44" spans="15:31" x14ac:dyDescent="0.25">
      <c r="W44" s="160">
        <v>42355</v>
      </c>
      <c r="X44" s="12">
        <v>140.28</v>
      </c>
      <c r="Y44" s="12">
        <v>140.52000000000001</v>
      </c>
      <c r="Z44" s="12">
        <v>138.1</v>
      </c>
      <c r="AA44" s="12">
        <v>138.16</v>
      </c>
      <c r="AB44" s="115">
        <v>1863400</v>
      </c>
      <c r="AC44" s="12">
        <v>138.16</v>
      </c>
      <c r="AD44" s="2"/>
      <c r="AE44" s="165"/>
    </row>
    <row r="45" spans="15:31" ht="20.25" thickBot="1" x14ac:dyDescent="0.35">
      <c r="O45" s="389" t="s">
        <v>78</v>
      </c>
      <c r="P45" s="389"/>
      <c r="T45" s="111" t="s">
        <v>121</v>
      </c>
      <c r="W45" s="160">
        <v>42354</v>
      </c>
      <c r="X45" s="12">
        <v>138.68</v>
      </c>
      <c r="Y45" s="12">
        <v>140.74</v>
      </c>
      <c r="Z45" s="12">
        <v>138.29</v>
      </c>
      <c r="AA45" s="12">
        <v>140.44999999999999</v>
      </c>
      <c r="AB45" s="115">
        <v>1699000</v>
      </c>
      <c r="AC45" s="12">
        <v>140.44999999999999</v>
      </c>
      <c r="AD45" s="2"/>
      <c r="AE45" s="165"/>
    </row>
    <row r="46" spans="15:31" ht="15.75" thickTop="1" x14ac:dyDescent="0.25">
      <c r="O46" s="103">
        <v>1.1000000000000001</v>
      </c>
      <c r="P46" s="103">
        <f>O46*$Q$4</f>
        <v>143.17600000000002</v>
      </c>
      <c r="Q46" s="2"/>
      <c r="T46" s="341" t="s">
        <v>106</v>
      </c>
      <c r="U46" s="341">
        <v>129.69</v>
      </c>
      <c r="W46" s="160">
        <v>42353</v>
      </c>
      <c r="X46" s="12">
        <v>136.31</v>
      </c>
      <c r="Y46" s="12">
        <v>138.16</v>
      </c>
      <c r="Z46" s="12">
        <v>136.31</v>
      </c>
      <c r="AA46" s="12">
        <v>137.49</v>
      </c>
      <c r="AB46" s="115">
        <v>1717000</v>
      </c>
      <c r="AC46" s="12">
        <v>137.49</v>
      </c>
      <c r="AD46" s="2"/>
      <c r="AE46" s="165"/>
    </row>
    <row r="47" spans="15:31" x14ac:dyDescent="0.25">
      <c r="O47" s="103">
        <v>1.0900000000000001</v>
      </c>
      <c r="P47" s="103">
        <f t="shared" ref="P47:P66" si="1">O47*$Q$4</f>
        <v>141.87440000000001</v>
      </c>
      <c r="Q47" s="2"/>
      <c r="T47" s="236" t="s">
        <v>107</v>
      </c>
      <c r="U47" s="236">
        <v>129.52000000000001</v>
      </c>
      <c r="W47" s="160">
        <v>42352</v>
      </c>
      <c r="X47" s="12">
        <v>133.85</v>
      </c>
      <c r="Y47" s="12">
        <v>135.57</v>
      </c>
      <c r="Z47" s="12">
        <v>133.41</v>
      </c>
      <c r="AA47" s="12">
        <v>135.41</v>
      </c>
      <c r="AB47" s="115">
        <v>1452500</v>
      </c>
      <c r="AC47" s="12">
        <v>135.41</v>
      </c>
      <c r="AD47" s="2"/>
      <c r="AE47" s="165"/>
    </row>
    <row r="48" spans="15:31" x14ac:dyDescent="0.25">
      <c r="O48" s="103">
        <v>1.08</v>
      </c>
      <c r="P48" s="103">
        <f t="shared" si="1"/>
        <v>140.5728</v>
      </c>
      <c r="Q48" s="2"/>
      <c r="T48" s="236" t="s">
        <v>108</v>
      </c>
      <c r="U48" s="236" t="s">
        <v>479</v>
      </c>
      <c r="W48" s="160">
        <v>42349</v>
      </c>
      <c r="X48" s="12">
        <v>133.22999999999999</v>
      </c>
      <c r="Y48" s="12">
        <v>135.05000000000001</v>
      </c>
      <c r="Z48" s="12">
        <v>133.06</v>
      </c>
      <c r="AA48" s="12">
        <v>134.19999999999999</v>
      </c>
      <c r="AB48" s="115">
        <v>1542400</v>
      </c>
      <c r="AC48" s="12">
        <v>134.19999999999999</v>
      </c>
      <c r="AD48" s="2"/>
      <c r="AE48" s="165"/>
    </row>
    <row r="49" spans="15:31" x14ac:dyDescent="0.25">
      <c r="O49" s="103">
        <v>1.07</v>
      </c>
      <c r="P49" s="103">
        <f t="shared" si="1"/>
        <v>139.27119999999999</v>
      </c>
      <c r="Q49" s="2"/>
      <c r="T49" s="236" t="s">
        <v>109</v>
      </c>
      <c r="U49" s="236" t="s">
        <v>480</v>
      </c>
      <c r="W49" s="160">
        <v>42349</v>
      </c>
      <c r="X49" s="12" t="s">
        <v>300</v>
      </c>
      <c r="Y49" s="12"/>
      <c r="Z49" s="12"/>
      <c r="AA49" s="12"/>
      <c r="AB49" s="115"/>
      <c r="AC49" s="12"/>
      <c r="AD49" s="2"/>
      <c r="AE49" s="165"/>
    </row>
    <row r="50" spans="15:31" x14ac:dyDescent="0.25">
      <c r="O50" s="103">
        <v>1.06</v>
      </c>
      <c r="P50" s="103">
        <f t="shared" si="1"/>
        <v>137.96960000000001</v>
      </c>
      <c r="Q50" s="2"/>
      <c r="T50" s="236" t="s">
        <v>110</v>
      </c>
      <c r="U50" s="236">
        <v>153.08000000000001</v>
      </c>
      <c r="W50" s="160">
        <v>42348</v>
      </c>
      <c r="X50" s="12">
        <v>134.41999999999999</v>
      </c>
      <c r="Y50" s="12">
        <v>136.1</v>
      </c>
      <c r="Z50" s="12">
        <v>133.97999999999999</v>
      </c>
      <c r="AA50" s="12">
        <v>135.13</v>
      </c>
      <c r="AB50" s="115">
        <v>1056700</v>
      </c>
      <c r="AC50" s="12">
        <v>134.97999999999999</v>
      </c>
      <c r="AD50" s="2"/>
      <c r="AE50" s="165"/>
    </row>
    <row r="51" spans="15:31" x14ac:dyDescent="0.25">
      <c r="O51" s="103">
        <v>1.05</v>
      </c>
      <c r="P51" s="103">
        <f t="shared" si="1"/>
        <v>136.66800000000001</v>
      </c>
      <c r="Q51" s="2"/>
      <c r="T51" s="236" t="s">
        <v>111</v>
      </c>
      <c r="U51" s="236">
        <v>0.97044299999999994</v>
      </c>
      <c r="W51" s="160">
        <v>42347</v>
      </c>
      <c r="X51" s="12">
        <v>135.41999999999999</v>
      </c>
      <c r="Y51" s="12">
        <v>136.99</v>
      </c>
      <c r="Z51" s="12">
        <v>134.01</v>
      </c>
      <c r="AA51" s="12">
        <v>134.38999999999999</v>
      </c>
      <c r="AB51" s="115">
        <v>1525000</v>
      </c>
      <c r="AC51" s="12">
        <v>134.24</v>
      </c>
      <c r="AD51" s="2"/>
      <c r="AE51" s="165"/>
    </row>
    <row r="52" spans="15:31" x14ac:dyDescent="0.25">
      <c r="O52" s="103">
        <v>1.04</v>
      </c>
      <c r="P52" s="103">
        <f t="shared" si="1"/>
        <v>135.3664</v>
      </c>
      <c r="Q52" s="2"/>
      <c r="T52" s="236" t="s">
        <v>131</v>
      </c>
      <c r="U52" s="236" t="s">
        <v>301</v>
      </c>
      <c r="W52" s="160">
        <v>42346</v>
      </c>
      <c r="X52" s="12">
        <v>134.94999999999999</v>
      </c>
      <c r="Y52" s="12">
        <v>136.97999999999999</v>
      </c>
      <c r="Z52" s="12">
        <v>134.56</v>
      </c>
      <c r="AA52" s="12">
        <v>136.05000000000001</v>
      </c>
      <c r="AB52" s="115">
        <v>1548700</v>
      </c>
      <c r="AC52" s="12">
        <v>135.9</v>
      </c>
      <c r="AD52" s="2"/>
      <c r="AE52" s="165"/>
    </row>
    <row r="53" spans="15:31" x14ac:dyDescent="0.25">
      <c r="O53" s="103">
        <v>1.03</v>
      </c>
      <c r="P53" s="103">
        <f t="shared" si="1"/>
        <v>134.06479999999999</v>
      </c>
      <c r="Q53" s="2"/>
      <c r="T53" s="236"/>
      <c r="U53" s="236"/>
      <c r="W53" s="160">
        <v>42345</v>
      </c>
      <c r="X53" s="12">
        <v>136.85</v>
      </c>
      <c r="Y53" s="12">
        <v>136.97</v>
      </c>
      <c r="Z53" s="12">
        <v>134.94</v>
      </c>
      <c r="AA53" s="12">
        <v>135.53</v>
      </c>
      <c r="AB53" s="115">
        <v>1341000</v>
      </c>
      <c r="AC53" s="12">
        <v>135.38</v>
      </c>
      <c r="AD53" s="2"/>
      <c r="AE53" s="165"/>
    </row>
    <row r="54" spans="15:31" x14ac:dyDescent="0.25">
      <c r="O54" s="103">
        <v>1.02</v>
      </c>
      <c r="P54" s="103">
        <f t="shared" si="1"/>
        <v>132.76320000000001</v>
      </c>
      <c r="Q54" s="2"/>
      <c r="T54" s="236" t="s">
        <v>113</v>
      </c>
      <c r="U54" s="236" t="s">
        <v>481</v>
      </c>
      <c r="W54" s="160">
        <v>42342</v>
      </c>
      <c r="X54" s="12">
        <v>133.58000000000001</v>
      </c>
      <c r="Y54" s="12">
        <v>137.15</v>
      </c>
      <c r="Z54" s="12">
        <v>133.38</v>
      </c>
      <c r="AA54" s="12">
        <v>137.07</v>
      </c>
      <c r="AB54" s="115">
        <v>1877900</v>
      </c>
      <c r="AC54" s="12">
        <v>136.91999999999999</v>
      </c>
      <c r="AD54" s="2"/>
      <c r="AE54" s="165"/>
    </row>
    <row r="55" spans="15:31" x14ac:dyDescent="0.25">
      <c r="O55" s="103">
        <v>1.01</v>
      </c>
      <c r="P55" s="103">
        <f t="shared" si="1"/>
        <v>131.4616</v>
      </c>
      <c r="Q55" s="2"/>
      <c r="T55" s="236" t="s">
        <v>114</v>
      </c>
      <c r="U55" s="236" t="s">
        <v>302</v>
      </c>
      <c r="W55" s="160">
        <v>42341</v>
      </c>
      <c r="X55" s="12">
        <v>136.74</v>
      </c>
      <c r="Y55" s="12">
        <v>137.62</v>
      </c>
      <c r="Z55" s="12">
        <v>131.78</v>
      </c>
      <c r="AA55" s="12">
        <v>132.57</v>
      </c>
      <c r="AB55" s="115">
        <v>2367600</v>
      </c>
      <c r="AC55" s="12">
        <v>132.41999999999999</v>
      </c>
      <c r="AD55" s="2"/>
      <c r="AE55" s="165"/>
    </row>
    <row r="56" spans="15:31" x14ac:dyDescent="0.25">
      <c r="O56" s="103">
        <v>1</v>
      </c>
      <c r="P56" s="103">
        <f t="shared" si="1"/>
        <v>130.16</v>
      </c>
      <c r="Q56" s="2"/>
      <c r="T56" s="236" t="s">
        <v>115</v>
      </c>
      <c r="U56" s="237">
        <v>1303282</v>
      </c>
      <c r="W56" s="160">
        <v>42340</v>
      </c>
      <c r="X56" s="12">
        <v>138.52000000000001</v>
      </c>
      <c r="Y56" s="12">
        <v>138.87</v>
      </c>
      <c r="Z56" s="12">
        <v>136.53</v>
      </c>
      <c r="AA56" s="12">
        <v>136.77000000000001</v>
      </c>
      <c r="AB56" s="115">
        <v>1534000</v>
      </c>
      <c r="AC56" s="12">
        <v>136.62</v>
      </c>
      <c r="AD56" s="2"/>
      <c r="AE56" s="165"/>
    </row>
    <row r="57" spans="15:31" x14ac:dyDescent="0.25">
      <c r="O57" s="103">
        <v>0.99</v>
      </c>
      <c r="P57" s="103">
        <f t="shared" si="1"/>
        <v>128.85839999999999</v>
      </c>
      <c r="Q57" s="2"/>
      <c r="T57" s="236" t="s">
        <v>118</v>
      </c>
      <c r="U57" s="237">
        <v>2070500</v>
      </c>
      <c r="W57" s="160">
        <v>42339</v>
      </c>
      <c r="X57" s="12">
        <v>138.86000000000001</v>
      </c>
      <c r="Y57" s="12">
        <v>139.66999999999999</v>
      </c>
      <c r="Z57" s="12">
        <v>137.16</v>
      </c>
      <c r="AA57" s="12">
        <v>138.35</v>
      </c>
      <c r="AB57" s="115">
        <v>2719200</v>
      </c>
      <c r="AC57" s="12">
        <v>138.19999999999999</v>
      </c>
      <c r="AD57" s="2"/>
      <c r="AE57" s="165"/>
    </row>
    <row r="58" spans="15:31" x14ac:dyDescent="0.25">
      <c r="O58" s="103">
        <v>0.98</v>
      </c>
      <c r="P58" s="103">
        <f t="shared" si="1"/>
        <v>127.5568</v>
      </c>
      <c r="Q58" s="2"/>
      <c r="T58" s="236" t="s">
        <v>116</v>
      </c>
      <c r="U58" s="236" t="s">
        <v>482</v>
      </c>
      <c r="W58" s="160">
        <v>42338</v>
      </c>
      <c r="X58" s="12">
        <v>140.29</v>
      </c>
      <c r="Y58" s="12">
        <v>140.66</v>
      </c>
      <c r="Z58" s="12">
        <v>138.36000000000001</v>
      </c>
      <c r="AA58" s="12">
        <v>138.4</v>
      </c>
      <c r="AB58" s="115">
        <v>2609600</v>
      </c>
      <c r="AC58" s="12">
        <v>138.25</v>
      </c>
      <c r="AD58" s="2"/>
      <c r="AE58" s="165"/>
    </row>
    <row r="59" spans="15:31" x14ac:dyDescent="0.25">
      <c r="O59" s="103">
        <v>0.97</v>
      </c>
      <c r="P59" s="103">
        <f t="shared" si="1"/>
        <v>126.25519999999999</v>
      </c>
      <c r="T59" s="236" t="s">
        <v>119</v>
      </c>
      <c r="U59" s="236">
        <v>26.47</v>
      </c>
      <c r="W59" s="160">
        <v>42335</v>
      </c>
      <c r="X59" s="12">
        <v>138.63999999999999</v>
      </c>
      <c r="Y59" s="12">
        <v>140.29</v>
      </c>
      <c r="Z59" s="12">
        <v>138.63999999999999</v>
      </c>
      <c r="AA59" s="12">
        <v>139.96</v>
      </c>
      <c r="AB59" s="115">
        <v>643700</v>
      </c>
      <c r="AC59" s="12">
        <v>139.80000000000001</v>
      </c>
      <c r="AD59" s="2"/>
      <c r="AE59" s="165"/>
    </row>
    <row r="60" spans="15:31" x14ac:dyDescent="0.25">
      <c r="O60" s="103">
        <v>0.96</v>
      </c>
      <c r="P60" s="103">
        <f t="shared" si="1"/>
        <v>124.95359999999999</v>
      </c>
      <c r="T60" s="236" t="s">
        <v>120</v>
      </c>
      <c r="U60" s="236">
        <v>4.92</v>
      </c>
      <c r="W60" s="160">
        <v>42333</v>
      </c>
      <c r="X60" s="12">
        <v>137.80000000000001</v>
      </c>
      <c r="Y60" s="12">
        <v>138.94999999999999</v>
      </c>
      <c r="Z60" s="12">
        <v>137.62</v>
      </c>
      <c r="AA60" s="12">
        <v>138.66</v>
      </c>
      <c r="AB60" s="115">
        <v>1085500</v>
      </c>
      <c r="AC60" s="12">
        <v>138.51</v>
      </c>
      <c r="AD60" s="2"/>
      <c r="AE60" s="165"/>
    </row>
    <row r="61" spans="15:31" x14ac:dyDescent="0.25">
      <c r="O61" s="103">
        <v>0.95</v>
      </c>
      <c r="P61" s="103">
        <f t="shared" si="1"/>
        <v>123.65199999999999</v>
      </c>
      <c r="T61" s="236" t="s">
        <v>117</v>
      </c>
      <c r="U61" s="236" t="s">
        <v>483</v>
      </c>
      <c r="W61" s="160">
        <v>42332</v>
      </c>
      <c r="X61" s="12">
        <v>136.59</v>
      </c>
      <c r="Y61" s="12">
        <v>138.11000000000001</v>
      </c>
      <c r="Z61" s="12">
        <v>136.19999999999999</v>
      </c>
      <c r="AA61" s="12">
        <v>137.96</v>
      </c>
      <c r="AB61" s="115">
        <v>1263000</v>
      </c>
      <c r="AC61" s="12">
        <v>137.81</v>
      </c>
      <c r="AD61" s="2"/>
      <c r="AE61" s="165"/>
    </row>
    <row r="62" spans="15:31" x14ac:dyDescent="0.25">
      <c r="O62" s="103">
        <v>0.94</v>
      </c>
      <c r="P62" s="103">
        <f t="shared" si="1"/>
        <v>122.35039999999999</v>
      </c>
      <c r="W62" s="160">
        <v>42331</v>
      </c>
      <c r="X62" s="12">
        <v>137.80000000000001</v>
      </c>
      <c r="Y62" s="12">
        <v>138.6</v>
      </c>
      <c r="Z62" s="12">
        <v>137.07</v>
      </c>
      <c r="AA62" s="12">
        <v>137.6</v>
      </c>
      <c r="AB62" s="115">
        <v>1819000</v>
      </c>
      <c r="AC62" s="12">
        <v>137.44999999999999</v>
      </c>
      <c r="AD62" s="2"/>
      <c r="AE62" s="165"/>
    </row>
    <row r="63" spans="15:31" x14ac:dyDescent="0.25">
      <c r="O63" s="103">
        <v>0.93</v>
      </c>
      <c r="P63" s="103">
        <f t="shared" si="1"/>
        <v>121.0488</v>
      </c>
      <c r="W63" s="160">
        <v>42328</v>
      </c>
      <c r="X63" s="12">
        <v>138.29</v>
      </c>
      <c r="Y63" s="12">
        <v>138.4</v>
      </c>
      <c r="Z63" s="12">
        <v>137.41999999999999</v>
      </c>
      <c r="AA63" s="12">
        <v>137.84</v>
      </c>
      <c r="AB63" s="115">
        <v>2780100</v>
      </c>
      <c r="AC63" s="12">
        <v>137.69</v>
      </c>
      <c r="AD63" s="2"/>
      <c r="AE63" s="165"/>
    </row>
    <row r="64" spans="15:31" x14ac:dyDescent="0.25">
      <c r="O64" s="103">
        <v>0.92</v>
      </c>
      <c r="P64" s="103">
        <f t="shared" si="1"/>
        <v>119.74720000000001</v>
      </c>
      <c r="W64" s="160">
        <v>42327</v>
      </c>
      <c r="X64" s="12">
        <v>137.78</v>
      </c>
      <c r="Y64" s="12">
        <v>138.58000000000001</v>
      </c>
      <c r="Z64" s="12">
        <v>137.16</v>
      </c>
      <c r="AA64" s="12">
        <v>137.4</v>
      </c>
      <c r="AB64" s="115">
        <v>1562200</v>
      </c>
      <c r="AC64" s="12">
        <v>137.25</v>
      </c>
      <c r="AD64" s="2"/>
      <c r="AE64" s="165"/>
    </row>
    <row r="65" spans="15:31" x14ac:dyDescent="0.25">
      <c r="O65" s="103">
        <v>0.91</v>
      </c>
      <c r="P65" s="103">
        <f t="shared" si="1"/>
        <v>118.4456</v>
      </c>
      <c r="W65" s="160">
        <v>42326</v>
      </c>
      <c r="X65" s="12">
        <v>135.68</v>
      </c>
      <c r="Y65" s="12">
        <v>137.94999999999999</v>
      </c>
      <c r="Z65" s="12">
        <v>135.54</v>
      </c>
      <c r="AA65" s="12">
        <v>137.72999999999999</v>
      </c>
      <c r="AB65" s="115">
        <v>1504500</v>
      </c>
      <c r="AC65" s="12">
        <v>137.58000000000001</v>
      </c>
      <c r="AD65" s="2"/>
      <c r="AE65" s="165"/>
    </row>
    <row r="66" spans="15:31" x14ac:dyDescent="0.25">
      <c r="O66" s="103">
        <v>0.9</v>
      </c>
      <c r="P66" s="103">
        <f t="shared" si="1"/>
        <v>117.14400000000001</v>
      </c>
      <c r="W66" s="160">
        <v>42325</v>
      </c>
      <c r="X66" s="12">
        <v>135</v>
      </c>
      <c r="Y66" s="12">
        <v>136.80000000000001</v>
      </c>
      <c r="Z66" s="12">
        <v>134.94</v>
      </c>
      <c r="AA66" s="12">
        <v>135.44</v>
      </c>
      <c r="AB66" s="115">
        <v>1696700</v>
      </c>
      <c r="AC66" s="12">
        <v>135.29</v>
      </c>
      <c r="AD66" s="2"/>
      <c r="AE66" s="165"/>
    </row>
    <row r="67" spans="15:31" x14ac:dyDescent="0.25">
      <c r="W67" s="160">
        <v>42324</v>
      </c>
      <c r="X67" s="12">
        <v>132.58000000000001</v>
      </c>
      <c r="Y67" s="12">
        <v>135.61000000000001</v>
      </c>
      <c r="Z67" s="12">
        <v>132.51</v>
      </c>
      <c r="AA67" s="12">
        <v>135.54</v>
      </c>
      <c r="AB67" s="115">
        <v>1369200</v>
      </c>
      <c r="AC67" s="12">
        <v>135.38999999999999</v>
      </c>
      <c r="AD67" s="2"/>
      <c r="AE67" s="165"/>
    </row>
    <row r="68" spans="15:31" x14ac:dyDescent="0.25">
      <c r="W68" s="160">
        <v>42321</v>
      </c>
      <c r="X68" s="12">
        <v>132.66999999999999</v>
      </c>
      <c r="Y68" s="12">
        <v>133.69</v>
      </c>
      <c r="Z68" s="12">
        <v>131.91</v>
      </c>
      <c r="AA68" s="12">
        <v>132.33000000000001</v>
      </c>
      <c r="AB68" s="115">
        <v>1348400</v>
      </c>
      <c r="AC68" s="12">
        <v>132.18</v>
      </c>
      <c r="AD68" s="2"/>
      <c r="AE68" s="165"/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75" priority="3">
      <formula>F14&gt;0</formula>
    </cfRule>
    <cfRule type="expression" dxfId="74" priority="4">
      <formula>F14&lt;0</formula>
    </cfRule>
  </conditionalFormatting>
  <conditionalFormatting sqref="H14:H25">
    <cfRule type="expression" dxfId="73" priority="1">
      <formula>H14&gt;0</formula>
    </cfRule>
    <cfRule type="expression" dxfId="7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106" t="s">
        <v>180</v>
      </c>
      <c r="W2" s="160">
        <v>42419</v>
      </c>
      <c r="X2" s="12">
        <v>30.23</v>
      </c>
      <c r="Y2" s="12">
        <v>30.4</v>
      </c>
      <c r="Z2" s="12">
        <v>29.57</v>
      </c>
      <c r="AA2" s="12">
        <v>30.14</v>
      </c>
      <c r="AB2" s="115">
        <v>986600</v>
      </c>
      <c r="AC2" s="12">
        <v>30.14</v>
      </c>
      <c r="AD2" s="2">
        <f>Y2-Z2</f>
        <v>0.82999999999999829</v>
      </c>
      <c r="AE2" s="165" t="e">
        <f>AC2/AC3-1</f>
        <v>#DIV/0!</v>
      </c>
      <c r="AP2" t="s">
        <v>209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30.14</v>
      </c>
      <c r="W3" s="160">
        <v>42419</v>
      </c>
      <c r="X3" s="12" t="s">
        <v>158</v>
      </c>
      <c r="Y3" s="12"/>
      <c r="Z3" s="12"/>
      <c r="AA3" s="12"/>
      <c r="AB3" s="115"/>
      <c r="AC3" s="12"/>
      <c r="AD3" s="2">
        <f t="shared" ref="AD3:AD66" si="1">Y3-Z3</f>
        <v>0</v>
      </c>
      <c r="AE3" s="165">
        <f t="shared" ref="AE3:AE66" si="2">AC3/AC4-1</f>
        <v>-1</v>
      </c>
      <c r="AI3" t="s">
        <v>264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30.14</v>
      </c>
      <c r="W4" s="160">
        <v>42418</v>
      </c>
      <c r="X4" s="12">
        <v>30.27</v>
      </c>
      <c r="Y4" s="12">
        <v>30.83</v>
      </c>
      <c r="Z4" s="12">
        <v>29.47</v>
      </c>
      <c r="AA4" s="12">
        <v>30.81</v>
      </c>
      <c r="AB4" s="115">
        <v>1507700</v>
      </c>
      <c r="AC4" s="12">
        <v>30.55</v>
      </c>
      <c r="AD4" s="2">
        <f t="shared" si="1"/>
        <v>1.3599999999999994</v>
      </c>
      <c r="AE4" s="165">
        <f t="shared" si="2"/>
        <v>3.284072249589487E-3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60">
        <v>42417</v>
      </c>
      <c r="X5" s="12">
        <v>30.74</v>
      </c>
      <c r="Y5" s="12">
        <v>31.64</v>
      </c>
      <c r="Z5" s="12">
        <v>30.56</v>
      </c>
      <c r="AA5" s="12">
        <v>30.71</v>
      </c>
      <c r="AB5" s="115">
        <v>1467000</v>
      </c>
      <c r="AC5" s="12">
        <v>30.45</v>
      </c>
      <c r="AD5" s="2">
        <f t="shared" si="1"/>
        <v>1.0800000000000018</v>
      </c>
      <c r="AE5" s="165">
        <f t="shared" si="2"/>
        <v>1.1627906976744207E-2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G6" s="1">
        <v>42412</v>
      </c>
      <c r="H6" s="102">
        <v>90</v>
      </c>
      <c r="I6" s="57">
        <v>29.55</v>
      </c>
      <c r="J6" s="57">
        <v>0.06</v>
      </c>
      <c r="K6" s="7">
        <f>H6*I6-J6</f>
        <v>2659.44</v>
      </c>
      <c r="O6" s="13" t="s">
        <v>64</v>
      </c>
      <c r="Q6" s="2">
        <f>Q3*Q2</f>
        <v>0</v>
      </c>
      <c r="W6" s="160">
        <v>42416</v>
      </c>
      <c r="X6" s="12">
        <v>30.45</v>
      </c>
      <c r="Y6" s="12">
        <v>30.77</v>
      </c>
      <c r="Z6" s="12">
        <v>29.7</v>
      </c>
      <c r="AA6" s="12">
        <v>30.36</v>
      </c>
      <c r="AB6" s="115">
        <v>1056500</v>
      </c>
      <c r="AC6" s="12">
        <v>30.1</v>
      </c>
      <c r="AD6" s="2">
        <f t="shared" si="1"/>
        <v>1.0700000000000003</v>
      </c>
      <c r="AE6" s="165">
        <f t="shared" si="2"/>
        <v>1.5519568151147078E-2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529.88000000000284</v>
      </c>
      <c r="R7" s="244"/>
      <c r="W7" s="160">
        <v>42412</v>
      </c>
      <c r="X7" s="12">
        <v>28.4</v>
      </c>
      <c r="Y7" s="12">
        <v>30.02</v>
      </c>
      <c r="Z7" s="12">
        <v>28.32</v>
      </c>
      <c r="AA7" s="12">
        <v>29.89</v>
      </c>
      <c r="AB7" s="115">
        <v>1182900</v>
      </c>
      <c r="AC7" s="12">
        <v>29.64</v>
      </c>
      <c r="AD7" s="2">
        <f t="shared" si="1"/>
        <v>1.6999999999999993</v>
      </c>
      <c r="AE7" s="165">
        <f t="shared" si="2"/>
        <v>6.3890882986360475E-2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</v>
      </c>
      <c r="W8" s="160">
        <v>42411</v>
      </c>
      <c r="X8" s="12">
        <v>27.75</v>
      </c>
      <c r="Y8" s="12">
        <v>28.58</v>
      </c>
      <c r="Z8" s="12">
        <v>27.63</v>
      </c>
      <c r="AA8" s="12">
        <v>28.1</v>
      </c>
      <c r="AB8" s="115">
        <v>965200</v>
      </c>
      <c r="AC8" s="12">
        <v>27.86</v>
      </c>
      <c r="AD8" s="2">
        <f t="shared" si="1"/>
        <v>0.94999999999999929</v>
      </c>
      <c r="AE8" s="165">
        <f t="shared" si="2"/>
        <v>-3.9327851269216341E-3</v>
      </c>
    </row>
    <row r="9" spans="1:43" x14ac:dyDescent="0.25">
      <c r="B9" s="1">
        <v>42376</v>
      </c>
      <c r="C9" s="7">
        <v>90</v>
      </c>
      <c r="D9" s="57">
        <v>26.75</v>
      </c>
      <c r="E9" s="57">
        <v>0</v>
      </c>
      <c r="F9" s="57">
        <f t="shared" si="0"/>
        <v>2407.5</v>
      </c>
      <c r="W9" s="160">
        <v>42410</v>
      </c>
      <c r="X9" s="12">
        <v>29</v>
      </c>
      <c r="Y9" s="12">
        <v>29.2</v>
      </c>
      <c r="Z9" s="12">
        <v>27.93</v>
      </c>
      <c r="AA9" s="12">
        <v>28.21</v>
      </c>
      <c r="AB9" s="115">
        <v>1155900</v>
      </c>
      <c r="AC9" s="12">
        <v>27.97</v>
      </c>
      <c r="AD9" s="2">
        <f t="shared" si="1"/>
        <v>1.2699999999999996</v>
      </c>
      <c r="AE9" s="165">
        <f t="shared" si="2"/>
        <v>-2.7468706536856846E-2</v>
      </c>
    </row>
    <row r="10" spans="1:43" x14ac:dyDescent="0.25">
      <c r="W10" s="160">
        <v>42409</v>
      </c>
      <c r="X10" s="12">
        <v>28.5</v>
      </c>
      <c r="Y10" s="12">
        <v>29.69</v>
      </c>
      <c r="Z10" s="12">
        <v>28.5</v>
      </c>
      <c r="AA10" s="12">
        <v>29</v>
      </c>
      <c r="AB10" s="115">
        <v>1178900</v>
      </c>
      <c r="AC10" s="12">
        <v>28.76</v>
      </c>
      <c r="AD10" s="2">
        <f t="shared" si="1"/>
        <v>1.1900000000000013</v>
      </c>
      <c r="AE10" s="165">
        <f t="shared" si="2"/>
        <v>-2.7739251040220791E-3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60">
        <v>42408</v>
      </c>
      <c r="X11" s="12">
        <v>29.14</v>
      </c>
      <c r="Y11" s="12">
        <v>29.67</v>
      </c>
      <c r="Z11" s="12">
        <v>28.55</v>
      </c>
      <c r="AA11" s="12">
        <v>29.09</v>
      </c>
      <c r="AB11" s="115">
        <v>1122500</v>
      </c>
      <c r="AC11" s="12">
        <v>28.84</v>
      </c>
      <c r="AD11" s="2">
        <f t="shared" si="1"/>
        <v>1.120000000000001</v>
      </c>
      <c r="AE11" s="165">
        <f t="shared" si="2"/>
        <v>-1.4690809702767371E-2</v>
      </c>
    </row>
    <row r="12" spans="1:43" x14ac:dyDescent="0.25">
      <c r="W12" s="160">
        <v>42405</v>
      </c>
      <c r="X12" s="12">
        <v>29.28</v>
      </c>
      <c r="Y12" s="12">
        <v>30.26</v>
      </c>
      <c r="Z12" s="12">
        <v>29.04</v>
      </c>
      <c r="AA12" s="12">
        <v>29.52</v>
      </c>
      <c r="AB12" s="115">
        <v>1454100</v>
      </c>
      <c r="AC12" s="12">
        <v>29.27</v>
      </c>
      <c r="AD12" s="2">
        <f t="shared" si="1"/>
        <v>1.2200000000000024</v>
      </c>
      <c r="AE12" s="165">
        <f t="shared" si="2"/>
        <v>6.8799449604401985E-3</v>
      </c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I13" s="249" t="s">
        <v>203</v>
      </c>
      <c r="W13" s="160">
        <v>42404</v>
      </c>
      <c r="X13" s="12">
        <v>27.93</v>
      </c>
      <c r="Y13" s="12">
        <v>30.13</v>
      </c>
      <c r="Z13" s="12">
        <v>27.68</v>
      </c>
      <c r="AA13" s="12">
        <v>29.32</v>
      </c>
      <c r="AB13" s="115">
        <v>2103000</v>
      </c>
      <c r="AC13" s="12">
        <v>29.07</v>
      </c>
      <c r="AD13" s="2">
        <f t="shared" si="1"/>
        <v>2.4499999999999993</v>
      </c>
      <c r="AE13" s="165">
        <f t="shared" si="2"/>
        <v>4.643628509719222E-2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4" si="3">IF(C14=0, 0,D14*C14)</f>
        <v>10121.799999999999</v>
      </c>
      <c r="H14" s="305">
        <f t="shared" ref="H14:H24" si="4">IF(C14=0, D14, (E14-D14)/D14)</f>
        <v>-3.3254954652334516E-2</v>
      </c>
      <c r="I14" s="53"/>
      <c r="W14" s="160">
        <v>42403</v>
      </c>
      <c r="X14" s="12">
        <v>26.42</v>
      </c>
      <c r="Y14" s="12">
        <v>28.06</v>
      </c>
      <c r="Z14" s="12">
        <v>25.58</v>
      </c>
      <c r="AA14" s="12">
        <v>28.02</v>
      </c>
      <c r="AB14" s="115">
        <v>1776600</v>
      </c>
      <c r="AC14" s="12">
        <v>27.78</v>
      </c>
      <c r="AD14" s="2">
        <f t="shared" si="1"/>
        <v>2.4800000000000004</v>
      </c>
      <c r="AE14" s="165">
        <f t="shared" si="2"/>
        <v>9.8457888493475698E-2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42402</v>
      </c>
      <c r="X15" s="12">
        <v>25.66</v>
      </c>
      <c r="Y15" s="12">
        <v>25.73</v>
      </c>
      <c r="Z15" s="12">
        <v>25.12</v>
      </c>
      <c r="AA15" s="12">
        <v>25.51</v>
      </c>
      <c r="AB15" s="115">
        <v>1467900</v>
      </c>
      <c r="AC15" s="12">
        <v>25.29</v>
      </c>
      <c r="AD15" s="2">
        <f t="shared" si="1"/>
        <v>0.60999999999999943</v>
      </c>
      <c r="AE15" s="165">
        <f t="shared" si="2"/>
        <v>-2.4681835711531042E-2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42401</v>
      </c>
      <c r="X16" s="12">
        <v>26.08</v>
      </c>
      <c r="Y16" s="12">
        <v>26.31</v>
      </c>
      <c r="Z16" s="12">
        <v>25.58</v>
      </c>
      <c r="AA16" s="12">
        <v>26.15</v>
      </c>
      <c r="AB16" s="115">
        <v>837200</v>
      </c>
      <c r="AC16" s="12">
        <v>25.93</v>
      </c>
      <c r="AD16" s="2">
        <f t="shared" si="1"/>
        <v>0.73000000000000043</v>
      </c>
      <c r="AE16" s="165">
        <f t="shared" si="2"/>
        <v>-1.519179642992774E-2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42398</v>
      </c>
      <c r="X17" s="12">
        <v>25.49</v>
      </c>
      <c r="Y17" s="12">
        <v>26.56</v>
      </c>
      <c r="Z17" s="12">
        <v>25.49</v>
      </c>
      <c r="AA17" s="12">
        <v>26.55</v>
      </c>
      <c r="AB17" s="115">
        <v>1098700</v>
      </c>
      <c r="AC17" s="12">
        <v>26.33</v>
      </c>
      <c r="AD17" s="2">
        <f t="shared" si="1"/>
        <v>1.0700000000000003</v>
      </c>
      <c r="AE17" s="165">
        <f t="shared" si="2"/>
        <v>4.4841269841269904E-2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42397</v>
      </c>
      <c r="X18" s="12">
        <v>25.45</v>
      </c>
      <c r="Y18" s="12">
        <v>25.86</v>
      </c>
      <c r="Z18" s="12">
        <v>24.98</v>
      </c>
      <c r="AA18" s="12">
        <v>25.41</v>
      </c>
      <c r="AB18" s="115">
        <v>885700</v>
      </c>
      <c r="AC18" s="12">
        <v>25.2</v>
      </c>
      <c r="AD18" s="2">
        <f t="shared" si="1"/>
        <v>0.87999999999999901</v>
      </c>
      <c r="AE18" s="165">
        <f t="shared" si="2"/>
        <v>1.0425020048115297E-2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42396</v>
      </c>
      <c r="X19" s="12">
        <v>24.89</v>
      </c>
      <c r="Y19" s="12">
        <v>25.66</v>
      </c>
      <c r="Z19" s="12">
        <v>24.82</v>
      </c>
      <c r="AA19" s="12">
        <v>25.15</v>
      </c>
      <c r="AB19" s="115">
        <v>766500</v>
      </c>
      <c r="AC19" s="12">
        <v>24.94</v>
      </c>
      <c r="AD19" s="2">
        <f t="shared" si="1"/>
        <v>0.83999999999999986</v>
      </c>
      <c r="AE19" s="165">
        <f t="shared" si="2"/>
        <v>5.6451612903225534E-3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42395</v>
      </c>
      <c r="X20" s="12">
        <v>23.83</v>
      </c>
      <c r="Y20" s="12">
        <v>25.1</v>
      </c>
      <c r="Z20" s="12">
        <v>23.59</v>
      </c>
      <c r="AA20" s="12">
        <v>25.01</v>
      </c>
      <c r="AB20" s="115">
        <v>1276500</v>
      </c>
      <c r="AC20" s="12">
        <v>24.8</v>
      </c>
      <c r="AD20" s="2">
        <f t="shared" si="1"/>
        <v>1.5100000000000016</v>
      </c>
      <c r="AE20" s="165">
        <f t="shared" si="2"/>
        <v>5.7569296375266532E-2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42394</v>
      </c>
      <c r="X21" s="12">
        <v>24.1</v>
      </c>
      <c r="Y21" s="12">
        <v>24.33</v>
      </c>
      <c r="Z21" s="12">
        <v>23.57</v>
      </c>
      <c r="AA21" s="12">
        <v>23.65</v>
      </c>
      <c r="AB21" s="115">
        <v>543000</v>
      </c>
      <c r="AC21" s="12">
        <v>23.45</v>
      </c>
      <c r="AD21" s="2">
        <f t="shared" si="1"/>
        <v>0.75999999999999801</v>
      </c>
      <c r="AE21" s="165">
        <f t="shared" si="2"/>
        <v>-2.5353283458021569E-2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42391</v>
      </c>
      <c r="X22" s="12">
        <v>24.02</v>
      </c>
      <c r="Y22" s="12">
        <v>24.81</v>
      </c>
      <c r="Z22" s="12">
        <v>23.86</v>
      </c>
      <c r="AA22" s="12">
        <v>24.26</v>
      </c>
      <c r="AB22" s="115">
        <v>789700</v>
      </c>
      <c r="AC22" s="12">
        <v>24.06</v>
      </c>
      <c r="AD22" s="2">
        <f t="shared" si="1"/>
        <v>0.94999999999999929</v>
      </c>
      <c r="AE22" s="165">
        <f t="shared" si="2"/>
        <v>3.040685224839379E-2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42390</v>
      </c>
      <c r="X23" s="12">
        <v>23.45</v>
      </c>
      <c r="Y23" s="12">
        <v>24.01</v>
      </c>
      <c r="Z23" s="12">
        <v>23.14</v>
      </c>
      <c r="AA23" s="12">
        <v>23.55</v>
      </c>
      <c r="AB23" s="115">
        <v>709400</v>
      </c>
      <c r="AC23" s="12">
        <v>23.35</v>
      </c>
      <c r="AD23" s="2">
        <f t="shared" si="1"/>
        <v>0.87000000000000099</v>
      </c>
      <c r="AE23" s="165">
        <f t="shared" si="2"/>
        <v>6.0318828091339149E-3</v>
      </c>
    </row>
    <row r="24" spans="2:31" x14ac:dyDescent="0.25">
      <c r="B24" s="248">
        <v>42412</v>
      </c>
      <c r="C24" s="12">
        <v>0</v>
      </c>
      <c r="D24" s="53">
        <v>0</v>
      </c>
      <c r="E24" s="53">
        <v>0</v>
      </c>
      <c r="F24" s="53">
        <v>529.88</v>
      </c>
      <c r="G24" s="53">
        <f t="shared" si="3"/>
        <v>0</v>
      </c>
      <c r="H24" s="305">
        <f t="shared" si="4"/>
        <v>0</v>
      </c>
      <c r="I24" s="53"/>
      <c r="W24" s="160">
        <v>42389</v>
      </c>
      <c r="X24" s="12">
        <v>22.69</v>
      </c>
      <c r="Y24" s="12">
        <v>23.62</v>
      </c>
      <c r="Z24" s="12">
        <v>22.22</v>
      </c>
      <c r="AA24" s="12">
        <v>23.41</v>
      </c>
      <c r="AB24" s="115">
        <v>1558900</v>
      </c>
      <c r="AC24" s="12">
        <v>23.21</v>
      </c>
      <c r="AD24" s="2">
        <f t="shared" si="1"/>
        <v>1.4000000000000021</v>
      </c>
      <c r="AE24" s="165">
        <f t="shared" si="2"/>
        <v>-3.8626609442059534E-3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42388</v>
      </c>
      <c r="X25" s="12">
        <v>24.37</v>
      </c>
      <c r="Y25" s="12">
        <v>24.7</v>
      </c>
      <c r="Z25" s="12">
        <v>23.22</v>
      </c>
      <c r="AA25" s="12">
        <v>23.5</v>
      </c>
      <c r="AB25" s="115">
        <v>991800</v>
      </c>
      <c r="AC25" s="12">
        <v>23.3</v>
      </c>
      <c r="AD25" s="2">
        <f t="shared" si="1"/>
        <v>1.4800000000000004</v>
      </c>
      <c r="AE25" s="165">
        <f t="shared" si="2"/>
        <v>-4.1546688605512028E-2</v>
      </c>
    </row>
    <row r="26" spans="2:31" x14ac:dyDescent="0.25">
      <c r="W26" s="160">
        <v>42384</v>
      </c>
      <c r="X26" s="12">
        <v>24.08</v>
      </c>
      <c r="Y26" s="12">
        <v>24.65</v>
      </c>
      <c r="Z26" s="12">
        <v>23.7</v>
      </c>
      <c r="AA26" s="12">
        <v>24.52</v>
      </c>
      <c r="AB26" s="115">
        <v>646200</v>
      </c>
      <c r="AC26" s="12">
        <v>24.31</v>
      </c>
      <c r="AD26" s="2">
        <f t="shared" si="1"/>
        <v>0.94999999999999929</v>
      </c>
      <c r="AE26" s="165">
        <f t="shared" si="2"/>
        <v>-1.0984540276647636E-2</v>
      </c>
    </row>
    <row r="27" spans="2:31" x14ac:dyDescent="0.25">
      <c r="W27" s="160">
        <v>42383</v>
      </c>
      <c r="X27" s="12">
        <v>24.99</v>
      </c>
      <c r="Y27" s="12">
        <v>25.05</v>
      </c>
      <c r="Z27" s="12">
        <v>24.18</v>
      </c>
      <c r="AA27" s="12">
        <v>24.79</v>
      </c>
      <c r="AB27" s="115">
        <v>976200</v>
      </c>
      <c r="AC27" s="12">
        <v>24.58</v>
      </c>
      <c r="AD27" s="2">
        <f t="shared" si="1"/>
        <v>0.87000000000000099</v>
      </c>
      <c r="AE27" s="165">
        <f t="shared" si="2"/>
        <v>0</v>
      </c>
    </row>
    <row r="28" spans="2:31" x14ac:dyDescent="0.25">
      <c r="W28" s="160">
        <v>42382</v>
      </c>
      <c r="X28" s="12">
        <v>25.66</v>
      </c>
      <c r="Y28" s="12">
        <v>25.81</v>
      </c>
      <c r="Z28" s="12">
        <v>24.76</v>
      </c>
      <c r="AA28" s="12">
        <v>24.79</v>
      </c>
      <c r="AB28" s="115">
        <v>859500</v>
      </c>
      <c r="AC28" s="12">
        <v>24.58</v>
      </c>
      <c r="AD28" s="2">
        <f t="shared" si="1"/>
        <v>1.0499999999999972</v>
      </c>
      <c r="AE28" s="165">
        <f t="shared" si="2"/>
        <v>-2.7689873417721667E-2</v>
      </c>
    </row>
    <row r="29" spans="2:31" x14ac:dyDescent="0.25">
      <c r="W29" s="160">
        <v>42381</v>
      </c>
      <c r="X29" s="12">
        <v>25.6</v>
      </c>
      <c r="Y29" s="12">
        <v>25.73</v>
      </c>
      <c r="Z29" s="12">
        <v>24.76</v>
      </c>
      <c r="AA29" s="12">
        <v>25.5</v>
      </c>
      <c r="AB29" s="115">
        <v>915700</v>
      </c>
      <c r="AC29" s="12">
        <v>25.28</v>
      </c>
      <c r="AD29" s="2">
        <f t="shared" si="1"/>
        <v>0.96999999999999886</v>
      </c>
      <c r="AE29" s="165">
        <f t="shared" si="2"/>
        <v>6.7702110712863917E-3</v>
      </c>
    </row>
    <row r="30" spans="2:31" x14ac:dyDescent="0.25">
      <c r="W30" s="160">
        <v>42380</v>
      </c>
      <c r="X30" s="12">
        <v>25.91</v>
      </c>
      <c r="Y30" s="12">
        <v>26</v>
      </c>
      <c r="Z30" s="12">
        <v>25.06</v>
      </c>
      <c r="AA30" s="12">
        <v>25.32</v>
      </c>
      <c r="AB30" s="115">
        <v>1038700</v>
      </c>
      <c r="AC30" s="12">
        <v>25.11</v>
      </c>
      <c r="AD30" s="2">
        <f t="shared" si="1"/>
        <v>0.94000000000000128</v>
      </c>
      <c r="AE30" s="165">
        <f t="shared" si="2"/>
        <v>-1.6065830721003094E-2</v>
      </c>
    </row>
    <row r="31" spans="2:31" x14ac:dyDescent="0.25">
      <c r="W31" s="160">
        <v>42377</v>
      </c>
      <c r="X31" s="12">
        <v>26.88</v>
      </c>
      <c r="Y31" s="12">
        <v>27.09</v>
      </c>
      <c r="Z31" s="12">
        <v>25.69</v>
      </c>
      <c r="AA31" s="12">
        <v>25.74</v>
      </c>
      <c r="AB31" s="115">
        <v>1321500</v>
      </c>
      <c r="AC31" s="12">
        <v>25.52</v>
      </c>
      <c r="AD31" s="2">
        <f t="shared" si="1"/>
        <v>1.3999999999999986</v>
      </c>
      <c r="AE31" s="165">
        <f t="shared" si="2"/>
        <v>-3.5889686437476365E-2</v>
      </c>
    </row>
    <row r="32" spans="2:31" x14ac:dyDescent="0.25">
      <c r="W32" s="160">
        <v>42376</v>
      </c>
      <c r="X32" s="12">
        <v>27.09</v>
      </c>
      <c r="Y32" s="12">
        <v>27.3</v>
      </c>
      <c r="Z32" s="12">
        <v>26.61</v>
      </c>
      <c r="AA32" s="12">
        <v>26.7</v>
      </c>
      <c r="AB32" s="115">
        <v>1566300</v>
      </c>
      <c r="AC32" s="12">
        <v>26.47</v>
      </c>
      <c r="AD32" s="2">
        <f t="shared" si="1"/>
        <v>0.69000000000000128</v>
      </c>
      <c r="AE32" s="165">
        <f t="shared" si="2"/>
        <v>-2.7910392948953366E-2</v>
      </c>
    </row>
    <row r="33" spans="15:31" x14ac:dyDescent="0.25">
      <c r="W33" s="160">
        <v>42375</v>
      </c>
      <c r="X33" s="12">
        <v>27.11</v>
      </c>
      <c r="Y33" s="12">
        <v>27.64</v>
      </c>
      <c r="Z33" s="12">
        <v>27.06</v>
      </c>
      <c r="AA33" s="12">
        <v>27.46</v>
      </c>
      <c r="AB33" s="115">
        <v>933700</v>
      </c>
      <c r="AC33" s="12">
        <v>27.23</v>
      </c>
      <c r="AD33" s="2">
        <f t="shared" si="1"/>
        <v>0.58000000000000185</v>
      </c>
      <c r="AE33" s="165">
        <f t="shared" si="2"/>
        <v>-1.3048205871692642E-2</v>
      </c>
    </row>
    <row r="34" spans="15:31" x14ac:dyDescent="0.25">
      <c r="W34" s="160">
        <v>42374</v>
      </c>
      <c r="X34" s="12">
        <v>28.33</v>
      </c>
      <c r="Y34" s="12">
        <v>28.43</v>
      </c>
      <c r="Z34" s="12">
        <v>27.51</v>
      </c>
      <c r="AA34" s="12">
        <v>27.82</v>
      </c>
      <c r="AB34" s="115">
        <v>554900</v>
      </c>
      <c r="AC34" s="12">
        <v>27.59</v>
      </c>
      <c r="AD34" s="2">
        <f t="shared" si="1"/>
        <v>0.91999999999999815</v>
      </c>
      <c r="AE34" s="165">
        <f t="shared" si="2"/>
        <v>-1.7799928800284803E-2</v>
      </c>
    </row>
    <row r="35" spans="15:31" x14ac:dyDescent="0.25">
      <c r="W35" s="160">
        <v>42373</v>
      </c>
      <c r="X35" s="12">
        <v>27.94</v>
      </c>
      <c r="Y35" s="12">
        <v>28.36</v>
      </c>
      <c r="Z35" s="12">
        <v>27.74</v>
      </c>
      <c r="AA35" s="12">
        <v>28.33</v>
      </c>
      <c r="AB35" s="115">
        <v>691300</v>
      </c>
      <c r="AC35" s="12">
        <v>28.09</v>
      </c>
      <c r="AD35" s="2">
        <f t="shared" si="1"/>
        <v>0.62000000000000099</v>
      </c>
      <c r="AE35" s="165">
        <f t="shared" si="2"/>
        <v>-9.1710758377425705E-3</v>
      </c>
    </row>
    <row r="36" spans="15:31" x14ac:dyDescent="0.25">
      <c r="W36" s="160">
        <v>42369</v>
      </c>
      <c r="X36" s="12">
        <v>28.55</v>
      </c>
      <c r="Y36" s="12">
        <v>28.95</v>
      </c>
      <c r="Z36" s="12">
        <v>28.41</v>
      </c>
      <c r="AA36" s="12">
        <v>28.59</v>
      </c>
      <c r="AB36" s="115">
        <v>655500</v>
      </c>
      <c r="AC36" s="12">
        <v>28.35</v>
      </c>
      <c r="AD36" s="2">
        <f t="shared" si="1"/>
        <v>0.53999999999999915</v>
      </c>
      <c r="AE36" s="165">
        <f t="shared" si="2"/>
        <v>-2.4630541871921707E-3</v>
      </c>
    </row>
    <row r="37" spans="15:31" x14ac:dyDescent="0.25">
      <c r="W37" s="160">
        <v>42368</v>
      </c>
      <c r="X37" s="12">
        <v>28.5</v>
      </c>
      <c r="Y37" s="12">
        <v>28.9</v>
      </c>
      <c r="Z37" s="12">
        <v>28.47</v>
      </c>
      <c r="AA37" s="12">
        <v>28.66</v>
      </c>
      <c r="AB37" s="115">
        <v>457700</v>
      </c>
      <c r="AC37" s="12">
        <v>28.42</v>
      </c>
      <c r="AD37" s="2">
        <f t="shared" si="1"/>
        <v>0.42999999999999972</v>
      </c>
      <c r="AE37" s="165">
        <f t="shared" si="2"/>
        <v>1.7624250969334732E-3</v>
      </c>
    </row>
    <row r="38" spans="15:31" x14ac:dyDescent="0.25">
      <c r="W38" s="160">
        <v>42367</v>
      </c>
      <c r="X38" s="12">
        <v>28.66</v>
      </c>
      <c r="Y38" s="12">
        <v>28.85</v>
      </c>
      <c r="Z38" s="12">
        <v>28.27</v>
      </c>
      <c r="AA38" s="12">
        <v>28.61</v>
      </c>
      <c r="AB38" s="115">
        <v>493600</v>
      </c>
      <c r="AC38" s="12">
        <v>28.37</v>
      </c>
      <c r="AD38" s="2">
        <f t="shared" si="1"/>
        <v>0.58000000000000185</v>
      </c>
      <c r="AE38" s="165">
        <f t="shared" si="2"/>
        <v>5.6717476072314366E-3</v>
      </c>
    </row>
    <row r="39" spans="15:31" x14ac:dyDescent="0.25">
      <c r="W39" s="160">
        <v>42366</v>
      </c>
      <c r="X39" s="12">
        <v>28.81</v>
      </c>
      <c r="Y39" s="12">
        <v>28.94</v>
      </c>
      <c r="Z39" s="12">
        <v>28.29</v>
      </c>
      <c r="AA39" s="12">
        <v>28.45</v>
      </c>
      <c r="AB39" s="115">
        <v>486700</v>
      </c>
      <c r="AC39" s="12">
        <v>28.21</v>
      </c>
      <c r="AD39" s="2">
        <f t="shared" si="1"/>
        <v>0.65000000000000213</v>
      </c>
      <c r="AE39" s="165">
        <f t="shared" si="2"/>
        <v>-1.8441196938065341E-2</v>
      </c>
    </row>
    <row r="40" spans="15:31" x14ac:dyDescent="0.25">
      <c r="W40" s="160">
        <v>42362</v>
      </c>
      <c r="X40" s="12">
        <v>28.77</v>
      </c>
      <c r="Y40" s="12">
        <v>29.19</v>
      </c>
      <c r="Z40" s="12">
        <v>28.77</v>
      </c>
      <c r="AA40" s="12">
        <v>28.98</v>
      </c>
      <c r="AB40" s="115">
        <v>248200</v>
      </c>
      <c r="AC40" s="12">
        <v>28.74</v>
      </c>
      <c r="AD40" s="2">
        <f t="shared" si="1"/>
        <v>0.42000000000000171</v>
      </c>
      <c r="AE40" s="165">
        <f t="shared" si="2"/>
        <v>4.895104895104696E-3</v>
      </c>
    </row>
    <row r="41" spans="15:31" x14ac:dyDescent="0.25">
      <c r="W41" s="160">
        <v>42361</v>
      </c>
      <c r="X41" s="12">
        <v>28.09</v>
      </c>
      <c r="Y41" s="12">
        <v>28.89</v>
      </c>
      <c r="Z41" s="12">
        <v>28.09</v>
      </c>
      <c r="AA41" s="12">
        <v>28.84</v>
      </c>
      <c r="AB41" s="115">
        <v>957600</v>
      </c>
      <c r="AC41" s="12">
        <v>28.6</v>
      </c>
      <c r="AD41" s="2">
        <f t="shared" si="1"/>
        <v>0.80000000000000071</v>
      </c>
      <c r="AE41" s="165">
        <f t="shared" si="2"/>
        <v>3.3984092552422407E-2</v>
      </c>
    </row>
    <row r="42" spans="15:31" x14ac:dyDescent="0.25">
      <c r="W42" s="160">
        <v>42360</v>
      </c>
      <c r="X42" s="12">
        <v>27.45</v>
      </c>
      <c r="Y42" s="12">
        <v>28.2</v>
      </c>
      <c r="Z42" s="12">
        <v>27.42</v>
      </c>
      <c r="AA42" s="12">
        <v>27.9</v>
      </c>
      <c r="AB42" s="115">
        <v>810500</v>
      </c>
      <c r="AC42" s="12">
        <v>27.66</v>
      </c>
      <c r="AD42" s="2">
        <f t="shared" si="1"/>
        <v>0.77999999999999758</v>
      </c>
      <c r="AE42" s="165">
        <f t="shared" si="2"/>
        <v>1.915991156963881E-2</v>
      </c>
    </row>
    <row r="43" spans="15:31" x14ac:dyDescent="0.25">
      <c r="W43" s="160">
        <v>42359</v>
      </c>
      <c r="X43" s="12">
        <v>27.25</v>
      </c>
      <c r="Y43" s="12">
        <v>27.49</v>
      </c>
      <c r="Z43" s="12">
        <v>27.06</v>
      </c>
      <c r="AA43" s="12">
        <v>27.37</v>
      </c>
      <c r="AB43" s="115">
        <v>572900</v>
      </c>
      <c r="AC43" s="12">
        <v>27.14</v>
      </c>
      <c r="AD43" s="2">
        <f t="shared" si="1"/>
        <v>0.42999999999999972</v>
      </c>
      <c r="AE43" s="165">
        <f t="shared" si="2"/>
        <v>1.0800744878957103E-2</v>
      </c>
    </row>
    <row r="44" spans="15:31" x14ac:dyDescent="0.25">
      <c r="W44" s="160">
        <v>42356</v>
      </c>
      <c r="X44" s="12">
        <v>27.19</v>
      </c>
      <c r="Y44" s="12">
        <v>27.41</v>
      </c>
      <c r="Z44" s="12">
        <v>26.94</v>
      </c>
      <c r="AA44" s="12">
        <v>27.08</v>
      </c>
      <c r="AB44" s="115">
        <v>1035800</v>
      </c>
      <c r="AC44" s="12">
        <v>26.85</v>
      </c>
      <c r="AD44" s="2">
        <f t="shared" si="1"/>
        <v>0.46999999999999886</v>
      </c>
      <c r="AE44" s="165">
        <f t="shared" si="2"/>
        <v>-6.6592674805771024E-3</v>
      </c>
    </row>
    <row r="45" spans="15:31" ht="20.25" thickBot="1" x14ac:dyDescent="0.35">
      <c r="O45" s="389" t="s">
        <v>78</v>
      </c>
      <c r="P45" s="389"/>
      <c r="T45" s="111" t="s">
        <v>121</v>
      </c>
      <c r="W45" s="160">
        <v>42355</v>
      </c>
      <c r="X45" s="12">
        <v>28.1</v>
      </c>
      <c r="Y45" s="12">
        <v>28.12</v>
      </c>
      <c r="Z45" s="12">
        <v>27.25</v>
      </c>
      <c r="AA45" s="12">
        <v>27.26</v>
      </c>
      <c r="AB45" s="115">
        <v>928700</v>
      </c>
      <c r="AC45" s="12">
        <v>27.03</v>
      </c>
      <c r="AD45" s="2">
        <f t="shared" si="1"/>
        <v>0.87000000000000099</v>
      </c>
      <c r="AE45" s="165">
        <f t="shared" si="2"/>
        <v>-2.7347966894566311E-2</v>
      </c>
    </row>
    <row r="46" spans="15:31" ht="15.75" thickTop="1" x14ac:dyDescent="0.25">
      <c r="O46" s="103">
        <v>1.1000000000000001</v>
      </c>
      <c r="P46" s="103">
        <f>O46*$Q$4</f>
        <v>33.154000000000003</v>
      </c>
      <c r="Q46" s="2"/>
      <c r="T46" s="236" t="s">
        <v>106</v>
      </c>
      <c r="U46" s="236">
        <v>30.55</v>
      </c>
      <c r="W46" s="160">
        <v>42354</v>
      </c>
      <c r="X46" s="12">
        <v>28.14</v>
      </c>
      <c r="Y46" s="12">
        <v>28.57</v>
      </c>
      <c r="Z46" s="12">
        <v>27.75</v>
      </c>
      <c r="AA46" s="12">
        <v>28.03</v>
      </c>
      <c r="AB46" s="115">
        <v>889500</v>
      </c>
      <c r="AC46" s="12">
        <v>27.79</v>
      </c>
      <c r="AD46" s="2">
        <f t="shared" si="1"/>
        <v>0.82000000000000028</v>
      </c>
      <c r="AE46" s="165">
        <f t="shared" si="2"/>
        <v>2.887044388307336E-3</v>
      </c>
    </row>
    <row r="47" spans="15:31" x14ac:dyDescent="0.25">
      <c r="O47" s="103">
        <v>1.0900000000000001</v>
      </c>
      <c r="P47" s="103">
        <f t="shared" ref="P47:P66" si="5">O47*$Q$4</f>
        <v>32.852600000000002</v>
      </c>
      <c r="Q47" s="2"/>
      <c r="T47" s="236" t="s">
        <v>107</v>
      </c>
      <c r="U47" s="236">
        <v>30.23</v>
      </c>
      <c r="W47" s="160">
        <v>42353</v>
      </c>
      <c r="X47" s="12">
        <v>28.58</v>
      </c>
      <c r="Y47" s="12">
        <v>28.58</v>
      </c>
      <c r="Z47" s="12">
        <v>27.75</v>
      </c>
      <c r="AA47" s="12">
        <v>27.95</v>
      </c>
      <c r="AB47" s="115">
        <v>1002000</v>
      </c>
      <c r="AC47" s="12">
        <v>27.71</v>
      </c>
      <c r="AD47" s="2">
        <f t="shared" si="1"/>
        <v>0.82999999999999829</v>
      </c>
      <c r="AE47" s="165">
        <f t="shared" si="2"/>
        <v>-1.9115044247787538E-2</v>
      </c>
    </row>
    <row r="48" spans="15:31" x14ac:dyDescent="0.25">
      <c r="O48" s="103">
        <v>1.08</v>
      </c>
      <c r="P48" s="103">
        <f t="shared" si="5"/>
        <v>32.551200000000001</v>
      </c>
      <c r="Q48" s="2"/>
      <c r="T48" s="236" t="s">
        <v>108</v>
      </c>
      <c r="U48" s="236" t="s">
        <v>422</v>
      </c>
      <c r="W48" s="160">
        <v>42352</v>
      </c>
      <c r="X48" s="12">
        <v>28.77</v>
      </c>
      <c r="Y48" s="12">
        <v>28.89</v>
      </c>
      <c r="Z48" s="12">
        <v>28.17</v>
      </c>
      <c r="AA48" s="12">
        <v>28.49</v>
      </c>
      <c r="AB48" s="115">
        <v>997700</v>
      </c>
      <c r="AC48" s="12">
        <v>28.25</v>
      </c>
      <c r="AD48" s="2">
        <f t="shared" si="1"/>
        <v>0.71999999999999886</v>
      </c>
      <c r="AE48" s="165">
        <f t="shared" si="2"/>
        <v>-1.0507880910682998E-2</v>
      </c>
    </row>
    <row r="49" spans="15:31" x14ac:dyDescent="0.25">
      <c r="O49" s="103">
        <v>1.07</v>
      </c>
      <c r="P49" s="103">
        <f t="shared" si="5"/>
        <v>32.2498</v>
      </c>
      <c r="Q49" s="2"/>
      <c r="T49" s="236" t="s">
        <v>109</v>
      </c>
      <c r="U49" s="236" t="s">
        <v>423</v>
      </c>
      <c r="W49" s="160">
        <v>42349</v>
      </c>
      <c r="X49" s="12">
        <v>29.05</v>
      </c>
      <c r="Y49" s="12">
        <v>29.17</v>
      </c>
      <c r="Z49" s="12">
        <v>28.76</v>
      </c>
      <c r="AA49" s="12">
        <v>28.79</v>
      </c>
      <c r="AB49" s="115">
        <v>467000</v>
      </c>
      <c r="AC49" s="12">
        <v>28.55</v>
      </c>
      <c r="AD49" s="2">
        <f t="shared" si="1"/>
        <v>0.41000000000000014</v>
      </c>
      <c r="AE49" s="165">
        <f t="shared" si="2"/>
        <v>-2.3597811217510145E-2</v>
      </c>
    </row>
    <row r="50" spans="15:31" x14ac:dyDescent="0.25">
      <c r="O50" s="103">
        <v>1.06</v>
      </c>
      <c r="P50" s="103">
        <f t="shared" si="5"/>
        <v>31.948400000000003</v>
      </c>
      <c r="Q50" s="2"/>
      <c r="T50" s="236" t="s">
        <v>110</v>
      </c>
      <c r="U50" s="236">
        <v>31.14</v>
      </c>
      <c r="W50" s="160">
        <v>42348</v>
      </c>
      <c r="X50" s="12">
        <v>29.67</v>
      </c>
      <c r="Y50" s="12">
        <v>29.97</v>
      </c>
      <c r="Z50" s="12">
        <v>29.41</v>
      </c>
      <c r="AA50" s="12">
        <v>29.49</v>
      </c>
      <c r="AB50" s="115">
        <v>730000</v>
      </c>
      <c r="AC50" s="12">
        <v>29.24</v>
      </c>
      <c r="AD50" s="2">
        <f t="shared" si="1"/>
        <v>0.55999999999999872</v>
      </c>
      <c r="AE50" s="165">
        <f t="shared" si="2"/>
        <v>-7.1307300509337868E-3</v>
      </c>
    </row>
    <row r="51" spans="15:31" x14ac:dyDescent="0.25">
      <c r="O51" s="103">
        <v>1.05</v>
      </c>
      <c r="P51" s="103">
        <f t="shared" si="5"/>
        <v>31.647000000000002</v>
      </c>
      <c r="Q51" s="2"/>
      <c r="T51" s="236" t="s">
        <v>111</v>
      </c>
      <c r="U51" s="236">
        <v>1.3387899999999999</v>
      </c>
      <c r="W51" s="160">
        <v>42347</v>
      </c>
      <c r="X51" s="12">
        <v>29.56</v>
      </c>
      <c r="Y51" s="12">
        <v>30.29</v>
      </c>
      <c r="Z51" s="12">
        <v>29.45</v>
      </c>
      <c r="AA51" s="12">
        <v>29.7</v>
      </c>
      <c r="AB51" s="115">
        <v>556600</v>
      </c>
      <c r="AC51" s="12">
        <v>29.45</v>
      </c>
      <c r="AD51" s="2">
        <f t="shared" si="1"/>
        <v>0.83999999999999986</v>
      </c>
      <c r="AE51" s="165">
        <f t="shared" si="2"/>
        <v>1.7006802721089009E-3</v>
      </c>
    </row>
    <row r="52" spans="15:31" x14ac:dyDescent="0.25">
      <c r="O52" s="103">
        <v>1.04</v>
      </c>
      <c r="P52" s="103">
        <f t="shared" si="5"/>
        <v>31.345600000000001</v>
      </c>
      <c r="Q52" s="2"/>
      <c r="T52" s="236" t="s">
        <v>131</v>
      </c>
      <c r="U52" s="236" t="s">
        <v>296</v>
      </c>
      <c r="W52" s="160">
        <v>42346</v>
      </c>
      <c r="X52" s="12">
        <v>30.39</v>
      </c>
      <c r="Y52" s="12">
        <v>30.49</v>
      </c>
      <c r="Z52" s="12">
        <v>29.62</v>
      </c>
      <c r="AA52" s="12">
        <v>29.65</v>
      </c>
      <c r="AB52" s="115">
        <v>637500</v>
      </c>
      <c r="AC52" s="12">
        <v>29.4</v>
      </c>
      <c r="AD52" s="2">
        <f t="shared" si="1"/>
        <v>0.86999999999999744</v>
      </c>
      <c r="AE52" s="165">
        <f t="shared" si="2"/>
        <v>-3.9843239712606171E-2</v>
      </c>
    </row>
    <row r="53" spans="15:31" x14ac:dyDescent="0.25">
      <c r="O53" s="103">
        <v>1.03</v>
      </c>
      <c r="P53" s="103">
        <f t="shared" si="5"/>
        <v>31.0442</v>
      </c>
      <c r="Q53" s="2"/>
      <c r="T53" s="236"/>
      <c r="U53" s="236"/>
      <c r="W53" s="160">
        <v>42345</v>
      </c>
      <c r="X53" s="12">
        <v>31.15</v>
      </c>
      <c r="Y53" s="12">
        <v>31.15</v>
      </c>
      <c r="Z53" s="12">
        <v>30.62</v>
      </c>
      <c r="AA53" s="12">
        <v>30.88</v>
      </c>
      <c r="AB53" s="115">
        <v>679300</v>
      </c>
      <c r="AC53" s="12">
        <v>30.62</v>
      </c>
      <c r="AD53" s="2">
        <f t="shared" si="1"/>
        <v>0.52999999999999758</v>
      </c>
      <c r="AE53" s="165">
        <f t="shared" si="2"/>
        <v>-1.448342452526552E-2</v>
      </c>
    </row>
    <row r="54" spans="15:31" x14ac:dyDescent="0.25">
      <c r="O54" s="103">
        <v>1.02</v>
      </c>
      <c r="P54" s="103">
        <f t="shared" si="5"/>
        <v>30.742800000000003</v>
      </c>
      <c r="Q54" s="2"/>
      <c r="T54" s="236" t="s">
        <v>113</v>
      </c>
      <c r="U54" s="236" t="s">
        <v>424</v>
      </c>
      <c r="W54" s="160">
        <v>42342</v>
      </c>
      <c r="X54" s="12">
        <v>31.22</v>
      </c>
      <c r="Y54" s="12">
        <v>31.59</v>
      </c>
      <c r="Z54" s="12">
        <v>31.02</v>
      </c>
      <c r="AA54" s="12">
        <v>31.33</v>
      </c>
      <c r="AB54" s="115">
        <v>549000</v>
      </c>
      <c r="AC54" s="12">
        <v>31.07</v>
      </c>
      <c r="AD54" s="2">
        <f t="shared" si="1"/>
        <v>0.57000000000000028</v>
      </c>
      <c r="AE54" s="165">
        <f t="shared" si="2"/>
        <v>0</v>
      </c>
    </row>
    <row r="55" spans="15:31" x14ac:dyDescent="0.25">
      <c r="O55" s="103">
        <v>1.01</v>
      </c>
      <c r="P55" s="103">
        <f t="shared" si="5"/>
        <v>30.441400000000002</v>
      </c>
      <c r="Q55" s="2"/>
      <c r="T55" s="236" t="s">
        <v>114</v>
      </c>
      <c r="U55" s="236" t="s">
        <v>288</v>
      </c>
      <c r="W55" s="160">
        <v>42341</v>
      </c>
      <c r="X55" s="12">
        <v>31.64</v>
      </c>
      <c r="Y55" s="12">
        <v>31.64</v>
      </c>
      <c r="Z55" s="12">
        <v>31.01</v>
      </c>
      <c r="AA55" s="12">
        <v>31.33</v>
      </c>
      <c r="AB55" s="115">
        <v>953300</v>
      </c>
      <c r="AC55" s="12">
        <v>31.07</v>
      </c>
      <c r="AD55" s="2">
        <f t="shared" si="1"/>
        <v>0.62999999999999901</v>
      </c>
      <c r="AE55" s="165">
        <f t="shared" si="2"/>
        <v>-3.8473869830074614E-3</v>
      </c>
    </row>
    <row r="56" spans="15:31" x14ac:dyDescent="0.25">
      <c r="O56" s="103">
        <v>1</v>
      </c>
      <c r="P56" s="103">
        <f t="shared" si="5"/>
        <v>30.14</v>
      </c>
      <c r="Q56" s="2"/>
      <c r="T56" s="236" t="s">
        <v>115</v>
      </c>
      <c r="U56" s="237">
        <v>986626</v>
      </c>
      <c r="W56" s="160">
        <v>42340</v>
      </c>
      <c r="X56" s="12">
        <v>31.88</v>
      </c>
      <c r="Y56" s="12">
        <v>32.17</v>
      </c>
      <c r="Z56" s="12">
        <v>31.29</v>
      </c>
      <c r="AA56" s="12">
        <v>31.46</v>
      </c>
      <c r="AB56" s="115">
        <v>664400</v>
      </c>
      <c r="AC56" s="12">
        <v>31.19</v>
      </c>
      <c r="AD56" s="2">
        <f t="shared" si="1"/>
        <v>0.88000000000000256</v>
      </c>
      <c r="AE56" s="165">
        <f t="shared" si="2"/>
        <v>-1.9490726186733642E-2</v>
      </c>
    </row>
    <row r="57" spans="15:31" x14ac:dyDescent="0.25">
      <c r="O57" s="103">
        <v>0.99</v>
      </c>
      <c r="P57" s="103">
        <f t="shared" si="5"/>
        <v>29.8386</v>
      </c>
      <c r="Q57" s="2"/>
      <c r="T57" s="236" t="s">
        <v>118</v>
      </c>
      <c r="U57" s="237">
        <v>904179</v>
      </c>
      <c r="W57" s="160">
        <v>42339</v>
      </c>
      <c r="X57" s="12">
        <v>32.31</v>
      </c>
      <c r="Y57" s="12">
        <v>32.49</v>
      </c>
      <c r="Z57" s="12">
        <v>31.86</v>
      </c>
      <c r="AA57" s="12">
        <v>32.08</v>
      </c>
      <c r="AB57" s="115">
        <v>466600</v>
      </c>
      <c r="AC57" s="12">
        <v>31.81</v>
      </c>
      <c r="AD57" s="2">
        <f t="shared" si="1"/>
        <v>0.63000000000000256</v>
      </c>
      <c r="AE57" s="165">
        <f t="shared" si="2"/>
        <v>-5.0046918986550448E-3</v>
      </c>
    </row>
    <row r="58" spans="15:31" x14ac:dyDescent="0.25">
      <c r="O58" s="103">
        <v>0.98</v>
      </c>
      <c r="P58" s="103">
        <f t="shared" si="5"/>
        <v>29.537199999999999</v>
      </c>
      <c r="Q58" s="2"/>
      <c r="T58" s="236" t="s">
        <v>116</v>
      </c>
      <c r="U58" s="236" t="s">
        <v>425</v>
      </c>
      <c r="W58" s="160">
        <v>42338</v>
      </c>
      <c r="X58" s="12">
        <v>32.28</v>
      </c>
      <c r="Y58" s="12">
        <v>32.590000000000003</v>
      </c>
      <c r="Z58" s="12">
        <v>32.15</v>
      </c>
      <c r="AA58" s="12">
        <v>32.24</v>
      </c>
      <c r="AB58" s="115">
        <v>519900</v>
      </c>
      <c r="AC58" s="12">
        <v>31.97</v>
      </c>
      <c r="AD58" s="2">
        <f t="shared" si="1"/>
        <v>0.44000000000000483</v>
      </c>
      <c r="AE58" s="165">
        <f t="shared" si="2"/>
        <v>2.5086233929130231E-3</v>
      </c>
    </row>
    <row r="59" spans="15:31" x14ac:dyDescent="0.25">
      <c r="O59" s="103">
        <v>0.97</v>
      </c>
      <c r="P59" s="103">
        <f t="shared" si="5"/>
        <v>29.235800000000001</v>
      </c>
      <c r="T59" s="236" t="s">
        <v>119</v>
      </c>
      <c r="U59" s="236" t="s">
        <v>145</v>
      </c>
      <c r="W59" s="160">
        <v>42335</v>
      </c>
      <c r="X59" s="12">
        <v>32.04</v>
      </c>
      <c r="Y59" s="12">
        <v>32.270000000000003</v>
      </c>
      <c r="Z59" s="12">
        <v>31.47</v>
      </c>
      <c r="AA59" s="12">
        <v>32.159999999999997</v>
      </c>
      <c r="AB59" s="115">
        <v>377100</v>
      </c>
      <c r="AC59" s="12">
        <v>31.89</v>
      </c>
      <c r="AD59" s="2">
        <f t="shared" si="1"/>
        <v>0.80000000000000426</v>
      </c>
      <c r="AE59" s="165">
        <f t="shared" si="2"/>
        <v>3.7771482530690736E-3</v>
      </c>
    </row>
    <row r="60" spans="15:31" x14ac:dyDescent="0.25">
      <c r="O60" s="103">
        <v>0.96</v>
      </c>
      <c r="P60" s="103">
        <f t="shared" si="5"/>
        <v>28.9344</v>
      </c>
      <c r="T60" s="236" t="s">
        <v>120</v>
      </c>
      <c r="U60" s="236">
        <v>-0.84</v>
      </c>
      <c r="W60" s="160">
        <v>42333</v>
      </c>
      <c r="X60" s="12">
        <v>32.119999999999997</v>
      </c>
      <c r="Y60" s="12">
        <v>32.299999999999997</v>
      </c>
      <c r="Z60" s="12">
        <v>31.89</v>
      </c>
      <c r="AA60" s="12">
        <v>32.04</v>
      </c>
      <c r="AB60" s="115">
        <v>627700</v>
      </c>
      <c r="AC60" s="12">
        <v>31.77</v>
      </c>
      <c r="AD60" s="2">
        <f t="shared" si="1"/>
        <v>0.40999999999999659</v>
      </c>
      <c r="AE60" s="165">
        <f t="shared" si="2"/>
        <v>-3.7629350893697566E-3</v>
      </c>
    </row>
    <row r="61" spans="15:31" x14ac:dyDescent="0.25">
      <c r="O61" s="103">
        <v>0.95</v>
      </c>
      <c r="P61" s="103">
        <f t="shared" si="5"/>
        <v>28.632999999999999</v>
      </c>
      <c r="T61" s="236" t="s">
        <v>117</v>
      </c>
      <c r="U61" s="236" t="s">
        <v>426</v>
      </c>
      <c r="W61" s="160">
        <v>42332</v>
      </c>
      <c r="X61" s="12">
        <v>31.4</v>
      </c>
      <c r="Y61" s="12">
        <v>32.22</v>
      </c>
      <c r="Z61" s="12">
        <v>31.34</v>
      </c>
      <c r="AA61" s="12">
        <v>32.159999999999997</v>
      </c>
      <c r="AB61" s="115">
        <v>564500</v>
      </c>
      <c r="AC61" s="12">
        <v>31.89</v>
      </c>
      <c r="AD61" s="2">
        <f t="shared" si="1"/>
        <v>0.87999999999999901</v>
      </c>
      <c r="AE61" s="165">
        <f t="shared" si="2"/>
        <v>1.8199233716475138E-2</v>
      </c>
    </row>
    <row r="62" spans="15:31" x14ac:dyDescent="0.25">
      <c r="O62" s="103">
        <v>0.94</v>
      </c>
      <c r="P62" s="103">
        <f t="shared" si="5"/>
        <v>28.331599999999998</v>
      </c>
      <c r="W62" s="160">
        <v>42331</v>
      </c>
      <c r="X62" s="12">
        <v>31.82</v>
      </c>
      <c r="Y62" s="12">
        <v>32.04</v>
      </c>
      <c r="Z62" s="12">
        <v>31.5</v>
      </c>
      <c r="AA62" s="12">
        <v>31.59</v>
      </c>
      <c r="AB62" s="115">
        <v>508000</v>
      </c>
      <c r="AC62" s="12">
        <v>31.32</v>
      </c>
      <c r="AD62" s="2">
        <f t="shared" si="1"/>
        <v>0.53999999999999915</v>
      </c>
      <c r="AE62" s="165">
        <f t="shared" si="2"/>
        <v>-5.0825921219822545E-3</v>
      </c>
    </row>
    <row r="63" spans="15:31" x14ac:dyDescent="0.25">
      <c r="O63" s="103">
        <v>0.93</v>
      </c>
      <c r="P63" s="103">
        <f t="shared" si="5"/>
        <v>28.030200000000001</v>
      </c>
      <c r="W63" s="160">
        <v>42328</v>
      </c>
      <c r="X63" s="12">
        <v>31.34</v>
      </c>
      <c r="Y63" s="12">
        <v>32</v>
      </c>
      <c r="Z63" s="12">
        <v>31.34</v>
      </c>
      <c r="AA63" s="12">
        <v>31.75</v>
      </c>
      <c r="AB63" s="115">
        <v>931400</v>
      </c>
      <c r="AC63" s="12">
        <v>31.48</v>
      </c>
      <c r="AD63" s="2">
        <f t="shared" si="1"/>
        <v>0.66000000000000014</v>
      </c>
      <c r="AE63" s="165">
        <f t="shared" si="2"/>
        <v>1.7124394184168112E-2</v>
      </c>
    </row>
    <row r="64" spans="15:31" x14ac:dyDescent="0.25">
      <c r="O64" s="103">
        <v>0.92</v>
      </c>
      <c r="P64" s="103">
        <f t="shared" si="5"/>
        <v>27.728800000000003</v>
      </c>
      <c r="W64" s="160">
        <v>42327</v>
      </c>
      <c r="X64" s="12">
        <v>30.98</v>
      </c>
      <c r="Y64" s="12">
        <v>31.33</v>
      </c>
      <c r="Z64" s="12">
        <v>30.81</v>
      </c>
      <c r="AA64" s="12">
        <v>31.21</v>
      </c>
      <c r="AB64" s="115">
        <v>497600</v>
      </c>
      <c r="AC64" s="12">
        <v>30.95</v>
      </c>
      <c r="AD64" s="2">
        <f t="shared" si="1"/>
        <v>0.51999999999999957</v>
      </c>
      <c r="AE64" s="165" t="e">
        <f t="shared" si="2"/>
        <v>#DIV/0!</v>
      </c>
    </row>
    <row r="65" spans="15:31" x14ac:dyDescent="0.25">
      <c r="O65" s="103">
        <v>0.91</v>
      </c>
      <c r="P65" s="103">
        <f t="shared" si="5"/>
        <v>27.427400000000002</v>
      </c>
      <c r="W65" s="160">
        <v>42327</v>
      </c>
      <c r="X65" s="12" t="s">
        <v>158</v>
      </c>
      <c r="Y65" s="12"/>
      <c r="Z65" s="12"/>
      <c r="AA65" s="12"/>
      <c r="AB65" s="115"/>
      <c r="AC65" s="12"/>
      <c r="AD65" s="2">
        <f t="shared" si="1"/>
        <v>0</v>
      </c>
      <c r="AE65" s="165">
        <f t="shared" si="2"/>
        <v>-1</v>
      </c>
    </row>
    <row r="66" spans="15:31" x14ac:dyDescent="0.25">
      <c r="O66" s="103">
        <v>0.9</v>
      </c>
      <c r="P66" s="103">
        <f t="shared" si="5"/>
        <v>27.126000000000001</v>
      </c>
      <c r="W66" s="160">
        <v>42326</v>
      </c>
      <c r="X66" s="12">
        <v>30.85</v>
      </c>
      <c r="Y66" s="12">
        <v>31.35</v>
      </c>
      <c r="Z66" s="12">
        <v>30.69</v>
      </c>
      <c r="AA66" s="12">
        <v>31.28</v>
      </c>
      <c r="AB66" s="115">
        <v>587800</v>
      </c>
      <c r="AC66" s="12">
        <v>30.76</v>
      </c>
      <c r="AD66" s="2">
        <f t="shared" si="1"/>
        <v>0.66000000000000014</v>
      </c>
      <c r="AE66" s="165">
        <f t="shared" si="2"/>
        <v>1.7868960953011381E-2</v>
      </c>
    </row>
    <row r="67" spans="15:31" x14ac:dyDescent="0.25">
      <c r="W67" s="160">
        <v>42325</v>
      </c>
      <c r="X67" s="12">
        <v>31.28</v>
      </c>
      <c r="Y67" s="12">
        <v>31.28</v>
      </c>
      <c r="Z67" s="12">
        <v>30.61</v>
      </c>
      <c r="AA67" s="12">
        <v>30.73</v>
      </c>
      <c r="AB67" s="115">
        <v>641900</v>
      </c>
      <c r="AC67" s="12">
        <v>30.22</v>
      </c>
      <c r="AD67" s="2">
        <f t="shared" ref="AD67:AD68" si="6">Y67-Z67</f>
        <v>0.67000000000000171</v>
      </c>
      <c r="AE67" s="165">
        <f t="shared" ref="AE67" si="7">AC67/AC68-1</f>
        <v>-1.4993481095176064E-2</v>
      </c>
    </row>
    <row r="68" spans="15:31" x14ac:dyDescent="0.25">
      <c r="W68" s="160">
        <v>42324</v>
      </c>
      <c r="X68" s="12">
        <v>30.45</v>
      </c>
      <c r="Y68" s="12">
        <v>31.25</v>
      </c>
      <c r="Z68" s="12">
        <v>30.33</v>
      </c>
      <c r="AA68" s="12">
        <v>31.2</v>
      </c>
      <c r="AB68" s="115">
        <v>612500</v>
      </c>
      <c r="AC68" s="12">
        <v>30.68</v>
      </c>
      <c r="AD68" s="2">
        <f t="shared" si="6"/>
        <v>0.92000000000000171</v>
      </c>
      <c r="AE68" s="165" t="e">
        <f>AC68/AC70-1</f>
        <v>#DIV/0!</v>
      </c>
    </row>
    <row r="69" spans="15:31" x14ac:dyDescent="0.25">
      <c r="W69" s="160">
        <v>42321</v>
      </c>
      <c r="X69" s="12">
        <v>30.11</v>
      </c>
      <c r="Y69" s="12">
        <v>30.67</v>
      </c>
      <c r="Z69" s="12">
        <v>29.99</v>
      </c>
      <c r="AA69" s="12">
        <v>30.52</v>
      </c>
      <c r="AB69" s="115">
        <v>852900</v>
      </c>
      <c r="AC69" s="12">
        <v>30.01</v>
      </c>
      <c r="AD69" s="2">
        <f>Y70-Z70</f>
        <v>0</v>
      </c>
      <c r="AE69" s="165" t="e">
        <f>AC70/AC71-1</f>
        <v>#DIV/0!</v>
      </c>
    </row>
    <row r="70" spans="15:31" x14ac:dyDescent="0.25">
      <c r="W70" s="160" t="s">
        <v>130</v>
      </c>
      <c r="X70" s="12"/>
      <c r="Y70" s="12"/>
      <c r="Z70" s="12"/>
      <c r="AA70" s="12"/>
      <c r="AB70" s="115"/>
      <c r="AC70" s="12"/>
    </row>
  </sheetData>
  <mergeCells count="1">
    <mergeCell ref="O45:P45"/>
  </mergeCells>
  <conditionalFormatting sqref="Q7">
    <cfRule type="expression" dxfId="71" priority="10">
      <formula>Q7&gt;0</formula>
    </cfRule>
    <cfRule type="expression" dxfId="7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9" priority="3">
      <formula>F14&gt;0</formula>
    </cfRule>
    <cfRule type="expression" dxfId="68" priority="4">
      <formula>F14&lt;0</formula>
    </cfRule>
  </conditionalFormatting>
  <conditionalFormatting sqref="H14:H25">
    <cfRule type="expression" dxfId="67" priority="1">
      <formula>H14&gt;0</formula>
    </cfRule>
    <cfRule type="expression" dxfId="6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122</v>
      </c>
      <c r="X1" s="12" t="s">
        <v>123</v>
      </c>
      <c r="Y1" s="12" t="s">
        <v>124</v>
      </c>
      <c r="Z1" s="12" t="s">
        <v>125</v>
      </c>
      <c r="AA1" s="12" t="s">
        <v>126</v>
      </c>
      <c r="AB1" s="12" t="s">
        <v>127</v>
      </c>
      <c r="AC1" s="12" t="s">
        <v>128</v>
      </c>
      <c r="AD1" s="13" t="s">
        <v>142</v>
      </c>
      <c r="AE1" s="13" t="s">
        <v>144</v>
      </c>
      <c r="AI1" t="s">
        <v>204</v>
      </c>
      <c r="AJ1" t="s">
        <v>205</v>
      </c>
      <c r="AK1" t="s">
        <v>206</v>
      </c>
      <c r="AL1" t="s">
        <v>207</v>
      </c>
      <c r="AO1" t="s">
        <v>208</v>
      </c>
      <c r="AP1" t="s">
        <v>59</v>
      </c>
      <c r="AQ1" t="s">
        <v>210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174</v>
      </c>
      <c r="W2" s="160">
        <v>42419</v>
      </c>
      <c r="X2" s="12">
        <v>1.81</v>
      </c>
      <c r="Y2" s="12">
        <v>1.95</v>
      </c>
      <c r="Z2" s="12">
        <v>1.71</v>
      </c>
      <c r="AA2" s="12">
        <v>1.75</v>
      </c>
      <c r="AB2" s="115">
        <v>198200</v>
      </c>
      <c r="AC2" s="12">
        <v>1.75</v>
      </c>
      <c r="AD2" s="2">
        <f>Y2-Z2</f>
        <v>0.24</v>
      </c>
      <c r="AE2" s="165">
        <f>AC2/AC3-1</f>
        <v>-2.777777777777779E-2</v>
      </c>
      <c r="AP2" t="s">
        <v>209</v>
      </c>
    </row>
    <row r="3" spans="1:43" x14ac:dyDescent="0.25">
      <c r="A3" s="26" t="s">
        <v>71</v>
      </c>
      <c r="B3" s="390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1.75</v>
      </c>
      <c r="T3" s="1">
        <v>42293</v>
      </c>
      <c r="U3" s="106" t="s">
        <v>184</v>
      </c>
      <c r="W3" s="160">
        <v>42418</v>
      </c>
      <c r="X3" s="12">
        <v>1.75</v>
      </c>
      <c r="Y3" s="12">
        <v>1.92</v>
      </c>
      <c r="Z3" s="12">
        <v>1.75</v>
      </c>
      <c r="AA3" s="12">
        <v>1.8</v>
      </c>
      <c r="AB3" s="115">
        <v>106100</v>
      </c>
      <c r="AC3" s="12">
        <v>1.8</v>
      </c>
      <c r="AD3" s="2">
        <f t="shared" ref="AD3:AD66" si="0">Y3-Z3</f>
        <v>0.16999999999999993</v>
      </c>
      <c r="AE3" s="165">
        <f t="shared" ref="AE3:AE66" si="1">AC3/AC4-1</f>
        <v>2.8571428571428692E-2</v>
      </c>
      <c r="AG3" s="1">
        <v>42336</v>
      </c>
      <c r="AI3" t="s">
        <v>222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90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1.75</v>
      </c>
      <c r="U4" s="106"/>
      <c r="W4" s="160">
        <v>42417</v>
      </c>
      <c r="X4" s="12">
        <v>1.69</v>
      </c>
      <c r="Y4" s="12">
        <v>1.76</v>
      </c>
      <c r="Z4" s="12">
        <v>1.64</v>
      </c>
      <c r="AA4" s="12">
        <v>1.75</v>
      </c>
      <c r="AB4" s="115">
        <v>82800</v>
      </c>
      <c r="AC4" s="12">
        <v>1.75</v>
      </c>
      <c r="AD4" s="2">
        <f t="shared" si="0"/>
        <v>0.12000000000000011</v>
      </c>
      <c r="AE4" s="165">
        <f t="shared" si="1"/>
        <v>5.4216867469879526E-2</v>
      </c>
      <c r="AI4" t="s">
        <v>220</v>
      </c>
      <c r="AJ4">
        <v>-50</v>
      </c>
      <c r="AK4" t="s">
        <v>213</v>
      </c>
      <c r="AL4" t="s">
        <v>213</v>
      </c>
      <c r="AO4">
        <v>-168.99</v>
      </c>
      <c r="AP4" t="s">
        <v>213</v>
      </c>
      <c r="AQ4" t="s">
        <v>213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42416</v>
      </c>
      <c r="X5" s="12">
        <v>1.7</v>
      </c>
      <c r="Y5" s="12">
        <v>1.7</v>
      </c>
      <c r="Z5" s="12">
        <v>1.63</v>
      </c>
      <c r="AA5" s="12">
        <v>1.66</v>
      </c>
      <c r="AB5" s="115">
        <v>82900</v>
      </c>
      <c r="AC5" s="12">
        <v>1.66</v>
      </c>
      <c r="AD5" s="2">
        <f t="shared" si="0"/>
        <v>7.0000000000000062E-2</v>
      </c>
      <c r="AE5" s="165">
        <f t="shared" si="1"/>
        <v>-1.1904761904761862E-2</v>
      </c>
      <c r="AI5" t="s">
        <v>261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42412</v>
      </c>
      <c r="X6" s="12">
        <v>1.53</v>
      </c>
      <c r="Y6" s="12">
        <v>1.69</v>
      </c>
      <c r="Z6" s="12">
        <v>1.52</v>
      </c>
      <c r="AA6" s="12">
        <v>1.68</v>
      </c>
      <c r="AB6" s="115">
        <v>86800</v>
      </c>
      <c r="AC6" s="12">
        <v>1.68</v>
      </c>
      <c r="AD6" s="2">
        <f t="shared" si="0"/>
        <v>0.16999999999999993</v>
      </c>
      <c r="AE6" s="165">
        <f t="shared" si="1"/>
        <v>0.11258278145695355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42411</v>
      </c>
      <c r="X7" s="12">
        <v>1.43</v>
      </c>
      <c r="Y7" s="12">
        <v>1.66</v>
      </c>
      <c r="Z7" s="12">
        <v>1.43</v>
      </c>
      <c r="AA7" s="12">
        <v>1.51</v>
      </c>
      <c r="AB7" s="115">
        <v>28200</v>
      </c>
      <c r="AC7" s="12">
        <v>1.51</v>
      </c>
      <c r="AD7" s="2">
        <f t="shared" si="0"/>
        <v>0.22999999999999998</v>
      </c>
      <c r="AE7" s="165">
        <f t="shared" si="1"/>
        <v>2.0270270270270396E-2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42410</v>
      </c>
      <c r="X8" s="12">
        <v>1.53</v>
      </c>
      <c r="Y8" s="12">
        <v>1.53</v>
      </c>
      <c r="Z8" s="12">
        <v>1.44</v>
      </c>
      <c r="AA8" s="12">
        <v>1.48</v>
      </c>
      <c r="AB8" s="115">
        <v>31300</v>
      </c>
      <c r="AC8" s="12">
        <v>1.48</v>
      </c>
      <c r="AD8" s="2">
        <f t="shared" si="0"/>
        <v>9.000000000000008E-2</v>
      </c>
      <c r="AE8" s="165">
        <f t="shared" si="1"/>
        <v>-1.3333333333333308E-2</v>
      </c>
    </row>
    <row r="9" spans="1:43" x14ac:dyDescent="0.25">
      <c r="E9" s="2"/>
      <c r="U9" s="106"/>
      <c r="W9" s="160">
        <v>42409</v>
      </c>
      <c r="X9" s="12">
        <v>1.5</v>
      </c>
      <c r="Y9" s="12">
        <v>1.64</v>
      </c>
      <c r="Z9" s="12">
        <v>1.45</v>
      </c>
      <c r="AA9" s="12">
        <v>1.5</v>
      </c>
      <c r="AB9" s="115">
        <v>71300</v>
      </c>
      <c r="AC9" s="12">
        <v>1.5</v>
      </c>
      <c r="AD9" s="2">
        <f t="shared" si="0"/>
        <v>0.18999999999999995</v>
      </c>
      <c r="AE9" s="165">
        <f t="shared" si="1"/>
        <v>-3.8461538461538547E-2</v>
      </c>
      <c r="AG9" s="1">
        <v>42339</v>
      </c>
      <c r="AI9" t="s">
        <v>204</v>
      </c>
      <c r="AJ9" t="s">
        <v>205</v>
      </c>
      <c r="AK9" t="s">
        <v>206</v>
      </c>
      <c r="AL9" t="s">
        <v>207</v>
      </c>
      <c r="AO9" t="s">
        <v>208</v>
      </c>
      <c r="AP9" t="s">
        <v>59</v>
      </c>
      <c r="AQ9" t="s">
        <v>210</v>
      </c>
    </row>
    <row r="10" spans="1:43" x14ac:dyDescent="0.25">
      <c r="B10" s="246" t="s">
        <v>122</v>
      </c>
      <c r="C10" s="246" t="s">
        <v>189</v>
      </c>
      <c r="D10" s="247" t="s">
        <v>188</v>
      </c>
      <c r="E10" s="249" t="s">
        <v>190</v>
      </c>
      <c r="F10" s="250" t="s">
        <v>65</v>
      </c>
      <c r="G10" s="294" t="s">
        <v>195</v>
      </c>
      <c r="H10" s="250" t="s">
        <v>92</v>
      </c>
      <c r="U10" s="106"/>
      <c r="W10" s="160">
        <v>42408</v>
      </c>
      <c r="X10" s="12">
        <v>1.6</v>
      </c>
      <c r="Y10" s="12">
        <v>1.68</v>
      </c>
      <c r="Z10" s="12">
        <v>1.5</v>
      </c>
      <c r="AA10" s="12">
        <v>1.56</v>
      </c>
      <c r="AB10" s="115">
        <v>94200</v>
      </c>
      <c r="AC10" s="12">
        <v>1.56</v>
      </c>
      <c r="AD10" s="2">
        <f t="shared" si="0"/>
        <v>0.17999999999999994</v>
      </c>
      <c r="AE10" s="165">
        <f t="shared" si="1"/>
        <v>-7.6923076923076872E-2</v>
      </c>
      <c r="AP10" t="s">
        <v>209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42405</v>
      </c>
      <c r="X11" s="12">
        <v>1.7</v>
      </c>
      <c r="Y11" s="12">
        <v>1.75</v>
      </c>
      <c r="Z11" s="12">
        <v>1.6</v>
      </c>
      <c r="AA11" s="12">
        <v>1.69</v>
      </c>
      <c r="AB11" s="115">
        <v>29300</v>
      </c>
      <c r="AC11" s="12">
        <v>1.69</v>
      </c>
      <c r="AD11" s="2">
        <f t="shared" si="0"/>
        <v>0.14999999999999991</v>
      </c>
      <c r="AE11" s="165">
        <f t="shared" si="1"/>
        <v>-5.8823529411764497E-3</v>
      </c>
      <c r="AI11" t="s">
        <v>222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145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42404</v>
      </c>
      <c r="X12" s="12">
        <v>1.74</v>
      </c>
      <c r="Y12" s="12">
        <v>1.88</v>
      </c>
      <c r="Z12" s="12">
        <v>1.69</v>
      </c>
      <c r="AA12" s="12">
        <v>1.7</v>
      </c>
      <c r="AB12" s="115">
        <v>38400</v>
      </c>
      <c r="AC12" s="12">
        <v>1.7</v>
      </c>
      <c r="AD12" s="2">
        <f t="shared" si="0"/>
        <v>0.18999999999999995</v>
      </c>
      <c r="AE12" s="165">
        <f t="shared" si="1"/>
        <v>-5.8479532163743242E-3</v>
      </c>
      <c r="AI12" t="s">
        <v>220</v>
      </c>
      <c r="AJ12">
        <v>-50</v>
      </c>
      <c r="AK12" t="s">
        <v>213</v>
      </c>
      <c r="AL12" t="s">
        <v>213</v>
      </c>
      <c r="AO12">
        <v>-168.99</v>
      </c>
      <c r="AP12" t="s">
        <v>213</v>
      </c>
      <c r="AQ12" t="s">
        <v>213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42403</v>
      </c>
      <c r="X13" s="12">
        <v>1.89</v>
      </c>
      <c r="Y13" s="12">
        <v>1.89</v>
      </c>
      <c r="Z13" s="12">
        <v>1.52</v>
      </c>
      <c r="AA13" s="12">
        <v>1.71</v>
      </c>
      <c r="AB13" s="115">
        <v>107400</v>
      </c>
      <c r="AC13" s="12">
        <v>1.71</v>
      </c>
      <c r="AD13" s="2">
        <f t="shared" si="0"/>
        <v>0.36999999999999988</v>
      </c>
      <c r="AE13" s="165">
        <f t="shared" si="1"/>
        <v>4.2682926829268331E-2</v>
      </c>
      <c r="AI13" t="s">
        <v>267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42402</v>
      </c>
      <c r="X14" s="12">
        <v>1.67</v>
      </c>
      <c r="Y14" s="12">
        <v>1.7</v>
      </c>
      <c r="Z14" s="12">
        <v>1.58</v>
      </c>
      <c r="AA14" s="12">
        <v>1.64</v>
      </c>
      <c r="AB14" s="115">
        <v>53800</v>
      </c>
      <c r="AC14" s="12">
        <v>1.64</v>
      </c>
      <c r="AD14" s="2">
        <f t="shared" si="0"/>
        <v>0.11999999999999988</v>
      </c>
      <c r="AE14" s="165">
        <f t="shared" si="1"/>
        <v>-3.5294117647058809E-2</v>
      </c>
      <c r="AI14" t="s">
        <v>268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42401</v>
      </c>
      <c r="X15" s="12">
        <v>1.59</v>
      </c>
      <c r="Y15" s="12">
        <v>1.7</v>
      </c>
      <c r="Z15" s="12">
        <v>1.55</v>
      </c>
      <c r="AA15" s="12">
        <v>1.7</v>
      </c>
      <c r="AB15" s="115">
        <v>73100</v>
      </c>
      <c r="AC15" s="12">
        <v>1.7</v>
      </c>
      <c r="AD15" s="2">
        <f t="shared" si="0"/>
        <v>0.14999999999999991</v>
      </c>
      <c r="AE15" s="165">
        <f t="shared" si="1"/>
        <v>6.9182389937106903E-2</v>
      </c>
      <c r="AI15" t="s">
        <v>212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42398</v>
      </c>
      <c r="X16" s="12">
        <v>1.59</v>
      </c>
      <c r="Y16" s="12">
        <v>1.74</v>
      </c>
      <c r="Z16" s="12">
        <v>1.57</v>
      </c>
      <c r="AA16" s="12">
        <v>1.59</v>
      </c>
      <c r="AB16" s="115">
        <v>72800</v>
      </c>
      <c r="AC16" s="12">
        <v>1.59</v>
      </c>
      <c r="AD16" s="2">
        <f t="shared" si="0"/>
        <v>0.16999999999999993</v>
      </c>
      <c r="AE16" s="165">
        <f t="shared" si="1"/>
        <v>-6.2499999999999778E-3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-31.47</v>
      </c>
      <c r="G17" s="53">
        <f t="shared" si="4"/>
        <v>0</v>
      </c>
      <c r="H17" s="305">
        <f t="shared" si="5"/>
        <v>0</v>
      </c>
      <c r="U17" s="106"/>
      <c r="W17" s="160">
        <v>42397</v>
      </c>
      <c r="X17" s="12">
        <v>1.64</v>
      </c>
      <c r="Y17" s="12">
        <v>1.72</v>
      </c>
      <c r="Z17" s="12">
        <v>1.53</v>
      </c>
      <c r="AA17" s="12">
        <v>1.6</v>
      </c>
      <c r="AB17" s="115">
        <v>105800</v>
      </c>
      <c r="AC17" s="12">
        <v>1.6</v>
      </c>
      <c r="AD17" s="2">
        <f t="shared" si="0"/>
        <v>0.18999999999999995</v>
      </c>
      <c r="AE17" s="165">
        <f t="shared" si="1"/>
        <v>-6.2111801242236142E-3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42396</v>
      </c>
      <c r="X18" s="12">
        <v>1.61</v>
      </c>
      <c r="Y18" s="12">
        <v>1.94</v>
      </c>
      <c r="Z18" s="12">
        <v>1.6</v>
      </c>
      <c r="AA18" s="12">
        <v>1.61</v>
      </c>
      <c r="AB18" s="115">
        <v>364700</v>
      </c>
      <c r="AC18" s="12">
        <v>1.61</v>
      </c>
      <c r="AD18" s="2">
        <f t="shared" si="0"/>
        <v>0.33999999999999986</v>
      </c>
      <c r="AE18" s="165">
        <f t="shared" si="1"/>
        <v>-5.2941176470588158E-2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42395</v>
      </c>
      <c r="X19" s="12">
        <v>1.6</v>
      </c>
      <c r="Y19" s="12">
        <v>1.72</v>
      </c>
      <c r="Z19" s="12">
        <v>1.6</v>
      </c>
      <c r="AA19" s="12">
        <v>1.7</v>
      </c>
      <c r="AB19" s="115">
        <v>92000</v>
      </c>
      <c r="AC19" s="12">
        <v>1.7</v>
      </c>
      <c r="AD19" s="2">
        <f t="shared" si="0"/>
        <v>0.11999999999999988</v>
      </c>
      <c r="AE19" s="165">
        <f t="shared" si="1"/>
        <v>1.7964071856287456E-2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42394</v>
      </c>
      <c r="X20" s="12">
        <v>1.73</v>
      </c>
      <c r="Y20" s="12">
        <v>1.75</v>
      </c>
      <c r="Z20" s="12">
        <v>1.63</v>
      </c>
      <c r="AA20" s="12">
        <v>1.67</v>
      </c>
      <c r="AB20" s="115">
        <v>47300</v>
      </c>
      <c r="AC20" s="12">
        <v>1.67</v>
      </c>
      <c r="AD20" s="2">
        <f t="shared" si="0"/>
        <v>0.12000000000000011</v>
      </c>
      <c r="AE20" s="165">
        <f t="shared" si="1"/>
        <v>-3.4682080924855474E-2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42391</v>
      </c>
      <c r="X21" s="12">
        <v>1.61</v>
      </c>
      <c r="Y21" s="12">
        <v>1.78</v>
      </c>
      <c r="Z21" s="12">
        <v>1.6</v>
      </c>
      <c r="AA21" s="12">
        <v>1.73</v>
      </c>
      <c r="AB21" s="115">
        <v>45500</v>
      </c>
      <c r="AC21" s="12">
        <v>1.73</v>
      </c>
      <c r="AD21" s="2">
        <f t="shared" si="0"/>
        <v>0.17999999999999994</v>
      </c>
      <c r="AE21" s="165">
        <f t="shared" si="1"/>
        <v>1.7647058823529349E-2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42390</v>
      </c>
      <c r="X22" s="12">
        <v>1.52</v>
      </c>
      <c r="Y22" s="12">
        <v>1.84</v>
      </c>
      <c r="Z22" s="12">
        <v>1.52</v>
      </c>
      <c r="AA22" s="12">
        <v>1.7</v>
      </c>
      <c r="AB22" s="115">
        <v>83700</v>
      </c>
      <c r="AC22" s="12">
        <v>1.7</v>
      </c>
      <c r="AD22" s="2">
        <f t="shared" si="0"/>
        <v>0.32000000000000006</v>
      </c>
      <c r="AE22" s="165">
        <f t="shared" si="1"/>
        <v>0.11111111111111116</v>
      </c>
    </row>
    <row r="23" spans="2:31" x14ac:dyDescent="0.25">
      <c r="W23" s="160">
        <v>42389</v>
      </c>
      <c r="X23" s="12">
        <v>1.49</v>
      </c>
      <c r="Y23" s="12">
        <v>1.55</v>
      </c>
      <c r="Z23" s="12">
        <v>1.36</v>
      </c>
      <c r="AA23" s="12">
        <v>1.53</v>
      </c>
      <c r="AB23" s="115">
        <v>161400</v>
      </c>
      <c r="AC23" s="12">
        <v>1.53</v>
      </c>
      <c r="AD23" s="2">
        <f t="shared" si="0"/>
        <v>0.18999999999999995</v>
      </c>
      <c r="AE23" s="165">
        <f t="shared" si="1"/>
        <v>6.5789473684210176E-3</v>
      </c>
    </row>
    <row r="24" spans="2:31" x14ac:dyDescent="0.25">
      <c r="W24" s="160">
        <v>42388</v>
      </c>
      <c r="X24" s="12">
        <v>1.61</v>
      </c>
      <c r="Y24" s="12">
        <v>1.74</v>
      </c>
      <c r="Z24" s="12">
        <v>1.46</v>
      </c>
      <c r="AA24" s="12">
        <v>1.52</v>
      </c>
      <c r="AB24" s="115">
        <v>99000</v>
      </c>
      <c r="AC24" s="12">
        <v>1.52</v>
      </c>
      <c r="AD24" s="2">
        <f t="shared" si="0"/>
        <v>0.28000000000000003</v>
      </c>
      <c r="AE24" s="165">
        <f t="shared" si="1"/>
        <v>-6.748466257668706E-2</v>
      </c>
    </row>
    <row r="25" spans="2:31" x14ac:dyDescent="0.25">
      <c r="W25" s="160">
        <v>42384</v>
      </c>
      <c r="X25" s="12">
        <v>1.69</v>
      </c>
      <c r="Y25" s="12">
        <v>1.83</v>
      </c>
      <c r="Z25" s="12">
        <v>1.56</v>
      </c>
      <c r="AA25" s="12">
        <v>1.63</v>
      </c>
      <c r="AB25" s="115">
        <v>181800</v>
      </c>
      <c r="AC25" s="12">
        <v>1.63</v>
      </c>
      <c r="AD25" s="2">
        <f t="shared" si="0"/>
        <v>0.27</v>
      </c>
      <c r="AE25" s="165">
        <f t="shared" si="1"/>
        <v>-2.9761904761904767E-2</v>
      </c>
    </row>
    <row r="26" spans="2:31" x14ac:dyDescent="0.25">
      <c r="W26" s="160">
        <v>42383</v>
      </c>
      <c r="X26" s="12">
        <v>1.65</v>
      </c>
      <c r="Y26" s="12">
        <v>1.72</v>
      </c>
      <c r="Z26" s="12">
        <v>1.57</v>
      </c>
      <c r="AA26" s="12">
        <v>1.68</v>
      </c>
      <c r="AB26" s="115">
        <v>153600</v>
      </c>
      <c r="AC26" s="12">
        <v>1.68</v>
      </c>
      <c r="AD26" s="2">
        <f t="shared" si="0"/>
        <v>0.14999999999999991</v>
      </c>
      <c r="AE26" s="165">
        <f t="shared" si="1"/>
        <v>1.2048192771084265E-2</v>
      </c>
    </row>
    <row r="27" spans="2:31" x14ac:dyDescent="0.25">
      <c r="W27" s="160">
        <v>42382</v>
      </c>
      <c r="X27" s="12">
        <v>1.88</v>
      </c>
      <c r="Y27" s="12">
        <v>2.02</v>
      </c>
      <c r="Z27" s="12">
        <v>1.63</v>
      </c>
      <c r="AA27" s="12">
        <v>1.66</v>
      </c>
      <c r="AB27" s="115">
        <v>132600</v>
      </c>
      <c r="AC27" s="12">
        <v>1.66</v>
      </c>
      <c r="AD27" s="2">
        <f t="shared" si="0"/>
        <v>0.39000000000000012</v>
      </c>
      <c r="AE27" s="165">
        <f t="shared" si="1"/>
        <v>-0.10270270270270276</v>
      </c>
    </row>
    <row r="28" spans="2:31" x14ac:dyDescent="0.25">
      <c r="W28" s="160">
        <v>42381</v>
      </c>
      <c r="X28" s="12">
        <v>1.9</v>
      </c>
      <c r="Y28" s="12">
        <v>2</v>
      </c>
      <c r="Z28" s="12">
        <v>1.8</v>
      </c>
      <c r="AA28" s="12">
        <v>1.85</v>
      </c>
      <c r="AB28" s="115">
        <v>133400</v>
      </c>
      <c r="AC28" s="12">
        <v>1.85</v>
      </c>
      <c r="AD28" s="2">
        <f t="shared" si="0"/>
        <v>0.19999999999999996</v>
      </c>
      <c r="AE28" s="165">
        <f t="shared" si="1"/>
        <v>-3.1413612565444948E-2</v>
      </c>
    </row>
    <row r="29" spans="2:31" x14ac:dyDescent="0.25">
      <c r="W29" s="160">
        <v>42380</v>
      </c>
      <c r="X29" s="12">
        <v>2.2400000000000002</v>
      </c>
      <c r="Y29" s="12">
        <v>2.2400000000000002</v>
      </c>
      <c r="Z29" s="12">
        <v>1.9</v>
      </c>
      <c r="AA29" s="12">
        <v>1.91</v>
      </c>
      <c r="AB29" s="115">
        <v>140100</v>
      </c>
      <c r="AC29" s="12">
        <v>1.91</v>
      </c>
      <c r="AD29" s="2">
        <f t="shared" si="0"/>
        <v>0.3400000000000003</v>
      </c>
      <c r="AE29" s="165">
        <f t="shared" si="1"/>
        <v>-0.12385321100917446</v>
      </c>
    </row>
    <row r="30" spans="2:31" x14ac:dyDescent="0.25">
      <c r="O30" s="47"/>
      <c r="S30" s="106"/>
      <c r="W30" s="160">
        <v>42377</v>
      </c>
      <c r="X30" s="12">
        <v>2.08</v>
      </c>
      <c r="Y30" s="12">
        <v>2.29</v>
      </c>
      <c r="Z30" s="12">
        <v>2.08</v>
      </c>
      <c r="AA30" s="12">
        <v>2.1800000000000002</v>
      </c>
      <c r="AB30" s="115">
        <v>37100</v>
      </c>
      <c r="AC30" s="12">
        <v>2.1800000000000002</v>
      </c>
      <c r="AD30" s="2">
        <f t="shared" si="0"/>
        <v>0.20999999999999996</v>
      </c>
      <c r="AE30" s="165">
        <f t="shared" si="1"/>
        <v>3.3175355450237198E-2</v>
      </c>
    </row>
    <row r="31" spans="2:31" ht="20.25" thickBot="1" x14ac:dyDescent="0.35">
      <c r="O31" s="389" t="s">
        <v>78</v>
      </c>
      <c r="P31" s="389"/>
      <c r="Q31" s="47"/>
      <c r="T31" s="111" t="s">
        <v>121</v>
      </c>
      <c r="W31" s="160">
        <v>42376</v>
      </c>
      <c r="X31" s="12">
        <v>2.19</v>
      </c>
      <c r="Y31" s="12">
        <v>2.27</v>
      </c>
      <c r="Z31" s="12">
        <v>2.1</v>
      </c>
      <c r="AA31" s="12">
        <v>2.11</v>
      </c>
      <c r="AB31" s="115">
        <v>128900</v>
      </c>
      <c r="AC31" s="12">
        <v>2.11</v>
      </c>
      <c r="AD31" s="2">
        <f t="shared" si="0"/>
        <v>0.16999999999999993</v>
      </c>
      <c r="AE31" s="165">
        <f t="shared" si="1"/>
        <v>-6.6371681415929196E-2</v>
      </c>
    </row>
    <row r="32" spans="2:31" ht="15.75" thickTop="1" x14ac:dyDescent="0.25">
      <c r="O32" s="103">
        <v>1.1000000000000001</v>
      </c>
      <c r="P32" s="103">
        <f>O32*$Q$4</f>
        <v>1.9250000000000003</v>
      </c>
      <c r="Q32" s="47"/>
      <c r="T32" s="117" t="s">
        <v>106</v>
      </c>
      <c r="U32" s="118">
        <v>1.8</v>
      </c>
      <c r="W32" s="160">
        <v>42375</v>
      </c>
      <c r="X32" s="12">
        <v>2.36</v>
      </c>
      <c r="Y32" s="12">
        <v>2.41</v>
      </c>
      <c r="Z32" s="12">
        <v>2.15</v>
      </c>
      <c r="AA32" s="12">
        <v>2.2599999999999998</v>
      </c>
      <c r="AB32" s="115">
        <v>110700</v>
      </c>
      <c r="AC32" s="12">
        <v>2.2599999999999998</v>
      </c>
      <c r="AD32" s="2">
        <f t="shared" si="0"/>
        <v>0.26000000000000023</v>
      </c>
      <c r="AE32" s="165">
        <f t="shared" si="1"/>
        <v>-3.4188034188034178E-2</v>
      </c>
    </row>
    <row r="33" spans="15:31" x14ac:dyDescent="0.25">
      <c r="O33" s="103">
        <v>1.0900000000000001</v>
      </c>
      <c r="P33" s="103">
        <f t="shared" ref="P33:P52" si="6">O33*$Q$4</f>
        <v>1.9075000000000002</v>
      </c>
      <c r="Q33" s="47"/>
      <c r="T33" s="107" t="s">
        <v>107</v>
      </c>
      <c r="U33" s="108">
        <v>1.81</v>
      </c>
      <c r="W33" s="160">
        <v>42374</v>
      </c>
      <c r="X33" s="12">
        <v>2.44</v>
      </c>
      <c r="Y33" s="12">
        <v>2.44</v>
      </c>
      <c r="Z33" s="12">
        <v>2.31</v>
      </c>
      <c r="AA33" s="12">
        <v>2.34</v>
      </c>
      <c r="AB33" s="115">
        <v>30000</v>
      </c>
      <c r="AC33" s="12">
        <v>2.34</v>
      </c>
      <c r="AD33" s="2">
        <f t="shared" si="0"/>
        <v>0.12999999999999989</v>
      </c>
      <c r="AE33" s="165">
        <f t="shared" si="1"/>
        <v>-3.7037037037037202E-2</v>
      </c>
    </row>
    <row r="34" spans="15:31" x14ac:dyDescent="0.25">
      <c r="O34" s="103">
        <v>1.08</v>
      </c>
      <c r="P34" s="103">
        <f t="shared" si="6"/>
        <v>1.8900000000000001</v>
      </c>
      <c r="Q34" s="47"/>
      <c r="T34" s="107" t="s">
        <v>108</v>
      </c>
      <c r="U34" s="108" t="s">
        <v>427</v>
      </c>
      <c r="W34" s="160">
        <v>42373</v>
      </c>
      <c r="X34" s="12">
        <v>2.2999999999999998</v>
      </c>
      <c r="Y34" s="12">
        <v>2.5299999999999998</v>
      </c>
      <c r="Z34" s="12">
        <v>2.2999999999999998</v>
      </c>
      <c r="AA34" s="12">
        <v>2.4300000000000002</v>
      </c>
      <c r="AB34" s="115">
        <v>34400</v>
      </c>
      <c r="AC34" s="12">
        <v>2.4300000000000002</v>
      </c>
      <c r="AD34" s="2">
        <f t="shared" si="0"/>
        <v>0.22999999999999998</v>
      </c>
      <c r="AE34" s="165">
        <f t="shared" si="1"/>
        <v>2.5316455696202445E-2</v>
      </c>
    </row>
    <row r="35" spans="15:31" x14ac:dyDescent="0.25">
      <c r="O35" s="103">
        <v>1.07</v>
      </c>
      <c r="P35" s="103">
        <f t="shared" si="6"/>
        <v>1.8725000000000001</v>
      </c>
      <c r="Q35" s="103"/>
      <c r="T35" s="107" t="s">
        <v>109</v>
      </c>
      <c r="U35" s="108" t="s">
        <v>145</v>
      </c>
      <c r="W35" s="160">
        <v>42369</v>
      </c>
      <c r="X35" s="12">
        <v>2.34</v>
      </c>
      <c r="Y35" s="12">
        <v>2.44</v>
      </c>
      <c r="Z35" s="12">
        <v>2.2799999999999998</v>
      </c>
      <c r="AA35" s="12">
        <v>2.37</v>
      </c>
      <c r="AB35" s="115">
        <v>109400</v>
      </c>
      <c r="AC35" s="12">
        <v>2.37</v>
      </c>
      <c r="AD35" s="2">
        <f t="shared" si="0"/>
        <v>0.16000000000000014</v>
      </c>
      <c r="AE35" s="165">
        <f t="shared" si="1"/>
        <v>-4.2016806722687816E-3</v>
      </c>
    </row>
    <row r="36" spans="15:31" x14ac:dyDescent="0.25">
      <c r="O36" s="103">
        <v>1.06</v>
      </c>
      <c r="P36" s="103">
        <f t="shared" si="6"/>
        <v>1.855</v>
      </c>
      <c r="Q36" s="103"/>
      <c r="T36" s="107" t="s">
        <v>110</v>
      </c>
      <c r="U36" s="108">
        <v>19</v>
      </c>
      <c r="W36" s="160">
        <v>42368</v>
      </c>
      <c r="X36" s="12">
        <v>2.5</v>
      </c>
      <c r="Y36" s="12">
        <v>2.5</v>
      </c>
      <c r="Z36" s="12">
        <v>2.36</v>
      </c>
      <c r="AA36" s="12">
        <v>2.38</v>
      </c>
      <c r="AB36" s="115">
        <v>147000</v>
      </c>
      <c r="AC36" s="12">
        <v>2.38</v>
      </c>
      <c r="AD36" s="2">
        <f t="shared" si="0"/>
        <v>0.14000000000000012</v>
      </c>
      <c r="AE36" s="165">
        <f t="shared" si="1"/>
        <v>-8.4615384615384648E-2</v>
      </c>
    </row>
    <row r="37" spans="15:31" x14ac:dyDescent="0.25">
      <c r="O37" s="103">
        <v>1.05</v>
      </c>
      <c r="P37" s="103">
        <f t="shared" si="6"/>
        <v>1.8375000000000001</v>
      </c>
      <c r="Q37" s="103"/>
      <c r="T37" s="107" t="s">
        <v>111</v>
      </c>
      <c r="U37" s="108">
        <v>3.06088</v>
      </c>
      <c r="W37" s="160">
        <v>42367</v>
      </c>
      <c r="X37" s="12">
        <v>2.74</v>
      </c>
      <c r="Y37" s="12">
        <v>2.77</v>
      </c>
      <c r="Z37" s="12">
        <v>2.46</v>
      </c>
      <c r="AA37" s="12">
        <v>2.6</v>
      </c>
      <c r="AB37" s="115">
        <v>103500</v>
      </c>
      <c r="AC37" s="12">
        <v>2.6</v>
      </c>
      <c r="AD37" s="2">
        <f t="shared" si="0"/>
        <v>0.31000000000000005</v>
      </c>
      <c r="AE37" s="165">
        <f t="shared" si="1"/>
        <v>-4.7619047619047561E-2</v>
      </c>
    </row>
    <row r="38" spans="15:31" x14ac:dyDescent="0.25">
      <c r="O38" s="103">
        <v>1.04</v>
      </c>
      <c r="P38" s="103">
        <f t="shared" si="6"/>
        <v>1.82</v>
      </c>
      <c r="Q38" s="103"/>
      <c r="T38" s="107" t="s">
        <v>131</v>
      </c>
      <c r="U38" s="109" t="s">
        <v>281</v>
      </c>
      <c r="W38" s="160">
        <v>42366</v>
      </c>
      <c r="X38" s="12">
        <v>2.85</v>
      </c>
      <c r="Y38" s="12">
        <v>2.86</v>
      </c>
      <c r="Z38" s="12">
        <v>2.69</v>
      </c>
      <c r="AA38" s="12">
        <v>2.73</v>
      </c>
      <c r="AB38" s="115">
        <v>86600</v>
      </c>
      <c r="AC38" s="12">
        <v>2.73</v>
      </c>
      <c r="AD38" s="2">
        <f t="shared" si="0"/>
        <v>0.16999999999999993</v>
      </c>
      <c r="AE38" s="165">
        <f t="shared" si="1"/>
        <v>-4.2105263157894757E-2</v>
      </c>
    </row>
    <row r="39" spans="15:31" x14ac:dyDescent="0.25">
      <c r="O39" s="103">
        <v>1.03</v>
      </c>
      <c r="P39" s="103">
        <f t="shared" si="6"/>
        <v>1.8025</v>
      </c>
      <c r="Q39" s="103"/>
      <c r="T39" s="107"/>
      <c r="U39" s="108"/>
      <c r="W39" s="160">
        <v>42362</v>
      </c>
      <c r="X39" s="12">
        <v>2.79</v>
      </c>
      <c r="Y39" s="12">
        <v>2.85</v>
      </c>
      <c r="Z39" s="12">
        <v>2.76</v>
      </c>
      <c r="AA39" s="12">
        <v>2.85</v>
      </c>
      <c r="AB39" s="115">
        <v>27300</v>
      </c>
      <c r="AC39" s="12">
        <v>2.85</v>
      </c>
      <c r="AD39" s="2">
        <f t="shared" si="0"/>
        <v>9.0000000000000302E-2</v>
      </c>
      <c r="AE39" s="165">
        <f t="shared" si="1"/>
        <v>2.1505376344086002E-2</v>
      </c>
    </row>
    <row r="40" spans="15:31" x14ac:dyDescent="0.25">
      <c r="O40" s="103">
        <v>1.02</v>
      </c>
      <c r="P40" s="103">
        <f t="shared" si="6"/>
        <v>1.7850000000000001</v>
      </c>
      <c r="Q40" s="103"/>
      <c r="T40" s="107" t="s">
        <v>113</v>
      </c>
      <c r="U40" s="108" t="s">
        <v>428</v>
      </c>
      <c r="W40" s="160">
        <v>42361</v>
      </c>
      <c r="X40" s="12">
        <v>2.66</v>
      </c>
      <c r="Y40" s="12">
        <v>2.88</v>
      </c>
      <c r="Z40" s="12">
        <v>2.57</v>
      </c>
      <c r="AA40" s="12">
        <v>2.79</v>
      </c>
      <c r="AB40" s="115">
        <v>77400</v>
      </c>
      <c r="AC40" s="12">
        <v>2.79</v>
      </c>
      <c r="AD40" s="2">
        <f t="shared" si="0"/>
        <v>0.31000000000000005</v>
      </c>
      <c r="AE40" s="165">
        <f t="shared" si="1"/>
        <v>2.9520295202952074E-2</v>
      </c>
    </row>
    <row r="41" spans="15:31" x14ac:dyDescent="0.25">
      <c r="O41" s="103">
        <v>1.01</v>
      </c>
      <c r="P41" s="103">
        <f t="shared" si="6"/>
        <v>1.7675000000000001</v>
      </c>
      <c r="Q41" s="103"/>
      <c r="T41" s="107" t="s">
        <v>114</v>
      </c>
      <c r="U41" s="108" t="s">
        <v>304</v>
      </c>
      <c r="W41" s="160">
        <v>42360</v>
      </c>
      <c r="X41" s="12">
        <v>2.5299999999999998</v>
      </c>
      <c r="Y41" s="12">
        <v>2.95</v>
      </c>
      <c r="Z41" s="12">
        <v>2.4900000000000002</v>
      </c>
      <c r="AA41" s="12">
        <v>2.71</v>
      </c>
      <c r="AB41" s="115">
        <v>273100</v>
      </c>
      <c r="AC41" s="12">
        <v>2.71</v>
      </c>
      <c r="AD41" s="2">
        <f t="shared" si="0"/>
        <v>0.45999999999999996</v>
      </c>
      <c r="AE41" s="165">
        <f t="shared" si="1"/>
        <v>9.2741935483870996E-2</v>
      </c>
    </row>
    <row r="42" spans="15:31" x14ac:dyDescent="0.25">
      <c r="O42" s="103">
        <v>1</v>
      </c>
      <c r="P42" s="103">
        <f t="shared" si="6"/>
        <v>1.75</v>
      </c>
      <c r="Q42" s="103"/>
      <c r="T42" s="107" t="s">
        <v>115</v>
      </c>
      <c r="U42" s="110">
        <v>198207</v>
      </c>
      <c r="W42" s="160">
        <v>42359</v>
      </c>
      <c r="X42" s="12">
        <v>2.2999999999999998</v>
      </c>
      <c r="Y42" s="12">
        <v>2.6</v>
      </c>
      <c r="Z42" s="12">
        <v>2.2999999999999998</v>
      </c>
      <c r="AA42" s="12">
        <v>2.48</v>
      </c>
      <c r="AB42" s="115">
        <v>125000</v>
      </c>
      <c r="AC42" s="12">
        <v>2.48</v>
      </c>
      <c r="AD42" s="2">
        <f t="shared" si="0"/>
        <v>0.30000000000000027</v>
      </c>
      <c r="AE42" s="165">
        <f t="shared" si="1"/>
        <v>0.11210762331838575</v>
      </c>
    </row>
    <row r="43" spans="15:31" x14ac:dyDescent="0.25">
      <c r="O43" s="103">
        <v>0.99</v>
      </c>
      <c r="P43" s="103">
        <f t="shared" si="6"/>
        <v>1.7324999999999999</v>
      </c>
      <c r="Q43" s="103"/>
      <c r="T43" s="107" t="s">
        <v>118</v>
      </c>
      <c r="U43" s="110">
        <v>105100</v>
      </c>
      <c r="W43" s="160">
        <v>42356</v>
      </c>
      <c r="X43" s="12">
        <v>2.31</v>
      </c>
      <c r="Y43" s="12">
        <v>2.4</v>
      </c>
      <c r="Z43" s="12">
        <v>2.23</v>
      </c>
      <c r="AA43" s="12">
        <v>2.23</v>
      </c>
      <c r="AB43" s="115">
        <v>192100</v>
      </c>
      <c r="AC43" s="12">
        <v>2.23</v>
      </c>
      <c r="AD43" s="2">
        <f t="shared" si="0"/>
        <v>0.16999999999999993</v>
      </c>
      <c r="AE43" s="165">
        <f t="shared" si="1"/>
        <v>-2.1929824561403466E-2</v>
      </c>
    </row>
    <row r="44" spans="15:31" x14ac:dyDescent="0.25">
      <c r="O44" s="103">
        <v>0.98</v>
      </c>
      <c r="P44" s="103">
        <f t="shared" si="6"/>
        <v>1.7149999999999999</v>
      </c>
      <c r="Q44" s="103"/>
      <c r="T44" s="107" t="s">
        <v>116</v>
      </c>
      <c r="U44" s="108" t="s">
        <v>429</v>
      </c>
      <c r="W44" s="160">
        <v>42355</v>
      </c>
      <c r="X44" s="12">
        <v>2.41</v>
      </c>
      <c r="Y44" s="12">
        <v>2.58</v>
      </c>
      <c r="Z44" s="12">
        <v>2.2799999999999998</v>
      </c>
      <c r="AA44" s="12">
        <v>2.2799999999999998</v>
      </c>
      <c r="AB44" s="115">
        <v>115800</v>
      </c>
      <c r="AC44" s="12">
        <v>2.2799999999999998</v>
      </c>
      <c r="AD44" s="2">
        <f t="shared" si="0"/>
        <v>0.30000000000000027</v>
      </c>
      <c r="AE44" s="165">
        <f t="shared" si="1"/>
        <v>-3.7974683544303889E-2</v>
      </c>
    </row>
    <row r="45" spans="15:31" x14ac:dyDescent="0.25">
      <c r="O45" s="103">
        <v>0.97</v>
      </c>
      <c r="P45" s="103">
        <f t="shared" si="6"/>
        <v>1.6975</v>
      </c>
      <c r="Q45" s="103"/>
      <c r="T45" s="107" t="s">
        <v>119</v>
      </c>
      <c r="U45" s="108" t="s">
        <v>145</v>
      </c>
      <c r="W45" s="160">
        <v>42354</v>
      </c>
      <c r="X45" s="12">
        <v>2.4</v>
      </c>
      <c r="Y45" s="12">
        <v>2.4500000000000002</v>
      </c>
      <c r="Z45" s="12">
        <v>2.3199999999999998</v>
      </c>
      <c r="AA45" s="12">
        <v>2.37</v>
      </c>
      <c r="AB45" s="115">
        <v>310800</v>
      </c>
      <c r="AC45" s="12">
        <v>2.37</v>
      </c>
      <c r="AD45" s="2">
        <f t="shared" si="0"/>
        <v>0.13000000000000034</v>
      </c>
      <c r="AE45" s="165">
        <f t="shared" si="1"/>
        <v>-4.8192771084337394E-2</v>
      </c>
    </row>
    <row r="46" spans="15:31" x14ac:dyDescent="0.25">
      <c r="O46" s="103">
        <v>0.96</v>
      </c>
      <c r="P46" s="103">
        <f t="shared" si="6"/>
        <v>1.68</v>
      </c>
      <c r="Q46" s="103"/>
      <c r="T46" s="107" t="s">
        <v>120</v>
      </c>
      <c r="U46" s="108">
        <v>-1.81</v>
      </c>
      <c r="W46" s="160">
        <v>42353</v>
      </c>
      <c r="X46" s="12">
        <v>2.5</v>
      </c>
      <c r="Y46" s="12">
        <v>2.64</v>
      </c>
      <c r="Z46" s="12">
        <v>2.4900000000000002</v>
      </c>
      <c r="AA46" s="12">
        <v>2.4900000000000002</v>
      </c>
      <c r="AB46" s="115">
        <v>125100</v>
      </c>
      <c r="AC46" s="12">
        <v>2.4900000000000002</v>
      </c>
      <c r="AD46" s="2">
        <f t="shared" si="0"/>
        <v>0.14999999999999991</v>
      </c>
      <c r="AE46" s="165">
        <f t="shared" si="1"/>
        <v>-1.1904761904761862E-2</v>
      </c>
    </row>
    <row r="47" spans="15:31" x14ac:dyDescent="0.25">
      <c r="O47" s="103">
        <v>0.95</v>
      </c>
      <c r="P47" s="103">
        <f t="shared" si="6"/>
        <v>1.6624999999999999</v>
      </c>
      <c r="Q47" s="103"/>
      <c r="T47" s="107" t="s">
        <v>117</v>
      </c>
      <c r="U47" s="108" t="s">
        <v>132</v>
      </c>
      <c r="W47" s="160">
        <v>42352</v>
      </c>
      <c r="X47" s="12">
        <v>2.6</v>
      </c>
      <c r="Y47" s="12">
        <v>2.75</v>
      </c>
      <c r="Z47" s="12">
        <v>2.4700000000000002</v>
      </c>
      <c r="AA47" s="12">
        <v>2.52</v>
      </c>
      <c r="AB47" s="115">
        <v>123600</v>
      </c>
      <c r="AC47" s="12">
        <v>2.52</v>
      </c>
      <c r="AD47" s="2">
        <f t="shared" si="0"/>
        <v>0.2799999999999998</v>
      </c>
      <c r="AE47" s="165">
        <f t="shared" si="1"/>
        <v>-4.9056603773584895E-2</v>
      </c>
    </row>
    <row r="48" spans="15:31" x14ac:dyDescent="0.25">
      <c r="O48" s="103">
        <v>0.94</v>
      </c>
      <c r="P48" s="103">
        <f t="shared" si="6"/>
        <v>1.645</v>
      </c>
      <c r="Q48" s="103"/>
      <c r="S48" s="106"/>
      <c r="W48" s="160">
        <v>42349</v>
      </c>
      <c r="X48" s="12">
        <v>2.8</v>
      </c>
      <c r="Y48" s="12">
        <v>2.9</v>
      </c>
      <c r="Z48" s="12">
        <v>2.64</v>
      </c>
      <c r="AA48" s="12">
        <v>2.65</v>
      </c>
      <c r="AB48" s="115">
        <v>97300</v>
      </c>
      <c r="AC48" s="12">
        <v>2.65</v>
      </c>
      <c r="AD48" s="2">
        <f t="shared" si="0"/>
        <v>0.25999999999999979</v>
      </c>
      <c r="AE48" s="165">
        <f t="shared" si="1"/>
        <v>-4.6762589928057485E-2</v>
      </c>
    </row>
    <row r="49" spans="15:31" x14ac:dyDescent="0.25">
      <c r="O49" s="103">
        <v>0.93</v>
      </c>
      <c r="P49" s="103">
        <f t="shared" si="6"/>
        <v>1.6275000000000002</v>
      </c>
      <c r="Q49" s="103"/>
      <c r="S49" s="106"/>
      <c r="W49" s="160">
        <v>42348</v>
      </c>
      <c r="X49" s="12">
        <v>2.78</v>
      </c>
      <c r="Y49" s="12">
        <v>2.84</v>
      </c>
      <c r="Z49" s="12">
        <v>2.7</v>
      </c>
      <c r="AA49" s="12">
        <v>2.78</v>
      </c>
      <c r="AB49" s="115">
        <v>79200</v>
      </c>
      <c r="AC49" s="12">
        <v>2.78</v>
      </c>
      <c r="AD49" s="2">
        <f t="shared" si="0"/>
        <v>0.13999999999999968</v>
      </c>
      <c r="AE49" s="165">
        <f t="shared" si="1"/>
        <v>3.6101083032489267E-3</v>
      </c>
    </row>
    <row r="50" spans="15:31" x14ac:dyDescent="0.25">
      <c r="O50" s="103">
        <v>0.92</v>
      </c>
      <c r="P50" s="103">
        <f t="shared" si="6"/>
        <v>1.61</v>
      </c>
      <c r="Q50" s="103"/>
      <c r="S50" s="106"/>
      <c r="W50" s="160">
        <v>42347</v>
      </c>
      <c r="X50" s="12">
        <v>2.89</v>
      </c>
      <c r="Y50" s="12">
        <v>2.9</v>
      </c>
      <c r="Z50" s="12">
        <v>2.66</v>
      </c>
      <c r="AA50" s="12">
        <v>2.77</v>
      </c>
      <c r="AB50" s="115">
        <v>133000</v>
      </c>
      <c r="AC50" s="12">
        <v>2.77</v>
      </c>
      <c r="AD50" s="2">
        <f t="shared" si="0"/>
        <v>0.23999999999999977</v>
      </c>
      <c r="AE50" s="165">
        <f t="shared" si="1"/>
        <v>-5.4607508532423243E-2</v>
      </c>
    </row>
    <row r="51" spans="15:31" x14ac:dyDescent="0.25">
      <c r="O51" s="103">
        <v>0.91</v>
      </c>
      <c r="P51" s="103">
        <f t="shared" si="6"/>
        <v>1.5925</v>
      </c>
      <c r="Q51" s="103"/>
      <c r="S51" s="106"/>
      <c r="W51" s="160">
        <v>42346</v>
      </c>
      <c r="X51" s="12">
        <v>2.93</v>
      </c>
      <c r="Y51" s="12">
        <v>3.01</v>
      </c>
      <c r="Z51" s="12">
        <v>2.75</v>
      </c>
      <c r="AA51" s="12">
        <v>2.93</v>
      </c>
      <c r="AB51" s="115">
        <v>72300</v>
      </c>
      <c r="AC51" s="12">
        <v>2.93</v>
      </c>
      <c r="AD51" s="2">
        <f t="shared" si="0"/>
        <v>0.25999999999999979</v>
      </c>
      <c r="AE51" s="165">
        <f t="shared" si="1"/>
        <v>-6.7796610169491567E-3</v>
      </c>
    </row>
    <row r="52" spans="15:31" x14ac:dyDescent="0.25">
      <c r="O52" s="103">
        <v>0.9</v>
      </c>
      <c r="P52" s="103">
        <f t="shared" si="6"/>
        <v>1.575</v>
      </c>
      <c r="Q52" s="103"/>
      <c r="S52" s="106"/>
      <c r="W52" s="160">
        <v>42345</v>
      </c>
      <c r="X52" s="12">
        <v>3.02</v>
      </c>
      <c r="Y52" s="12">
        <v>3.02</v>
      </c>
      <c r="Z52" s="12">
        <v>2.89</v>
      </c>
      <c r="AA52" s="12">
        <v>2.95</v>
      </c>
      <c r="AB52" s="115">
        <v>45500</v>
      </c>
      <c r="AC52" s="12">
        <v>2.95</v>
      </c>
      <c r="AD52" s="2">
        <f t="shared" si="0"/>
        <v>0.12999999999999989</v>
      </c>
      <c r="AE52" s="165">
        <f t="shared" si="1"/>
        <v>-1.9933554817275656E-2</v>
      </c>
    </row>
    <row r="53" spans="15:31" x14ac:dyDescent="0.25">
      <c r="O53" s="47"/>
      <c r="S53" s="106"/>
      <c r="W53" s="160">
        <v>42342</v>
      </c>
      <c r="X53" s="12">
        <v>3.04</v>
      </c>
      <c r="Y53" s="12">
        <v>3.06</v>
      </c>
      <c r="Z53" s="12">
        <v>2.8</v>
      </c>
      <c r="AA53" s="12">
        <v>3.01</v>
      </c>
      <c r="AB53" s="115">
        <v>147500</v>
      </c>
      <c r="AC53" s="12">
        <v>3.01</v>
      </c>
      <c r="AD53" s="2">
        <f t="shared" si="0"/>
        <v>0.26000000000000023</v>
      </c>
      <c r="AE53" s="165">
        <f t="shared" si="1"/>
        <v>-6.6006600660065695E-3</v>
      </c>
    </row>
    <row r="54" spans="15:31" x14ac:dyDescent="0.25">
      <c r="O54" s="47"/>
      <c r="S54" s="106"/>
      <c r="W54" s="160">
        <v>42341</v>
      </c>
      <c r="X54" s="12">
        <v>3.21</v>
      </c>
      <c r="Y54" s="12">
        <v>3.21</v>
      </c>
      <c r="Z54" s="12">
        <v>3</v>
      </c>
      <c r="AA54" s="12">
        <v>3.03</v>
      </c>
      <c r="AB54" s="115">
        <v>109500</v>
      </c>
      <c r="AC54" s="12">
        <v>3.03</v>
      </c>
      <c r="AD54" s="2">
        <f t="shared" si="0"/>
        <v>0.20999999999999996</v>
      </c>
      <c r="AE54" s="165">
        <f t="shared" si="1"/>
        <v>-5.6074766355140193E-2</v>
      </c>
    </row>
    <row r="55" spans="15:31" x14ac:dyDescent="0.25">
      <c r="W55" s="160">
        <v>42340</v>
      </c>
      <c r="X55" s="12">
        <v>3.26</v>
      </c>
      <c r="Y55" s="12">
        <v>3.26</v>
      </c>
      <c r="Z55" s="12">
        <v>3.11</v>
      </c>
      <c r="AA55" s="12">
        <v>3.21</v>
      </c>
      <c r="AB55" s="115">
        <v>49300</v>
      </c>
      <c r="AC55" s="12">
        <v>3.21</v>
      </c>
      <c r="AD55" s="2">
        <f t="shared" si="0"/>
        <v>0.14999999999999991</v>
      </c>
      <c r="AE55" s="165">
        <f t="shared" si="1"/>
        <v>-1.5337423312883347E-2</v>
      </c>
    </row>
    <row r="56" spans="15:31" x14ac:dyDescent="0.25">
      <c r="W56" s="160">
        <v>42339</v>
      </c>
      <c r="X56" s="12">
        <v>3.25</v>
      </c>
      <c r="Y56" s="12">
        <v>3.28</v>
      </c>
      <c r="Z56" s="12">
        <v>3.14</v>
      </c>
      <c r="AA56" s="12">
        <v>3.26</v>
      </c>
      <c r="AB56" s="115">
        <v>61700</v>
      </c>
      <c r="AC56" s="12">
        <v>3.26</v>
      </c>
      <c r="AD56" s="2">
        <f t="shared" si="0"/>
        <v>0.13999999999999968</v>
      </c>
      <c r="AE56" s="165">
        <f t="shared" si="1"/>
        <v>-6.0975609756097615E-3</v>
      </c>
    </row>
    <row r="57" spans="15:31" x14ac:dyDescent="0.25">
      <c r="W57" s="160">
        <v>42338</v>
      </c>
      <c r="X57" s="12">
        <v>3.25</v>
      </c>
      <c r="Y57" s="12">
        <v>3.41</v>
      </c>
      <c r="Z57" s="12">
        <v>3.25</v>
      </c>
      <c r="AA57" s="12">
        <v>3.28</v>
      </c>
      <c r="AB57" s="115">
        <v>106900</v>
      </c>
      <c r="AC57" s="12">
        <v>3.28</v>
      </c>
      <c r="AD57" s="2">
        <f t="shared" si="0"/>
        <v>0.16000000000000014</v>
      </c>
      <c r="AE57" s="165">
        <f t="shared" si="1"/>
        <v>0</v>
      </c>
    </row>
    <row r="58" spans="15:31" x14ac:dyDescent="0.25">
      <c r="W58" s="160">
        <v>42335</v>
      </c>
      <c r="X58" s="12">
        <v>3.25</v>
      </c>
      <c r="Y58" s="12">
        <v>3.28</v>
      </c>
      <c r="Z58" s="12">
        <v>3.17</v>
      </c>
      <c r="AA58" s="12">
        <v>3.28</v>
      </c>
      <c r="AB58" s="115">
        <v>39900</v>
      </c>
      <c r="AC58" s="12">
        <v>3.28</v>
      </c>
      <c r="AD58" s="2">
        <f t="shared" si="0"/>
        <v>0.10999999999999988</v>
      </c>
      <c r="AE58" s="165">
        <f t="shared" si="1"/>
        <v>6.1349693251533388E-3</v>
      </c>
    </row>
    <row r="59" spans="15:31" x14ac:dyDescent="0.25">
      <c r="W59" s="160">
        <v>42333</v>
      </c>
      <c r="X59" s="12">
        <v>3.19</v>
      </c>
      <c r="Y59" s="12">
        <v>3.44</v>
      </c>
      <c r="Z59" s="12">
        <v>3.19</v>
      </c>
      <c r="AA59" s="12">
        <v>3.26</v>
      </c>
      <c r="AB59" s="115">
        <v>114700</v>
      </c>
      <c r="AC59" s="12">
        <v>3.26</v>
      </c>
      <c r="AD59" s="2">
        <f t="shared" si="0"/>
        <v>0.25</v>
      </c>
      <c r="AE59" s="165">
        <f t="shared" si="1"/>
        <v>1.8749999999999822E-2</v>
      </c>
    </row>
    <row r="60" spans="15:31" x14ac:dyDescent="0.25">
      <c r="W60" s="160">
        <v>42332</v>
      </c>
      <c r="X60" s="12">
        <v>3.15</v>
      </c>
      <c r="Y60" s="12">
        <v>3.25</v>
      </c>
      <c r="Z60" s="12">
        <v>3</v>
      </c>
      <c r="AA60" s="12">
        <v>3.2</v>
      </c>
      <c r="AB60" s="115">
        <v>159500</v>
      </c>
      <c r="AC60" s="12">
        <v>3.2</v>
      </c>
      <c r="AD60" s="2">
        <f t="shared" si="0"/>
        <v>0.25</v>
      </c>
      <c r="AE60" s="165">
        <f t="shared" si="1"/>
        <v>9.4637223974765039E-3</v>
      </c>
    </row>
    <row r="61" spans="15:31" x14ac:dyDescent="0.25">
      <c r="W61" s="160">
        <v>42331</v>
      </c>
      <c r="X61" s="12">
        <v>3.2</v>
      </c>
      <c r="Y61" s="12">
        <v>3.25</v>
      </c>
      <c r="Z61" s="12">
        <v>3.12</v>
      </c>
      <c r="AA61" s="12">
        <v>3.17</v>
      </c>
      <c r="AB61" s="115">
        <v>85500</v>
      </c>
      <c r="AC61" s="12">
        <v>3.17</v>
      </c>
      <c r="AD61" s="2">
        <f t="shared" si="0"/>
        <v>0.12999999999999989</v>
      </c>
      <c r="AE61" s="165">
        <f t="shared" si="1"/>
        <v>-3.1446540880504248E-3</v>
      </c>
    </row>
    <row r="62" spans="15:31" x14ac:dyDescent="0.25">
      <c r="W62" s="160">
        <v>42328</v>
      </c>
      <c r="X62" s="12">
        <v>3</v>
      </c>
      <c r="Y62" s="12">
        <v>3.22</v>
      </c>
      <c r="Z62" s="12">
        <v>3</v>
      </c>
      <c r="AA62" s="12">
        <v>3.18</v>
      </c>
      <c r="AB62" s="115">
        <v>54000</v>
      </c>
      <c r="AC62" s="12">
        <v>3.18</v>
      </c>
      <c r="AD62" s="2">
        <f t="shared" si="0"/>
        <v>0.2200000000000002</v>
      </c>
      <c r="AE62" s="165">
        <f t="shared" si="1"/>
        <v>6.0000000000000053E-2</v>
      </c>
    </row>
    <row r="63" spans="15:31" x14ac:dyDescent="0.25">
      <c r="W63" s="160">
        <v>42327</v>
      </c>
      <c r="X63" s="12">
        <v>3</v>
      </c>
      <c r="Y63" s="12">
        <v>3.1</v>
      </c>
      <c r="Z63" s="12">
        <v>2.98</v>
      </c>
      <c r="AA63" s="12">
        <v>3</v>
      </c>
      <c r="AB63" s="115">
        <v>74700</v>
      </c>
      <c r="AC63" s="12">
        <v>3</v>
      </c>
      <c r="AD63" s="2">
        <f t="shared" si="0"/>
        <v>0.12000000000000011</v>
      </c>
      <c r="AE63" s="165">
        <f t="shared" si="1"/>
        <v>-6.6225165562914245E-3</v>
      </c>
    </row>
    <row r="64" spans="15:31" x14ac:dyDescent="0.25">
      <c r="W64" s="160">
        <v>42326</v>
      </c>
      <c r="X64" s="12">
        <v>3.12</v>
      </c>
      <c r="Y64" s="12">
        <v>3.16</v>
      </c>
      <c r="Z64" s="12">
        <v>2.84</v>
      </c>
      <c r="AA64" s="12">
        <v>3.02</v>
      </c>
      <c r="AB64" s="115">
        <v>221300</v>
      </c>
      <c r="AC64" s="12">
        <v>3.02</v>
      </c>
      <c r="AD64" s="2">
        <f t="shared" si="0"/>
        <v>0.32000000000000028</v>
      </c>
      <c r="AE64" s="165">
        <f t="shared" si="1"/>
        <v>-3.8216560509554132E-2</v>
      </c>
    </row>
    <row r="65" spans="23:31" x14ac:dyDescent="0.25">
      <c r="W65" s="160">
        <v>42325</v>
      </c>
      <c r="X65" s="12">
        <v>3.15</v>
      </c>
      <c r="Y65" s="12">
        <v>3.19</v>
      </c>
      <c r="Z65" s="12">
        <v>3.11</v>
      </c>
      <c r="AA65" s="12">
        <v>3.14</v>
      </c>
      <c r="AB65" s="115">
        <v>68200</v>
      </c>
      <c r="AC65" s="12">
        <v>3.14</v>
      </c>
      <c r="AD65" s="2">
        <f t="shared" si="0"/>
        <v>8.0000000000000071E-2</v>
      </c>
      <c r="AE65" s="165">
        <f t="shared" si="1"/>
        <v>-1.5673981191222541E-2</v>
      </c>
    </row>
    <row r="66" spans="23:31" x14ac:dyDescent="0.25">
      <c r="W66" s="160">
        <v>42324</v>
      </c>
      <c r="X66" s="12">
        <v>3.21</v>
      </c>
      <c r="Y66" s="12">
        <v>3.26</v>
      </c>
      <c r="Z66" s="12">
        <v>3.09</v>
      </c>
      <c r="AA66" s="12">
        <v>3.19</v>
      </c>
      <c r="AB66" s="115">
        <v>93200</v>
      </c>
      <c r="AC66" s="12">
        <v>3.19</v>
      </c>
      <c r="AD66" s="2">
        <f t="shared" si="0"/>
        <v>0.16999999999999993</v>
      </c>
      <c r="AE66" s="165">
        <f t="shared" si="1"/>
        <v>3.1446540880502027E-3</v>
      </c>
    </row>
    <row r="67" spans="23:31" x14ac:dyDescent="0.25">
      <c r="W67" s="160">
        <v>42321</v>
      </c>
      <c r="X67" s="12">
        <v>3.15</v>
      </c>
      <c r="Y67" s="12">
        <v>3.27</v>
      </c>
      <c r="Z67" s="12">
        <v>3.1</v>
      </c>
      <c r="AA67" s="12">
        <v>3.18</v>
      </c>
      <c r="AB67" s="115">
        <v>115300</v>
      </c>
      <c r="AC67" s="12">
        <v>3.18</v>
      </c>
      <c r="AD67" s="2">
        <f t="shared" ref="AD67:AD68" si="7">Y67-Z67</f>
        <v>0.16999999999999993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65" priority="20">
      <formula>Q7&gt;0</formula>
    </cfRule>
    <cfRule type="expression" dxfId="64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63" priority="13">
      <formula>F11&gt;0</formula>
    </cfRule>
    <cfRule type="expression" dxfId="62" priority="14">
      <formula>F11&lt;0</formula>
    </cfRule>
  </conditionalFormatting>
  <conditionalFormatting sqref="F12">
    <cfRule type="expression" dxfId="61" priority="11">
      <formula>F12&gt;0</formula>
    </cfRule>
    <cfRule type="expression" dxfId="60" priority="12">
      <formula>F12&lt;0</formula>
    </cfRule>
  </conditionalFormatting>
  <conditionalFormatting sqref="F13">
    <cfRule type="expression" dxfId="59" priority="9">
      <formula>F13&gt;0</formula>
    </cfRule>
    <cfRule type="expression" dxfId="58" priority="10">
      <formula>F13&lt;0</formula>
    </cfRule>
  </conditionalFormatting>
  <conditionalFormatting sqref="F14:F22">
    <cfRule type="expression" dxfId="57" priority="7">
      <formula>F14&gt;0</formula>
    </cfRule>
    <cfRule type="expression" dxfId="56" priority="8">
      <formula>F14&lt;0</formula>
    </cfRule>
  </conditionalFormatting>
  <conditionalFormatting sqref="H11:H14">
    <cfRule type="expression" dxfId="55" priority="3">
      <formula>H11&gt;0</formula>
    </cfRule>
    <cfRule type="expression" dxfId="54" priority="4">
      <formula>H11&lt;0</formula>
    </cfRule>
  </conditionalFormatting>
  <conditionalFormatting sqref="H15:H22">
    <cfRule type="expression" dxfId="53" priority="1">
      <formula>H15&gt;0</formula>
    </cfRule>
    <cfRule type="expression" dxfId="52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180</v>
      </c>
      <c r="W2" s="160">
        <v>42419</v>
      </c>
      <c r="X2" s="12">
        <v>88.35</v>
      </c>
      <c r="Y2" s="12">
        <v>88.99</v>
      </c>
      <c r="Z2" s="12">
        <v>87.42</v>
      </c>
      <c r="AA2" s="12">
        <v>88.23</v>
      </c>
      <c r="AB2" s="115">
        <v>10641700</v>
      </c>
      <c r="AC2" s="12">
        <v>88.23</v>
      </c>
      <c r="AD2" s="2">
        <f>Y2-Z2</f>
        <v>1.5699999999999932</v>
      </c>
      <c r="AE2" s="165">
        <f>AC2/AC3-1</f>
        <v>-1.4712539610682862E-3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88.23</v>
      </c>
      <c r="W3" s="160">
        <v>42418</v>
      </c>
      <c r="X3" s="12">
        <v>88.55</v>
      </c>
      <c r="Y3" s="12">
        <v>89.04</v>
      </c>
      <c r="Z3" s="12">
        <v>88.16</v>
      </c>
      <c r="AA3" s="12">
        <v>88.36</v>
      </c>
      <c r="AB3" s="115">
        <v>4997700</v>
      </c>
      <c r="AC3" s="12">
        <v>88.36</v>
      </c>
      <c r="AD3" s="2">
        <f t="shared" ref="AD3:AD66" si="0">Y3-Z3</f>
        <v>0.88000000000000966</v>
      </c>
      <c r="AE3" s="165">
        <f t="shared" ref="AE3:AE66" si="1">AC3/AC4-1</f>
        <v>2.7235587834770758E-3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88.23</v>
      </c>
      <c r="W4" s="160">
        <v>42417</v>
      </c>
      <c r="X4" s="12">
        <v>86.71</v>
      </c>
      <c r="Y4" s="12">
        <v>88.49</v>
      </c>
      <c r="Z4" s="12">
        <v>86.64</v>
      </c>
      <c r="AA4" s="12">
        <v>88.12</v>
      </c>
      <c r="AB4" s="115">
        <v>5141100</v>
      </c>
      <c r="AC4" s="12">
        <v>88.12</v>
      </c>
      <c r="AD4" s="2">
        <f t="shared" si="0"/>
        <v>1.8499999999999943</v>
      </c>
      <c r="AE4" s="165" t="e">
        <f t="shared" si="1"/>
        <v>#DIV/0!</v>
      </c>
    </row>
    <row r="5" spans="1:31" x14ac:dyDescent="0.25">
      <c r="O5" s="13" t="s">
        <v>67</v>
      </c>
      <c r="Q5" s="3">
        <f>Q4*Q2</f>
        <v>0</v>
      </c>
      <c r="W5" s="160">
        <v>42417</v>
      </c>
      <c r="X5" s="12" t="s">
        <v>171</v>
      </c>
      <c r="Y5" s="12"/>
      <c r="Z5" s="12"/>
      <c r="AA5" s="12"/>
      <c r="AB5" s="115"/>
      <c r="AC5" s="12"/>
      <c r="AD5" s="2">
        <f t="shared" si="0"/>
        <v>0</v>
      </c>
      <c r="AE5" s="165">
        <f t="shared" si="1"/>
        <v>-1</v>
      </c>
    </row>
    <row r="6" spans="1:31" x14ac:dyDescent="0.25">
      <c r="O6" s="13" t="s">
        <v>64</v>
      </c>
      <c r="Q6" s="2">
        <f>Q3*Q2</f>
        <v>0</v>
      </c>
      <c r="W6" s="160">
        <v>42416</v>
      </c>
      <c r="X6" s="12">
        <v>87.34</v>
      </c>
      <c r="Y6" s="12">
        <v>87.5</v>
      </c>
      <c r="Z6" s="12">
        <v>85.56</v>
      </c>
      <c r="AA6" s="12">
        <v>86.48</v>
      </c>
      <c r="AB6" s="115">
        <v>6960400</v>
      </c>
      <c r="AC6" s="12">
        <v>85.84</v>
      </c>
      <c r="AD6" s="2">
        <f t="shared" si="0"/>
        <v>1.9399999999999977</v>
      </c>
      <c r="AE6" s="165">
        <f t="shared" si="1"/>
        <v>6.2126362677294988E-3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42412</v>
      </c>
      <c r="X7" s="12">
        <v>84.99</v>
      </c>
      <c r="Y7" s="12">
        <v>86.13</v>
      </c>
      <c r="Z7" s="12">
        <v>84.9</v>
      </c>
      <c r="AA7" s="12">
        <v>85.95</v>
      </c>
      <c r="AB7" s="115">
        <v>5886300</v>
      </c>
      <c r="AC7" s="12">
        <v>85.31</v>
      </c>
      <c r="AD7" s="2">
        <f t="shared" si="0"/>
        <v>1.2299999999999898</v>
      </c>
      <c r="AE7" s="165">
        <f t="shared" si="1"/>
        <v>1.5232655004165263E-2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42411</v>
      </c>
      <c r="X8" s="12">
        <v>85.39</v>
      </c>
      <c r="Y8" s="12">
        <v>86.55</v>
      </c>
      <c r="Z8" s="12">
        <v>83.85</v>
      </c>
      <c r="AA8" s="12">
        <v>84.66</v>
      </c>
      <c r="AB8" s="115">
        <v>7711800</v>
      </c>
      <c r="AC8" s="12">
        <v>84.03</v>
      </c>
      <c r="AD8" s="2">
        <f t="shared" si="0"/>
        <v>2.7000000000000028</v>
      </c>
      <c r="AE8" s="165">
        <f t="shared" si="1"/>
        <v>-2.6529193697868325E-2</v>
      </c>
    </row>
    <row r="9" spans="1:31" x14ac:dyDescent="0.25">
      <c r="W9" s="160">
        <v>42410</v>
      </c>
      <c r="X9" s="12">
        <v>87.36</v>
      </c>
      <c r="Y9" s="12">
        <v>88.45</v>
      </c>
      <c r="Z9" s="12">
        <v>86.74</v>
      </c>
      <c r="AA9" s="12">
        <v>86.96</v>
      </c>
      <c r="AB9" s="115">
        <v>3618800</v>
      </c>
      <c r="AC9" s="12">
        <v>86.32</v>
      </c>
      <c r="AD9" s="2">
        <f t="shared" si="0"/>
        <v>1.710000000000008</v>
      </c>
      <c r="AE9" s="165">
        <f t="shared" si="1"/>
        <v>-3.1181429726298004E-3</v>
      </c>
    </row>
    <row r="10" spans="1:31" x14ac:dyDescent="0.25">
      <c r="W10" s="160">
        <v>42409</v>
      </c>
      <c r="X10" s="12">
        <v>86.26</v>
      </c>
      <c r="Y10" s="12">
        <v>87.77</v>
      </c>
      <c r="Z10" s="12">
        <v>85.93</v>
      </c>
      <c r="AA10" s="12">
        <v>87.24</v>
      </c>
      <c r="AB10" s="115">
        <v>7360900</v>
      </c>
      <c r="AC10" s="12">
        <v>86.59</v>
      </c>
      <c r="AD10" s="2">
        <f t="shared" si="0"/>
        <v>1.8399999999999892</v>
      </c>
      <c r="AE10" s="165">
        <f t="shared" si="1"/>
        <v>5.224053865799938E-3</v>
      </c>
    </row>
    <row r="11" spans="1:31" x14ac:dyDescent="0.25">
      <c r="W11" s="160">
        <v>42408</v>
      </c>
      <c r="X11" s="12">
        <v>87.34</v>
      </c>
      <c r="Y11" s="12">
        <v>87.4</v>
      </c>
      <c r="Z11" s="12">
        <v>85.82</v>
      </c>
      <c r="AA11" s="12">
        <v>86.78</v>
      </c>
      <c r="AB11" s="115">
        <v>6858400</v>
      </c>
      <c r="AC11" s="12">
        <v>86.14</v>
      </c>
      <c r="AD11" s="2">
        <f t="shared" si="0"/>
        <v>1.5800000000000125</v>
      </c>
      <c r="AE11" s="165">
        <f t="shared" si="1"/>
        <v>-1.2042665443284695E-2</v>
      </c>
    </row>
    <row r="12" spans="1:31" x14ac:dyDescent="0.25">
      <c r="W12" s="160">
        <v>42405</v>
      </c>
      <c r="X12" s="12">
        <v>88.04</v>
      </c>
      <c r="Y12" s="12">
        <v>88.51</v>
      </c>
      <c r="Z12" s="12">
        <v>87.44</v>
      </c>
      <c r="AA12" s="12">
        <v>87.84</v>
      </c>
      <c r="AB12" s="115">
        <v>5216800</v>
      </c>
      <c r="AC12" s="12">
        <v>87.19</v>
      </c>
      <c r="AD12" s="2">
        <f t="shared" si="0"/>
        <v>1.0700000000000074</v>
      </c>
      <c r="AE12" s="165">
        <f t="shared" si="1"/>
        <v>-3.2010975191494317E-3</v>
      </c>
    </row>
    <row r="13" spans="1:31" x14ac:dyDescent="0.25">
      <c r="W13" s="160">
        <v>42404</v>
      </c>
      <c r="X13" s="12">
        <v>86.09</v>
      </c>
      <c r="Y13" s="12">
        <v>88.71</v>
      </c>
      <c r="Z13" s="12">
        <v>86.03</v>
      </c>
      <c r="AA13" s="12">
        <v>88.12</v>
      </c>
      <c r="AB13" s="115">
        <v>5921700</v>
      </c>
      <c r="AC13" s="12">
        <v>87.47</v>
      </c>
      <c r="AD13" s="2">
        <f t="shared" si="0"/>
        <v>2.6799999999999926</v>
      </c>
      <c r="AE13" s="165">
        <f t="shared" si="1"/>
        <v>2.5199249882794206E-2</v>
      </c>
    </row>
    <row r="14" spans="1:31" x14ac:dyDescent="0.25">
      <c r="W14" s="160">
        <v>42403</v>
      </c>
      <c r="X14" s="12">
        <v>85.99</v>
      </c>
      <c r="Y14" s="12">
        <v>86.37</v>
      </c>
      <c r="Z14" s="12">
        <v>84.29</v>
      </c>
      <c r="AA14" s="12">
        <v>85.96</v>
      </c>
      <c r="AB14" s="115">
        <v>8305500</v>
      </c>
      <c r="AC14" s="12">
        <v>85.32</v>
      </c>
      <c r="AD14" s="2">
        <f t="shared" si="0"/>
        <v>2.0799999999999983</v>
      </c>
      <c r="AE14" s="165">
        <f t="shared" si="1"/>
        <v>6.250737115225613E-3</v>
      </c>
    </row>
    <row r="15" spans="1:31" x14ac:dyDescent="0.25">
      <c r="W15" s="160">
        <v>42402</v>
      </c>
      <c r="X15" s="12">
        <v>86.17</v>
      </c>
      <c r="Y15" s="12">
        <v>86.73</v>
      </c>
      <c r="Z15" s="12">
        <v>85.08</v>
      </c>
      <c r="AA15" s="12">
        <v>85.42</v>
      </c>
      <c r="AB15" s="115">
        <v>7397700</v>
      </c>
      <c r="AC15" s="12">
        <v>84.79</v>
      </c>
      <c r="AD15" s="2">
        <f t="shared" si="0"/>
        <v>1.6500000000000057</v>
      </c>
      <c r="AE15" s="165">
        <f t="shared" si="1"/>
        <v>-2.4393050281900752E-2</v>
      </c>
    </row>
    <row r="16" spans="1:31" x14ac:dyDescent="0.25">
      <c r="W16" s="160">
        <v>42401</v>
      </c>
      <c r="X16" s="12">
        <v>87.06</v>
      </c>
      <c r="Y16" s="12">
        <v>87.84</v>
      </c>
      <c r="Z16" s="12">
        <v>86.45</v>
      </c>
      <c r="AA16" s="12">
        <v>87.56</v>
      </c>
      <c r="AB16" s="115">
        <v>5036900</v>
      </c>
      <c r="AC16" s="12">
        <v>86.91</v>
      </c>
      <c r="AD16" s="2">
        <f t="shared" si="0"/>
        <v>1.3900000000000006</v>
      </c>
      <c r="AE16" s="165">
        <f t="shared" si="1"/>
        <v>-1.4935661764706731E-3</v>
      </c>
    </row>
    <row r="17" spans="9:31" x14ac:dyDescent="0.25">
      <c r="W17" s="160">
        <v>42398</v>
      </c>
      <c r="X17" s="12">
        <v>86.87</v>
      </c>
      <c r="Y17" s="12">
        <v>87.69</v>
      </c>
      <c r="Z17" s="12">
        <v>86.76</v>
      </c>
      <c r="AA17" s="12">
        <v>87.69</v>
      </c>
      <c r="AB17" s="115">
        <v>7887500</v>
      </c>
      <c r="AC17" s="12">
        <v>87.04</v>
      </c>
      <c r="AD17" s="2">
        <f t="shared" si="0"/>
        <v>0.92999999999999261</v>
      </c>
      <c r="AE17" s="165">
        <f t="shared" si="1"/>
        <v>1.4333993707027259E-2</v>
      </c>
    </row>
    <row r="18" spans="9:31" x14ac:dyDescent="0.25">
      <c r="W18" s="160">
        <v>42397</v>
      </c>
      <c r="X18" s="12">
        <v>86.3</v>
      </c>
      <c r="Y18" s="12">
        <v>87.2</v>
      </c>
      <c r="Z18" s="12">
        <v>85.92</v>
      </c>
      <c r="AA18" s="12">
        <v>86.45</v>
      </c>
      <c r="AB18" s="115">
        <v>5757200</v>
      </c>
      <c r="AC18" s="12">
        <v>85.81</v>
      </c>
      <c r="AD18" s="2">
        <f t="shared" si="0"/>
        <v>1.2800000000000011</v>
      </c>
      <c r="AE18" s="165">
        <f t="shared" si="1"/>
        <v>7.5143829987085464E-3</v>
      </c>
    </row>
    <row r="19" spans="9:31" x14ac:dyDescent="0.25">
      <c r="I19" s="2"/>
      <c r="W19" s="160">
        <v>42396</v>
      </c>
      <c r="X19" s="12">
        <v>85.7</v>
      </c>
      <c r="Y19" s="12">
        <v>87.57</v>
      </c>
      <c r="Z19" s="12">
        <v>84.75</v>
      </c>
      <c r="AA19" s="12">
        <v>85.81</v>
      </c>
      <c r="AB19" s="115">
        <v>8083900</v>
      </c>
      <c r="AC19" s="12">
        <v>85.17</v>
      </c>
      <c r="AD19" s="2">
        <f t="shared" si="0"/>
        <v>2.8199999999999932</v>
      </c>
      <c r="AE19" s="165">
        <f t="shared" si="1"/>
        <v>1.7642907551165266E-3</v>
      </c>
    </row>
    <row r="20" spans="9:31" x14ac:dyDescent="0.25">
      <c r="W20" s="160">
        <v>42395</v>
      </c>
      <c r="X20" s="12">
        <v>85.29</v>
      </c>
      <c r="Y20" s="12">
        <v>86.47</v>
      </c>
      <c r="Z20" s="12">
        <v>85.21</v>
      </c>
      <c r="AA20" s="12">
        <v>85.65</v>
      </c>
      <c r="AB20" s="115">
        <v>7393800</v>
      </c>
      <c r="AC20" s="12">
        <v>85.02</v>
      </c>
      <c r="AD20" s="2">
        <f t="shared" si="0"/>
        <v>1.2600000000000051</v>
      </c>
      <c r="AE20" s="165">
        <f t="shared" si="1"/>
        <v>8.8999644001424016E-3</v>
      </c>
    </row>
    <row r="21" spans="9:31" x14ac:dyDescent="0.25">
      <c r="W21" s="160">
        <v>42394</v>
      </c>
      <c r="X21" s="12">
        <v>85.98</v>
      </c>
      <c r="Y21" s="12">
        <v>86.15</v>
      </c>
      <c r="Z21" s="12">
        <v>84.69</v>
      </c>
      <c r="AA21" s="12">
        <v>84.9</v>
      </c>
      <c r="AB21" s="115">
        <v>10444000</v>
      </c>
      <c r="AC21" s="12">
        <v>84.27</v>
      </c>
      <c r="AD21" s="2">
        <f t="shared" si="0"/>
        <v>1.460000000000008</v>
      </c>
      <c r="AE21" s="165">
        <f t="shared" si="1"/>
        <v>-1.6800840042002108E-2</v>
      </c>
    </row>
    <row r="22" spans="9:31" x14ac:dyDescent="0.25">
      <c r="W22" s="160">
        <v>42391</v>
      </c>
      <c r="X22" s="12">
        <v>86.95</v>
      </c>
      <c r="Y22" s="12">
        <v>87.38</v>
      </c>
      <c r="Z22" s="12">
        <v>85.88</v>
      </c>
      <c r="AA22" s="12">
        <v>86.35</v>
      </c>
      <c r="AB22" s="115">
        <v>4647400</v>
      </c>
      <c r="AC22" s="12">
        <v>85.71</v>
      </c>
      <c r="AD22" s="2">
        <f t="shared" si="0"/>
        <v>1.5</v>
      </c>
      <c r="AE22" s="165">
        <f t="shared" si="1"/>
        <v>9.065222510006965E-3</v>
      </c>
    </row>
    <row r="23" spans="9:31" x14ac:dyDescent="0.25">
      <c r="W23" s="160">
        <v>42390</v>
      </c>
      <c r="X23" s="12">
        <v>84.83</v>
      </c>
      <c r="Y23" s="12">
        <v>86.79</v>
      </c>
      <c r="Z23" s="12">
        <v>84.54</v>
      </c>
      <c r="AA23" s="12">
        <v>85.57</v>
      </c>
      <c r="AB23" s="115">
        <v>5742900</v>
      </c>
      <c r="AC23" s="12">
        <v>84.94</v>
      </c>
      <c r="AD23" s="2">
        <f t="shared" si="0"/>
        <v>2.25</v>
      </c>
      <c r="AE23" s="165">
        <f t="shared" si="1"/>
        <v>8.7885985748217266E-3</v>
      </c>
    </row>
    <row r="24" spans="9:31" x14ac:dyDescent="0.25">
      <c r="W24" s="160">
        <v>42389</v>
      </c>
      <c r="X24" s="12">
        <v>84.44</v>
      </c>
      <c r="Y24" s="12">
        <v>85.58</v>
      </c>
      <c r="Z24" s="12">
        <v>83.39</v>
      </c>
      <c r="AA24" s="12">
        <v>84.83</v>
      </c>
      <c r="AB24" s="115">
        <v>9601200</v>
      </c>
      <c r="AC24" s="12">
        <v>84.2</v>
      </c>
      <c r="AD24" s="2">
        <f t="shared" si="0"/>
        <v>2.1899999999999977</v>
      </c>
      <c r="AE24" s="165">
        <f t="shared" si="1"/>
        <v>-4.845762912185303E-3</v>
      </c>
    </row>
    <row r="25" spans="9:31" x14ac:dyDescent="0.25">
      <c r="W25" s="160">
        <v>42388</v>
      </c>
      <c r="X25" s="12">
        <v>86.35</v>
      </c>
      <c r="Y25" s="12">
        <v>86.35</v>
      </c>
      <c r="Z25" s="12">
        <v>84.47</v>
      </c>
      <c r="AA25" s="12">
        <v>85.24</v>
      </c>
      <c r="AB25" s="115">
        <v>7470000</v>
      </c>
      <c r="AC25" s="12">
        <v>84.61</v>
      </c>
      <c r="AD25" s="2">
        <f t="shared" si="0"/>
        <v>1.8799999999999955</v>
      </c>
      <c r="AE25" s="165">
        <f t="shared" si="1"/>
        <v>-4.5882352941176707E-3</v>
      </c>
    </row>
    <row r="26" spans="9:31" x14ac:dyDescent="0.25">
      <c r="W26" s="160">
        <v>42384</v>
      </c>
      <c r="X26" s="12">
        <v>86.99</v>
      </c>
      <c r="Y26" s="12">
        <v>88.06</v>
      </c>
      <c r="Z26" s="12">
        <v>85.47</v>
      </c>
      <c r="AA26" s="12">
        <v>85.63</v>
      </c>
      <c r="AB26" s="115">
        <v>10485600</v>
      </c>
      <c r="AC26" s="12">
        <v>85</v>
      </c>
      <c r="AD26" s="2">
        <f t="shared" si="0"/>
        <v>2.5900000000000034</v>
      </c>
      <c r="AE26" s="165">
        <f t="shared" si="1"/>
        <v>-3.791737408036211E-2</v>
      </c>
    </row>
    <row r="27" spans="9:31" x14ac:dyDescent="0.25">
      <c r="W27" s="160">
        <v>42383</v>
      </c>
      <c r="X27" s="12">
        <v>89.08</v>
      </c>
      <c r="Y27" s="12">
        <v>89.58</v>
      </c>
      <c r="Z27" s="12">
        <v>87.86</v>
      </c>
      <c r="AA27" s="12">
        <v>89.01</v>
      </c>
      <c r="AB27" s="115">
        <v>7395900</v>
      </c>
      <c r="AC27" s="12">
        <v>88.35</v>
      </c>
      <c r="AD27" s="2">
        <f t="shared" si="0"/>
        <v>1.7199999999999989</v>
      </c>
      <c r="AE27" s="165">
        <f t="shared" si="1"/>
        <v>2.0415107179312386E-3</v>
      </c>
    </row>
    <row r="28" spans="9:31" x14ac:dyDescent="0.25">
      <c r="W28" s="160">
        <v>42382</v>
      </c>
      <c r="X28" s="12">
        <v>90.67</v>
      </c>
      <c r="Y28" s="12">
        <v>90.67</v>
      </c>
      <c r="Z28" s="12">
        <v>88.41</v>
      </c>
      <c r="AA28" s="12">
        <v>88.83</v>
      </c>
      <c r="AB28" s="115">
        <v>8588800</v>
      </c>
      <c r="AC28" s="12">
        <v>88.17</v>
      </c>
      <c r="AD28" s="2">
        <f t="shared" si="0"/>
        <v>2.2600000000000051</v>
      </c>
      <c r="AE28" s="165">
        <f t="shared" si="1"/>
        <v>-1.8479349883112506E-2</v>
      </c>
    </row>
    <row r="29" spans="9:31" x14ac:dyDescent="0.25">
      <c r="W29" s="160">
        <v>42381</v>
      </c>
      <c r="X29" s="12">
        <v>90.99</v>
      </c>
      <c r="Y29" s="12">
        <v>91.15</v>
      </c>
      <c r="Z29" s="12">
        <v>89.67</v>
      </c>
      <c r="AA29" s="12">
        <v>90.5</v>
      </c>
      <c r="AB29" s="115">
        <v>7697300</v>
      </c>
      <c r="AC29" s="12">
        <v>89.83</v>
      </c>
      <c r="AD29" s="2">
        <f t="shared" si="0"/>
        <v>1.480000000000004</v>
      </c>
      <c r="AE29" s="165">
        <f t="shared" si="1"/>
        <v>0</v>
      </c>
    </row>
    <row r="30" spans="9:31" x14ac:dyDescent="0.25">
      <c r="W30" s="160">
        <v>42380</v>
      </c>
      <c r="X30" s="12">
        <v>91.09</v>
      </c>
      <c r="Y30" s="12">
        <v>91.4</v>
      </c>
      <c r="Z30" s="12">
        <v>89.92</v>
      </c>
      <c r="AA30" s="12">
        <v>90.5</v>
      </c>
      <c r="AB30" s="115">
        <v>7185200</v>
      </c>
      <c r="AC30" s="12">
        <v>89.83</v>
      </c>
      <c r="AD30" s="2">
        <f t="shared" si="0"/>
        <v>1.480000000000004</v>
      </c>
      <c r="AE30" s="165">
        <f t="shared" si="1"/>
        <v>1.1144544745347318E-3</v>
      </c>
    </row>
    <row r="31" spans="9:31" x14ac:dyDescent="0.25">
      <c r="W31" s="160">
        <v>42377</v>
      </c>
      <c r="X31" s="12">
        <v>91.57</v>
      </c>
      <c r="Y31" s="12">
        <v>91.88</v>
      </c>
      <c r="Z31" s="12">
        <v>90.22</v>
      </c>
      <c r="AA31" s="12">
        <v>90.4</v>
      </c>
      <c r="AB31" s="115">
        <v>7501300</v>
      </c>
      <c r="AC31" s="12">
        <v>89.73</v>
      </c>
      <c r="AD31" s="2">
        <f t="shared" si="0"/>
        <v>1.6599999999999966</v>
      </c>
      <c r="AE31" s="165">
        <f t="shared" si="1"/>
        <v>-1.6334137250602843E-2</v>
      </c>
    </row>
    <row r="32" spans="9:31" x14ac:dyDescent="0.25">
      <c r="W32" s="160">
        <v>42376</v>
      </c>
      <c r="X32" s="12">
        <v>91.47</v>
      </c>
      <c r="Y32" s="12">
        <v>93.35</v>
      </c>
      <c r="Z32" s="12">
        <v>91.43</v>
      </c>
      <c r="AA32" s="12">
        <v>91.9</v>
      </c>
      <c r="AB32" s="115">
        <v>6984800</v>
      </c>
      <c r="AC32" s="12">
        <v>91.22</v>
      </c>
      <c r="AD32" s="2">
        <f t="shared" si="0"/>
        <v>1.9199999999999875</v>
      </c>
      <c r="AE32" s="165">
        <f t="shared" si="1"/>
        <v>-1.3090987774532215E-2</v>
      </c>
    </row>
    <row r="33" spans="15:31" x14ac:dyDescent="0.25">
      <c r="W33" s="160">
        <v>42375</v>
      </c>
      <c r="X33" s="12">
        <v>93.9</v>
      </c>
      <c r="Y33" s="12">
        <v>94.64</v>
      </c>
      <c r="Z33" s="12">
        <v>92.54</v>
      </c>
      <c r="AA33" s="12">
        <v>93.12</v>
      </c>
      <c r="AB33" s="115">
        <v>8300600</v>
      </c>
      <c r="AC33" s="12">
        <v>92.43</v>
      </c>
      <c r="AD33" s="2">
        <f t="shared" si="0"/>
        <v>2.0999999999999943</v>
      </c>
      <c r="AE33" s="165">
        <f t="shared" si="1"/>
        <v>-2.715503631196714E-2</v>
      </c>
    </row>
    <row r="34" spans="15:31" x14ac:dyDescent="0.25">
      <c r="W34" s="160">
        <v>42374</v>
      </c>
      <c r="X34" s="12">
        <v>95.14</v>
      </c>
      <c r="Y34" s="12">
        <v>96</v>
      </c>
      <c r="Z34" s="12">
        <v>94.8</v>
      </c>
      <c r="AA34" s="12">
        <v>95.72</v>
      </c>
      <c r="AB34" s="115">
        <v>4253100</v>
      </c>
      <c r="AC34" s="12">
        <v>95.01</v>
      </c>
      <c r="AD34" s="2">
        <f t="shared" si="0"/>
        <v>1.2000000000000028</v>
      </c>
      <c r="AE34" s="165">
        <f t="shared" si="1"/>
        <v>1.5812776723593824E-3</v>
      </c>
    </row>
    <row r="35" spans="15:31" x14ac:dyDescent="0.25">
      <c r="W35" s="160">
        <v>42373</v>
      </c>
      <c r="X35" s="12">
        <v>94.45</v>
      </c>
      <c r="Y35" s="12">
        <v>95.64</v>
      </c>
      <c r="Z35" s="12">
        <v>93.96</v>
      </c>
      <c r="AA35" s="12">
        <v>95.57</v>
      </c>
      <c r="AB35" s="115">
        <v>5382200</v>
      </c>
      <c r="AC35" s="12">
        <v>94.86</v>
      </c>
      <c r="AD35" s="2">
        <f t="shared" si="0"/>
        <v>1.6800000000000068</v>
      </c>
      <c r="AE35" s="165">
        <f t="shared" si="1"/>
        <v>-5.2432885906040783E-3</v>
      </c>
    </row>
    <row r="36" spans="15:31" x14ac:dyDescent="0.25">
      <c r="W36" s="160">
        <v>42369</v>
      </c>
      <c r="X36" s="12">
        <v>96.41</v>
      </c>
      <c r="Y36" s="12">
        <v>96.68</v>
      </c>
      <c r="Z36" s="12">
        <v>95.71</v>
      </c>
      <c r="AA36" s="12">
        <v>96.07</v>
      </c>
      <c r="AB36" s="115">
        <v>2951000</v>
      </c>
      <c r="AC36" s="12">
        <v>95.36</v>
      </c>
      <c r="AD36" s="2">
        <f t="shared" si="0"/>
        <v>0.97000000000001307</v>
      </c>
      <c r="AE36" s="165">
        <f t="shared" si="1"/>
        <v>-8.5256810147640305E-3</v>
      </c>
    </row>
    <row r="37" spans="15:31" x14ac:dyDescent="0.25">
      <c r="W37" s="160">
        <v>42368</v>
      </c>
      <c r="X37" s="12">
        <v>96.92</v>
      </c>
      <c r="Y37" s="12">
        <v>97.5</v>
      </c>
      <c r="Z37" s="12">
        <v>96.52</v>
      </c>
      <c r="AA37" s="12">
        <v>96.9</v>
      </c>
      <c r="AB37" s="115">
        <v>3161600</v>
      </c>
      <c r="AC37" s="12">
        <v>96.18</v>
      </c>
      <c r="AD37" s="2">
        <f t="shared" si="0"/>
        <v>0.98000000000000398</v>
      </c>
      <c r="AE37" s="165">
        <f t="shared" si="1"/>
        <v>-3.8322112894871863E-3</v>
      </c>
    </row>
    <row r="38" spans="15:31" x14ac:dyDescent="0.25">
      <c r="W38" s="160">
        <v>42367</v>
      </c>
      <c r="X38" s="12">
        <v>96.67</v>
      </c>
      <c r="Y38" s="12">
        <v>97.77</v>
      </c>
      <c r="Z38" s="12">
        <v>96.35</v>
      </c>
      <c r="AA38" s="12">
        <v>97.27</v>
      </c>
      <c r="AB38" s="115">
        <v>3291400</v>
      </c>
      <c r="AC38" s="12">
        <v>96.55</v>
      </c>
      <c r="AD38" s="2">
        <f t="shared" si="0"/>
        <v>1.4200000000000017</v>
      </c>
      <c r="AE38" s="165">
        <f t="shared" si="1"/>
        <v>1.226672258335082E-2</v>
      </c>
    </row>
    <row r="39" spans="15:31" ht="20.25" thickBot="1" x14ac:dyDescent="0.35">
      <c r="P39" s="389" t="s">
        <v>78</v>
      </c>
      <c r="Q39" s="389"/>
      <c r="T39" s="111" t="s">
        <v>121</v>
      </c>
      <c r="W39" s="160">
        <v>42366</v>
      </c>
      <c r="X39" s="12">
        <v>95.98</v>
      </c>
      <c r="Y39" s="12">
        <v>96.31</v>
      </c>
      <c r="Z39" s="12">
        <v>95.7</v>
      </c>
      <c r="AA39" s="12">
        <v>96.09</v>
      </c>
      <c r="AB39" s="115">
        <v>3606800</v>
      </c>
      <c r="AC39" s="12">
        <v>95.38</v>
      </c>
      <c r="AD39" s="2">
        <f t="shared" si="0"/>
        <v>0.60999999999999943</v>
      </c>
      <c r="AE39" s="165">
        <f t="shared" si="1"/>
        <v>-2.1968825190920027E-3</v>
      </c>
    </row>
    <row r="40" spans="15:31" ht="15.75" thickTop="1" x14ac:dyDescent="0.25">
      <c r="O40" s="2"/>
      <c r="P40" s="103">
        <v>1.1000000000000001</v>
      </c>
      <c r="Q40" s="103">
        <f>P40*$Q$4</f>
        <v>97.053000000000011</v>
      </c>
      <c r="T40" s="155" t="s">
        <v>106</v>
      </c>
      <c r="U40" s="118">
        <v>88.36</v>
      </c>
      <c r="W40" s="160">
        <v>42362</v>
      </c>
      <c r="X40" s="12">
        <v>95.89</v>
      </c>
      <c r="Y40" s="12">
        <v>96.52</v>
      </c>
      <c r="Z40" s="12">
        <v>95.87</v>
      </c>
      <c r="AA40" s="12">
        <v>96.3</v>
      </c>
      <c r="AB40" s="115">
        <v>1382700</v>
      </c>
      <c r="AC40" s="12">
        <v>95.59</v>
      </c>
      <c r="AD40" s="2">
        <f t="shared" si="0"/>
        <v>0.64999999999999147</v>
      </c>
      <c r="AE40" s="165">
        <f t="shared" si="1"/>
        <v>0</v>
      </c>
    </row>
    <row r="41" spans="15:31" x14ac:dyDescent="0.25">
      <c r="O41" s="2"/>
      <c r="P41" s="103">
        <v>1.0900000000000001</v>
      </c>
      <c r="Q41" s="103">
        <f t="shared" ref="Q41:Q60" si="2">P41*$Q$4</f>
        <v>96.170700000000011</v>
      </c>
      <c r="T41" s="113" t="s">
        <v>107</v>
      </c>
      <c r="U41" s="108">
        <v>88.35</v>
      </c>
      <c r="W41" s="160">
        <v>42361</v>
      </c>
      <c r="X41" s="12">
        <v>95.5</v>
      </c>
      <c r="Y41" s="12">
        <v>96.6</v>
      </c>
      <c r="Z41" s="12">
        <v>95.43</v>
      </c>
      <c r="AA41" s="12">
        <v>96.3</v>
      </c>
      <c r="AB41" s="115">
        <v>4677200</v>
      </c>
      <c r="AC41" s="12">
        <v>95.59</v>
      </c>
      <c r="AD41" s="2">
        <f t="shared" si="0"/>
        <v>1.1699999999999875</v>
      </c>
      <c r="AE41" s="165">
        <f t="shared" si="1"/>
        <v>1.5079112243814308E-2</v>
      </c>
    </row>
    <row r="42" spans="15:31" x14ac:dyDescent="0.25">
      <c r="O42" s="2"/>
      <c r="P42" s="103">
        <v>1.08</v>
      </c>
      <c r="Q42" s="103">
        <f t="shared" si="2"/>
        <v>95.28840000000001</v>
      </c>
      <c r="T42" s="113" t="s">
        <v>108</v>
      </c>
      <c r="U42" s="108" t="s">
        <v>430</v>
      </c>
      <c r="W42" s="160">
        <v>42360</v>
      </c>
      <c r="X42" s="12">
        <v>94.31</v>
      </c>
      <c r="Y42" s="12">
        <v>95.41</v>
      </c>
      <c r="Z42" s="12">
        <v>94</v>
      </c>
      <c r="AA42" s="12">
        <v>94.87</v>
      </c>
      <c r="AB42" s="115">
        <v>4644100</v>
      </c>
      <c r="AC42" s="12">
        <v>94.17</v>
      </c>
      <c r="AD42" s="2">
        <f t="shared" si="0"/>
        <v>1.4099999999999966</v>
      </c>
      <c r="AE42" s="165">
        <f t="shared" si="1"/>
        <v>1.3452432199741793E-2</v>
      </c>
    </row>
    <row r="43" spans="15:31" x14ac:dyDescent="0.25">
      <c r="O43" s="2"/>
      <c r="P43" s="103">
        <v>1.07</v>
      </c>
      <c r="Q43" s="103">
        <f t="shared" si="2"/>
        <v>94.406100000000009</v>
      </c>
      <c r="T43" s="113" t="s">
        <v>109</v>
      </c>
      <c r="U43" s="108" t="s">
        <v>431</v>
      </c>
      <c r="W43" s="160">
        <v>42359</v>
      </c>
      <c r="X43" s="12">
        <v>93.02</v>
      </c>
      <c r="Y43" s="12">
        <v>93.89</v>
      </c>
      <c r="Z43" s="12">
        <v>92.69</v>
      </c>
      <c r="AA43" s="12">
        <v>93.61</v>
      </c>
      <c r="AB43" s="115">
        <v>8708800</v>
      </c>
      <c r="AC43" s="12">
        <v>92.92</v>
      </c>
      <c r="AD43" s="2">
        <f t="shared" si="0"/>
        <v>1.2000000000000028</v>
      </c>
      <c r="AE43" s="165">
        <f t="shared" si="1"/>
        <v>1.3746454287584697E-2</v>
      </c>
    </row>
    <row r="44" spans="15:31" x14ac:dyDescent="0.25">
      <c r="O44" s="2"/>
      <c r="P44" s="103">
        <v>1.06</v>
      </c>
      <c r="Q44" s="103">
        <f t="shared" si="2"/>
        <v>93.523800000000008</v>
      </c>
      <c r="T44" s="113" t="s">
        <v>110</v>
      </c>
      <c r="U44" s="108">
        <v>105.28</v>
      </c>
      <c r="W44" s="160">
        <v>42356</v>
      </c>
      <c r="X44" s="12">
        <v>93.31</v>
      </c>
      <c r="Y44" s="12">
        <v>94.33</v>
      </c>
      <c r="Z44" s="12">
        <v>92.34</v>
      </c>
      <c r="AA44" s="12">
        <v>92.34</v>
      </c>
      <c r="AB44" s="115">
        <v>8665800</v>
      </c>
      <c r="AC44" s="12">
        <v>91.66</v>
      </c>
      <c r="AD44" s="2">
        <f t="shared" si="0"/>
        <v>1.9899999999999949</v>
      </c>
      <c r="AE44" s="165">
        <f t="shared" si="1"/>
        <v>-1.6312513414896035E-2</v>
      </c>
    </row>
    <row r="45" spans="15:31" x14ac:dyDescent="0.25">
      <c r="O45" s="2"/>
      <c r="P45" s="103">
        <v>1.05</v>
      </c>
      <c r="Q45" s="103">
        <f t="shared" si="2"/>
        <v>92.641500000000008</v>
      </c>
      <c r="T45" s="113" t="s">
        <v>111</v>
      </c>
      <c r="U45" s="108">
        <v>1.1824699999999999</v>
      </c>
      <c r="W45" s="160">
        <v>42355</v>
      </c>
      <c r="X45" s="12">
        <v>95.13</v>
      </c>
      <c r="Y45" s="12">
        <v>95.73</v>
      </c>
      <c r="Z45" s="12">
        <v>93.84</v>
      </c>
      <c r="AA45" s="12">
        <v>93.87</v>
      </c>
      <c r="AB45" s="115">
        <v>4802300</v>
      </c>
      <c r="AC45" s="12">
        <v>93.18</v>
      </c>
      <c r="AD45" s="2">
        <f t="shared" si="0"/>
        <v>1.8900000000000006</v>
      </c>
      <c r="AE45" s="165">
        <f t="shared" si="1"/>
        <v>-1.3237318648734564E-2</v>
      </c>
    </row>
    <row r="46" spans="15:31" x14ac:dyDescent="0.25">
      <c r="O46" s="2"/>
      <c r="P46" s="103">
        <v>1.04</v>
      </c>
      <c r="Q46" s="103">
        <f t="shared" si="2"/>
        <v>91.759200000000007</v>
      </c>
      <c r="T46" s="113" t="s">
        <v>131</v>
      </c>
      <c r="U46" s="108" t="s">
        <v>293</v>
      </c>
      <c r="W46" s="160">
        <v>42354</v>
      </c>
      <c r="X46" s="12">
        <v>93.97</v>
      </c>
      <c r="Y46" s="12">
        <v>95.43</v>
      </c>
      <c r="Z46" s="12">
        <v>93.44</v>
      </c>
      <c r="AA46" s="12">
        <v>95.13</v>
      </c>
      <c r="AB46" s="115">
        <v>9868300</v>
      </c>
      <c r="AC46" s="12">
        <v>94.43</v>
      </c>
      <c r="AD46" s="2">
        <f t="shared" si="0"/>
        <v>1.9900000000000091</v>
      </c>
      <c r="AE46" s="165">
        <f t="shared" si="1"/>
        <v>2.0092902668251256E-2</v>
      </c>
    </row>
    <row r="47" spans="15:31" x14ac:dyDescent="0.25">
      <c r="O47" s="2"/>
      <c r="P47" s="103">
        <v>1.03</v>
      </c>
      <c r="Q47" s="103">
        <f t="shared" si="2"/>
        <v>90.876900000000006</v>
      </c>
      <c r="T47" s="113"/>
      <c r="U47" s="108"/>
      <c r="W47" s="160">
        <v>42353</v>
      </c>
      <c r="X47" s="12">
        <v>93.68</v>
      </c>
      <c r="Y47" s="12">
        <v>94.66</v>
      </c>
      <c r="Z47" s="12">
        <v>93.23</v>
      </c>
      <c r="AA47" s="12">
        <v>93.26</v>
      </c>
      <c r="AB47" s="115">
        <v>6618000</v>
      </c>
      <c r="AC47" s="12">
        <v>92.57</v>
      </c>
      <c r="AD47" s="2">
        <f t="shared" si="0"/>
        <v>1.4299999999999926</v>
      </c>
      <c r="AE47" s="165">
        <f t="shared" si="1"/>
        <v>2.4907948884556053E-3</v>
      </c>
    </row>
    <row r="48" spans="15:31" x14ac:dyDescent="0.25">
      <c r="O48" s="2"/>
      <c r="P48" s="103">
        <v>1.02</v>
      </c>
      <c r="Q48" s="103">
        <f t="shared" si="2"/>
        <v>89.994600000000005</v>
      </c>
      <c r="T48" s="113" t="s">
        <v>113</v>
      </c>
      <c r="U48" s="108" t="s">
        <v>432</v>
      </c>
      <c r="W48" s="160">
        <v>42352</v>
      </c>
      <c r="X48" s="12">
        <v>93.3</v>
      </c>
      <c r="Y48" s="12">
        <v>93.57</v>
      </c>
      <c r="Z48" s="12">
        <v>92.2</v>
      </c>
      <c r="AA48" s="12">
        <v>93.03</v>
      </c>
      <c r="AB48" s="115">
        <v>6748200</v>
      </c>
      <c r="AC48" s="12">
        <v>92.34</v>
      </c>
      <c r="AD48" s="2">
        <f t="shared" si="0"/>
        <v>1.3699999999999903</v>
      </c>
      <c r="AE48" s="165">
        <f t="shared" si="1"/>
        <v>-2.9154518950437192E-3</v>
      </c>
    </row>
    <row r="49" spans="15:31" x14ac:dyDescent="0.25">
      <c r="O49" s="2"/>
      <c r="P49" s="103">
        <v>1.01</v>
      </c>
      <c r="Q49" s="103">
        <f t="shared" si="2"/>
        <v>89.112300000000005</v>
      </c>
      <c r="T49" s="113" t="s">
        <v>114</v>
      </c>
      <c r="U49" s="108" t="s">
        <v>433</v>
      </c>
      <c r="W49" s="160">
        <v>42349</v>
      </c>
      <c r="X49" s="12">
        <v>93.01</v>
      </c>
      <c r="Y49" s="12">
        <v>94.63</v>
      </c>
      <c r="Z49" s="12">
        <v>92.93</v>
      </c>
      <c r="AA49" s="12">
        <v>93.3</v>
      </c>
      <c r="AB49" s="115">
        <v>9942600</v>
      </c>
      <c r="AC49" s="12">
        <v>92.61</v>
      </c>
      <c r="AD49" s="2">
        <f t="shared" si="0"/>
        <v>1.6999999999999886</v>
      </c>
      <c r="AE49" s="165">
        <f t="shared" si="1"/>
        <v>-6.1171925305860686E-3</v>
      </c>
    </row>
    <row r="50" spans="15:31" x14ac:dyDescent="0.25">
      <c r="O50" s="2"/>
      <c r="P50" s="103">
        <v>1</v>
      </c>
      <c r="Q50" s="103">
        <f t="shared" si="2"/>
        <v>88.23</v>
      </c>
      <c r="T50" s="113" t="s">
        <v>115</v>
      </c>
      <c r="U50" s="110">
        <v>11817546</v>
      </c>
      <c r="W50" s="160">
        <v>42348</v>
      </c>
      <c r="X50" s="12">
        <v>94.07</v>
      </c>
      <c r="Y50" s="12">
        <v>94.67</v>
      </c>
      <c r="Z50" s="12">
        <v>91.63</v>
      </c>
      <c r="AA50" s="12">
        <v>93.87</v>
      </c>
      <c r="AB50" s="115">
        <v>5814100</v>
      </c>
      <c r="AC50" s="12">
        <v>93.18</v>
      </c>
      <c r="AD50" s="2">
        <f t="shared" si="0"/>
        <v>3.0400000000000063</v>
      </c>
      <c r="AE50" s="165">
        <f t="shared" si="1"/>
        <v>-2.9959340894498698E-3</v>
      </c>
    </row>
    <row r="51" spans="15:31" x14ac:dyDescent="0.25">
      <c r="O51" s="2"/>
      <c r="P51" s="103">
        <v>0.99</v>
      </c>
      <c r="Q51" s="103">
        <f t="shared" si="2"/>
        <v>87.347700000000003</v>
      </c>
      <c r="T51" s="113" t="s">
        <v>118</v>
      </c>
      <c r="U51" s="110">
        <v>6317720</v>
      </c>
      <c r="W51" s="160">
        <v>42347</v>
      </c>
      <c r="X51" s="12">
        <v>93.58</v>
      </c>
      <c r="Y51" s="12">
        <v>95.58</v>
      </c>
      <c r="Z51" s="12">
        <v>93.21</v>
      </c>
      <c r="AA51" s="12">
        <v>94.16</v>
      </c>
      <c r="AB51" s="115">
        <v>6911400</v>
      </c>
      <c r="AC51" s="12">
        <v>93.46</v>
      </c>
      <c r="AD51" s="2">
        <f t="shared" si="0"/>
        <v>2.3700000000000045</v>
      </c>
      <c r="AE51" s="165">
        <f t="shared" si="1"/>
        <v>-7.4842296589339163E-4</v>
      </c>
    </row>
    <row r="52" spans="15:31" x14ac:dyDescent="0.25">
      <c r="O52" s="2"/>
      <c r="P52" s="103">
        <v>0.98</v>
      </c>
      <c r="Q52" s="103">
        <f t="shared" si="2"/>
        <v>86.465400000000002</v>
      </c>
      <c r="T52" s="113" t="s">
        <v>116</v>
      </c>
      <c r="U52" s="108" t="s">
        <v>434</v>
      </c>
      <c r="W52" s="160">
        <v>42346</v>
      </c>
      <c r="X52" s="12">
        <v>94.98</v>
      </c>
      <c r="Y52" s="12">
        <v>95.32</v>
      </c>
      <c r="Z52" s="12">
        <v>93.9</v>
      </c>
      <c r="AA52" s="12">
        <v>94.23</v>
      </c>
      <c r="AB52" s="115">
        <v>7011800</v>
      </c>
      <c r="AC52" s="12">
        <v>93.53</v>
      </c>
      <c r="AD52" s="2">
        <f t="shared" si="0"/>
        <v>1.4199999999999875</v>
      </c>
      <c r="AE52" s="165">
        <f t="shared" si="1"/>
        <v>-1.7542016806722738E-2</v>
      </c>
    </row>
    <row r="53" spans="15:31" x14ac:dyDescent="0.25">
      <c r="P53" s="103">
        <v>0.97</v>
      </c>
      <c r="Q53" s="103">
        <f t="shared" si="2"/>
        <v>85.583100000000002</v>
      </c>
      <c r="T53" s="113" t="s">
        <v>119</v>
      </c>
      <c r="U53" s="108">
        <v>10.24</v>
      </c>
      <c r="W53" s="160">
        <v>42345</v>
      </c>
      <c r="X53" s="12">
        <v>95.62</v>
      </c>
      <c r="Y53" s="12">
        <v>96.25</v>
      </c>
      <c r="Z53" s="12">
        <v>95.37</v>
      </c>
      <c r="AA53" s="12">
        <v>95.91</v>
      </c>
      <c r="AB53" s="115">
        <v>4681200</v>
      </c>
      <c r="AC53" s="12">
        <v>95.2</v>
      </c>
      <c r="AD53" s="2">
        <f t="shared" si="0"/>
        <v>0.87999999999999545</v>
      </c>
      <c r="AE53" s="165">
        <f t="shared" si="1"/>
        <v>1.8943380340981086E-3</v>
      </c>
    </row>
    <row r="54" spans="15:31" x14ac:dyDescent="0.25">
      <c r="P54" s="103">
        <v>0.96</v>
      </c>
      <c r="Q54" s="103">
        <f t="shared" si="2"/>
        <v>84.700800000000001</v>
      </c>
      <c r="T54" s="113" t="s">
        <v>120</v>
      </c>
      <c r="U54" s="108">
        <v>8.6199999999999992</v>
      </c>
      <c r="W54" s="160">
        <v>42342</v>
      </c>
      <c r="X54" s="12">
        <v>94.99</v>
      </c>
      <c r="Y54" s="12">
        <v>96.63</v>
      </c>
      <c r="Z54" s="12">
        <v>94.79</v>
      </c>
      <c r="AA54" s="12">
        <v>95.73</v>
      </c>
      <c r="AB54" s="115">
        <v>9228900</v>
      </c>
      <c r="AC54" s="12">
        <v>95.02</v>
      </c>
      <c r="AD54" s="2">
        <f t="shared" si="0"/>
        <v>1.8399999999999892</v>
      </c>
      <c r="AE54" s="165">
        <f t="shared" si="1"/>
        <v>1.0851063829787178E-2</v>
      </c>
    </row>
    <row r="55" spans="15:31" x14ac:dyDescent="0.25">
      <c r="P55" s="103">
        <v>0.95</v>
      </c>
      <c r="Q55" s="103">
        <f t="shared" si="2"/>
        <v>83.8185</v>
      </c>
      <c r="T55" s="113" t="s">
        <v>117</v>
      </c>
      <c r="U55" s="108" t="s">
        <v>435</v>
      </c>
      <c r="W55" s="160">
        <v>42341</v>
      </c>
      <c r="X55" s="12">
        <v>95.3</v>
      </c>
      <c r="Y55" s="12">
        <v>95.8</v>
      </c>
      <c r="Z55" s="12">
        <v>94.4</v>
      </c>
      <c r="AA55" s="12">
        <v>94.7</v>
      </c>
      <c r="AB55" s="115">
        <v>6082000</v>
      </c>
      <c r="AC55" s="12">
        <v>94</v>
      </c>
      <c r="AD55" s="2">
        <f t="shared" si="0"/>
        <v>1.3999999999999915</v>
      </c>
      <c r="AE55" s="165">
        <f t="shared" si="1"/>
        <v>-5.8170280274986164E-3</v>
      </c>
    </row>
    <row r="56" spans="15:31" x14ac:dyDescent="0.25">
      <c r="P56" s="103">
        <v>0.94</v>
      </c>
      <c r="Q56" s="103">
        <f t="shared" si="2"/>
        <v>82.936199999999999</v>
      </c>
      <c r="W56" s="160">
        <v>42340</v>
      </c>
      <c r="X56" s="12">
        <v>96.46</v>
      </c>
      <c r="Y56" s="12">
        <v>96.83</v>
      </c>
      <c r="Z56" s="12">
        <v>95.13</v>
      </c>
      <c r="AA56" s="12">
        <v>95.25</v>
      </c>
      <c r="AB56" s="115">
        <v>3892500</v>
      </c>
      <c r="AC56" s="12">
        <v>94.55</v>
      </c>
      <c r="AD56" s="2">
        <f t="shared" si="0"/>
        <v>1.7000000000000028</v>
      </c>
      <c r="AE56" s="165">
        <f t="shared" si="1"/>
        <v>-1.4898937278599811E-2</v>
      </c>
    </row>
    <row r="57" spans="15:31" x14ac:dyDescent="0.25">
      <c r="P57" s="103">
        <v>0.93</v>
      </c>
      <c r="Q57" s="103">
        <f t="shared" si="2"/>
        <v>82.053900000000013</v>
      </c>
      <c r="W57" s="160">
        <v>42339</v>
      </c>
      <c r="X57" s="12">
        <v>96.04</v>
      </c>
      <c r="Y57" s="12">
        <v>97.45</v>
      </c>
      <c r="Z57" s="12">
        <v>96.02</v>
      </c>
      <c r="AA57" s="12">
        <v>96.7</v>
      </c>
      <c r="AB57" s="115">
        <v>4595500</v>
      </c>
      <c r="AC57" s="12">
        <v>95.98</v>
      </c>
      <c r="AD57" s="2">
        <f t="shared" si="0"/>
        <v>1.4300000000000068</v>
      </c>
      <c r="AE57" s="165">
        <f t="shared" si="1"/>
        <v>6.7128172855044355E-3</v>
      </c>
    </row>
    <row r="58" spans="15:31" x14ac:dyDescent="0.25">
      <c r="P58" s="103">
        <v>0.92</v>
      </c>
      <c r="Q58" s="103">
        <f t="shared" si="2"/>
        <v>81.171600000000012</v>
      </c>
      <c r="W58" s="160">
        <v>42338</v>
      </c>
      <c r="X58" s="12">
        <v>97.06</v>
      </c>
      <c r="Y58" s="12">
        <v>97.25</v>
      </c>
      <c r="Z58" s="12">
        <v>95.94</v>
      </c>
      <c r="AA58" s="12">
        <v>96.05</v>
      </c>
      <c r="AB58" s="115">
        <v>5561000</v>
      </c>
      <c r="AC58" s="12">
        <v>95.34</v>
      </c>
      <c r="AD58" s="2">
        <f t="shared" si="0"/>
        <v>1.3100000000000023</v>
      </c>
      <c r="AE58" s="165">
        <f t="shared" si="1"/>
        <v>-7.7019150707743345E-3</v>
      </c>
    </row>
    <row r="59" spans="15:31" x14ac:dyDescent="0.25">
      <c r="P59" s="103">
        <v>0.91</v>
      </c>
      <c r="Q59" s="103">
        <f t="shared" si="2"/>
        <v>80.289300000000011</v>
      </c>
      <c r="W59" s="160">
        <v>42335</v>
      </c>
      <c r="X59" s="12">
        <v>97.01</v>
      </c>
      <c r="Y59" s="12">
        <v>97.17</v>
      </c>
      <c r="Z59" s="12">
        <v>96.54</v>
      </c>
      <c r="AA59" s="12">
        <v>96.8</v>
      </c>
      <c r="AB59" s="115">
        <v>1919700</v>
      </c>
      <c r="AC59" s="12">
        <v>96.08</v>
      </c>
      <c r="AD59" s="2">
        <f t="shared" si="0"/>
        <v>0.62999999999999545</v>
      </c>
      <c r="AE59" s="165">
        <f t="shared" si="1"/>
        <v>-4.8679440704297861E-3</v>
      </c>
    </row>
    <row r="60" spans="15:31" x14ac:dyDescent="0.25">
      <c r="P60" s="103">
        <v>0.9</v>
      </c>
      <c r="Q60" s="103">
        <f t="shared" si="2"/>
        <v>79.407000000000011</v>
      </c>
      <c r="W60" s="160">
        <v>42333</v>
      </c>
      <c r="X60" s="12">
        <v>97.41</v>
      </c>
      <c r="Y60" s="12">
        <v>98.05</v>
      </c>
      <c r="Z60" s="12">
        <v>97.25</v>
      </c>
      <c r="AA60" s="12">
        <v>97.27</v>
      </c>
      <c r="AB60" s="115">
        <v>4336400</v>
      </c>
      <c r="AC60" s="12">
        <v>96.55</v>
      </c>
      <c r="AD60" s="2">
        <f t="shared" si="0"/>
        <v>0.79999999999999716</v>
      </c>
      <c r="AE60" s="165">
        <f t="shared" si="1"/>
        <v>-9.3129139072856137E-4</v>
      </c>
    </row>
    <row r="61" spans="15:31" x14ac:dyDescent="0.25">
      <c r="W61" s="160">
        <v>42332</v>
      </c>
      <c r="X61" s="12">
        <v>97.57</v>
      </c>
      <c r="Y61" s="12">
        <v>97.88</v>
      </c>
      <c r="Z61" s="12">
        <v>96.46</v>
      </c>
      <c r="AA61" s="12">
        <v>97.36</v>
      </c>
      <c r="AB61" s="115">
        <v>5344100</v>
      </c>
      <c r="AC61" s="12">
        <v>96.64</v>
      </c>
      <c r="AD61" s="2">
        <f t="shared" si="0"/>
        <v>1.4200000000000017</v>
      </c>
      <c r="AE61" s="165">
        <f t="shared" si="1"/>
        <v>-7.3952341824157219E-3</v>
      </c>
    </row>
    <row r="62" spans="15:31" x14ac:dyDescent="0.25">
      <c r="W62" s="160">
        <v>42331</v>
      </c>
      <c r="X62" s="12">
        <v>98.18</v>
      </c>
      <c r="Y62" s="12">
        <v>98.58</v>
      </c>
      <c r="Z62" s="12">
        <v>97.89</v>
      </c>
      <c r="AA62" s="12">
        <v>98.09</v>
      </c>
      <c r="AB62" s="115">
        <v>4177100</v>
      </c>
      <c r="AC62" s="12">
        <v>97.36</v>
      </c>
      <c r="AD62" s="2">
        <f t="shared" si="0"/>
        <v>0.68999999999999773</v>
      </c>
      <c r="AE62" s="165">
        <f t="shared" si="1"/>
        <v>-1.3334700994973581E-3</v>
      </c>
    </row>
    <row r="63" spans="15:31" x14ac:dyDescent="0.25">
      <c r="W63" s="160">
        <v>42328</v>
      </c>
      <c r="X63" s="12">
        <v>98.64</v>
      </c>
      <c r="Y63" s="12">
        <v>99.55</v>
      </c>
      <c r="Z63" s="12">
        <v>98.14</v>
      </c>
      <c r="AA63" s="12">
        <v>98.22</v>
      </c>
      <c r="AB63" s="115">
        <v>4898200</v>
      </c>
      <c r="AC63" s="12">
        <v>97.49</v>
      </c>
      <c r="AD63" s="2">
        <f t="shared" si="0"/>
        <v>1.4099999999999966</v>
      </c>
      <c r="AE63" s="165">
        <f t="shared" si="1"/>
        <v>-8.199241570154836E-4</v>
      </c>
    </row>
    <row r="64" spans="15:31" x14ac:dyDescent="0.25">
      <c r="W64" s="160">
        <v>42327</v>
      </c>
      <c r="X64" s="12">
        <v>97.97</v>
      </c>
      <c r="Y64" s="12">
        <v>98.89</v>
      </c>
      <c r="Z64" s="12">
        <v>97.83</v>
      </c>
      <c r="AA64" s="12">
        <v>98.3</v>
      </c>
      <c r="AB64" s="115">
        <v>4366600</v>
      </c>
      <c r="AC64" s="12">
        <v>97.57</v>
      </c>
      <c r="AD64" s="2">
        <f t="shared" si="0"/>
        <v>1.0600000000000023</v>
      </c>
      <c r="AE64" s="165">
        <f t="shared" si="1"/>
        <v>5.9799979379318025E-3</v>
      </c>
    </row>
    <row r="65" spans="23:31" x14ac:dyDescent="0.25">
      <c r="W65" s="160">
        <v>42326</v>
      </c>
      <c r="X65" s="12">
        <v>97.63</v>
      </c>
      <c r="Y65" s="12">
        <v>97.86</v>
      </c>
      <c r="Z65" s="12">
        <v>96.84</v>
      </c>
      <c r="AA65" s="12">
        <v>97.71</v>
      </c>
      <c r="AB65" s="115">
        <v>4202000</v>
      </c>
      <c r="AC65" s="12">
        <v>96.99</v>
      </c>
      <c r="AD65" s="2">
        <f t="shared" si="0"/>
        <v>1.019999999999996</v>
      </c>
      <c r="AE65" s="165">
        <f t="shared" si="1"/>
        <v>1.6523804606010106E-3</v>
      </c>
    </row>
    <row r="66" spans="23:31" x14ac:dyDescent="0.25">
      <c r="W66" s="160">
        <v>42325</v>
      </c>
      <c r="X66" s="12">
        <v>98.17</v>
      </c>
      <c r="Y66" s="12">
        <v>98.3</v>
      </c>
      <c r="Z66" s="12">
        <v>97.4</v>
      </c>
      <c r="AA66" s="12">
        <v>97.55</v>
      </c>
      <c r="AB66" s="115">
        <v>4528800</v>
      </c>
      <c r="AC66" s="12">
        <v>96.83</v>
      </c>
      <c r="AD66" s="2">
        <f t="shared" si="0"/>
        <v>0.89999999999999147</v>
      </c>
      <c r="AE66" s="165">
        <f t="shared" si="1"/>
        <v>-2.8833281845329628E-3</v>
      </c>
    </row>
    <row r="67" spans="23:31" x14ac:dyDescent="0.25">
      <c r="W67" s="160">
        <v>42324</v>
      </c>
      <c r="X67" s="12">
        <v>96.56</v>
      </c>
      <c r="Y67" s="12">
        <v>97.86</v>
      </c>
      <c r="Z67" s="12">
        <v>96.38</v>
      </c>
      <c r="AA67" s="12">
        <v>97.83</v>
      </c>
      <c r="AB67" s="115">
        <v>5098700</v>
      </c>
      <c r="AC67" s="12">
        <v>97.11</v>
      </c>
      <c r="AD67" s="2">
        <f t="shared" ref="AD67:AD68" si="3">Y67-Z67</f>
        <v>1.480000000000004</v>
      </c>
      <c r="AE67" s="165">
        <f t="shared" ref="AE67" si="4">AC67/AC68-1</f>
        <v>1.3991855487104576E-2</v>
      </c>
    </row>
    <row r="68" spans="23:31" x14ac:dyDescent="0.25">
      <c r="W68" s="160">
        <v>42321</v>
      </c>
      <c r="X68" s="12">
        <v>98.72</v>
      </c>
      <c r="Y68" s="12">
        <v>99.64</v>
      </c>
      <c r="Z68" s="12">
        <v>96.39</v>
      </c>
      <c r="AA68" s="12">
        <v>96.48</v>
      </c>
      <c r="AB68" s="115">
        <v>6218900</v>
      </c>
      <c r="AC68" s="12">
        <v>95.77</v>
      </c>
      <c r="AD68" s="2">
        <f t="shared" si="3"/>
        <v>3.25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60">
        <v>42419</v>
      </c>
      <c r="X2" s="12">
        <v>117.5</v>
      </c>
      <c r="Y2" s="12">
        <v>118.55</v>
      </c>
      <c r="Z2" s="12">
        <v>116.02</v>
      </c>
      <c r="AA2" s="12">
        <v>117.68</v>
      </c>
      <c r="AB2" s="115">
        <v>4442000</v>
      </c>
      <c r="AC2" s="12">
        <v>117.68</v>
      </c>
      <c r="AD2" s="2">
        <f>Y2-Z2</f>
        <v>2.5300000000000011</v>
      </c>
      <c r="AE2" s="165">
        <f>AC2/AC3-1</f>
        <v>1.9582801191997401E-3</v>
      </c>
      <c r="AP2" t="s">
        <v>209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117.68</v>
      </c>
      <c r="W3" s="160">
        <v>42418</v>
      </c>
      <c r="X3" s="12">
        <v>118.5</v>
      </c>
      <c r="Y3" s="12">
        <v>120</v>
      </c>
      <c r="Z3" s="12">
        <v>117.06</v>
      </c>
      <c r="AA3" s="12">
        <v>117.45</v>
      </c>
      <c r="AB3" s="115">
        <v>3805100</v>
      </c>
      <c r="AC3" s="12">
        <v>117.45</v>
      </c>
      <c r="AD3" s="2">
        <f t="shared" ref="AD3:AD66" si="1">Y3-Z3</f>
        <v>2.9399999999999977</v>
      </c>
      <c r="AE3" s="165">
        <f t="shared" ref="AE3:AE66" si="2">AC3/AC4-1</f>
        <v>-7.1851225697379117E-3</v>
      </c>
      <c r="AI3" t="s">
        <v>222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117.68</v>
      </c>
      <c r="W4" s="160">
        <v>42417</v>
      </c>
      <c r="X4" s="12">
        <v>115.5</v>
      </c>
      <c r="Y4" s="12">
        <v>118.39</v>
      </c>
      <c r="Z4" s="12">
        <v>115.2</v>
      </c>
      <c r="AA4" s="12">
        <v>118.3</v>
      </c>
      <c r="AB4" s="115">
        <v>4456000</v>
      </c>
      <c r="AC4" s="12">
        <v>118.3</v>
      </c>
      <c r="AD4" s="2">
        <f t="shared" si="1"/>
        <v>3.1899999999999977</v>
      </c>
      <c r="AE4" s="165">
        <f t="shared" si="2"/>
        <v>2.7355623100303816E-2</v>
      </c>
      <c r="AI4" t="s">
        <v>223</v>
      </c>
      <c r="AJ4">
        <v>-10</v>
      </c>
      <c r="AK4" t="s">
        <v>213</v>
      </c>
      <c r="AL4" t="s">
        <v>213</v>
      </c>
      <c r="AO4" s="309">
        <v>-1153.98</v>
      </c>
      <c r="AP4" t="s">
        <v>213</v>
      </c>
      <c r="AQ4" t="s">
        <v>213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0">
        <v>42416</v>
      </c>
      <c r="X5" s="12">
        <v>112.63</v>
      </c>
      <c r="Y5" s="12">
        <v>115.27</v>
      </c>
      <c r="Z5" s="12">
        <v>112.53</v>
      </c>
      <c r="AA5" s="12">
        <v>115.15</v>
      </c>
      <c r="AB5" s="115">
        <v>3356900</v>
      </c>
      <c r="AC5" s="12">
        <v>115.15</v>
      </c>
      <c r="AD5" s="2">
        <f t="shared" si="1"/>
        <v>2.7399999999999949</v>
      </c>
      <c r="AE5" s="165">
        <f t="shared" si="2"/>
        <v>2.9780003577177805E-2</v>
      </c>
      <c r="AI5" t="s">
        <v>217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G6" s="1">
        <v>42416</v>
      </c>
      <c r="H6" s="102">
        <v>25</v>
      </c>
      <c r="I6" s="57">
        <v>114.55</v>
      </c>
      <c r="J6" s="57">
        <v>0.06</v>
      </c>
      <c r="K6" s="7">
        <f>I6*H6-J6</f>
        <v>2863.69</v>
      </c>
      <c r="O6" s="13" t="s">
        <v>64</v>
      </c>
      <c r="Q6" s="2">
        <f>Q3*Q2</f>
        <v>0</v>
      </c>
      <c r="W6" s="160">
        <v>42412</v>
      </c>
      <c r="X6" s="12">
        <v>111.2</v>
      </c>
      <c r="Y6" s="12">
        <v>111.91</v>
      </c>
      <c r="Z6" s="12">
        <v>110.21</v>
      </c>
      <c r="AA6" s="12">
        <v>111.82</v>
      </c>
      <c r="AB6" s="115">
        <v>2543500</v>
      </c>
      <c r="AC6" s="12">
        <v>111.82</v>
      </c>
      <c r="AD6" s="2">
        <f t="shared" si="1"/>
        <v>1.7000000000000028</v>
      </c>
      <c r="AE6" s="165">
        <f t="shared" si="2"/>
        <v>1.0847947929849777E-2</v>
      </c>
      <c r="AI6" t="s">
        <v>212</v>
      </c>
    </row>
    <row r="7" spans="1:43" ht="15.75" x14ac:dyDescent="0.25">
      <c r="B7" s="1">
        <v>42376</v>
      </c>
      <c r="C7" s="7">
        <v>25</v>
      </c>
      <c r="D7" s="57">
        <v>111.7</v>
      </c>
      <c r="E7" s="57">
        <v>0</v>
      </c>
      <c r="F7" s="57">
        <f t="shared" si="0"/>
        <v>2792.5</v>
      </c>
      <c r="H7" s="91"/>
      <c r="O7" s="13" t="s">
        <v>65</v>
      </c>
      <c r="Q7" s="2">
        <f>IF(Q2=0, K11+M11-F11,Q5-Q6)</f>
        <v>176.70000000000073</v>
      </c>
      <c r="R7" s="252"/>
      <c r="W7" s="160">
        <v>42411</v>
      </c>
      <c r="X7" s="12">
        <v>111.32</v>
      </c>
      <c r="Y7" s="12">
        <v>111.69</v>
      </c>
      <c r="Z7" s="12">
        <v>110.09</v>
      </c>
      <c r="AA7" s="12">
        <v>110.62</v>
      </c>
      <c r="AB7" s="115">
        <v>3908500</v>
      </c>
      <c r="AC7" s="12">
        <v>110.62</v>
      </c>
      <c r="AD7" s="2">
        <f t="shared" si="1"/>
        <v>1.5999999999999943</v>
      </c>
      <c r="AE7" s="165">
        <f t="shared" si="2"/>
        <v>-1.8804328543551407E-2</v>
      </c>
    </row>
    <row r="8" spans="1:43" x14ac:dyDescent="0.25">
      <c r="O8" s="13" t="s">
        <v>92</v>
      </c>
      <c r="Q8" s="165">
        <f>(Q4-Q3)/Q3</f>
        <v>0</v>
      </c>
      <c r="W8" s="160">
        <v>42410</v>
      </c>
      <c r="X8" s="12">
        <v>111.33</v>
      </c>
      <c r="Y8" s="12">
        <v>114.48</v>
      </c>
      <c r="Z8" s="12">
        <v>111.33</v>
      </c>
      <c r="AA8" s="12">
        <v>112.74</v>
      </c>
      <c r="AB8" s="115">
        <v>3023200</v>
      </c>
      <c r="AC8" s="12">
        <v>112.74</v>
      </c>
      <c r="AD8" s="2">
        <f t="shared" si="1"/>
        <v>3.1500000000000057</v>
      </c>
      <c r="AE8" s="165">
        <f t="shared" si="2"/>
        <v>1.4213745951781265E-2</v>
      </c>
    </row>
    <row r="9" spans="1:43" x14ac:dyDescent="0.25">
      <c r="W9" s="160">
        <v>42409</v>
      </c>
      <c r="X9" s="12">
        <v>109.37</v>
      </c>
      <c r="Y9" s="12">
        <v>112.28</v>
      </c>
      <c r="Z9" s="12">
        <v>109.14</v>
      </c>
      <c r="AA9" s="12">
        <v>111.16</v>
      </c>
      <c r="AB9" s="115">
        <v>3450900</v>
      </c>
      <c r="AC9" s="12">
        <v>111.16</v>
      </c>
      <c r="AD9" s="2">
        <f t="shared" si="1"/>
        <v>3.1400000000000006</v>
      </c>
      <c r="AE9" s="165">
        <f t="shared" si="2"/>
        <v>1.0361752408653002E-2</v>
      </c>
    </row>
    <row r="10" spans="1:43" x14ac:dyDescent="0.25">
      <c r="W10" s="160">
        <v>42408</v>
      </c>
      <c r="X10" s="12">
        <v>110.5</v>
      </c>
      <c r="Y10" s="12">
        <v>111.12</v>
      </c>
      <c r="Z10" s="12">
        <v>108.83</v>
      </c>
      <c r="AA10" s="12">
        <v>110.02</v>
      </c>
      <c r="AB10" s="115">
        <v>4993200</v>
      </c>
      <c r="AC10" s="12">
        <v>110.02</v>
      </c>
      <c r="AD10" s="2">
        <f t="shared" si="1"/>
        <v>2.2900000000000063</v>
      </c>
      <c r="AE10" s="165">
        <f t="shared" si="2"/>
        <v>-1.5216612960973874E-2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SUM(H2:H6)</f>
        <v>70</v>
      </c>
      <c r="I11" s="51"/>
      <c r="J11" s="51"/>
      <c r="K11" s="51">
        <f>SUM(K2:K6)</f>
        <v>8192.1</v>
      </c>
      <c r="L11" s="51"/>
      <c r="M11" s="51">
        <f>SUM(M2:M5)</f>
        <v>12.5</v>
      </c>
      <c r="W11" s="160">
        <v>42405</v>
      </c>
      <c r="X11" s="12">
        <v>114.07</v>
      </c>
      <c r="Y11" s="12">
        <v>114.21</v>
      </c>
      <c r="Z11" s="12">
        <v>110.9</v>
      </c>
      <c r="AA11" s="12">
        <v>111.72</v>
      </c>
      <c r="AB11" s="115">
        <v>3309300</v>
      </c>
      <c r="AC11" s="12">
        <v>111.72</v>
      </c>
      <c r="AD11" s="2">
        <f t="shared" si="1"/>
        <v>3.3099999999999881</v>
      </c>
      <c r="AE11" s="165">
        <f t="shared" si="2"/>
        <v>-2.1716287215411634E-2</v>
      </c>
    </row>
    <row r="12" spans="1:43" x14ac:dyDescent="0.25">
      <c r="W12" s="160">
        <v>42404</v>
      </c>
      <c r="X12" s="12">
        <v>112.67</v>
      </c>
      <c r="Y12" s="12">
        <v>114.55</v>
      </c>
      <c r="Z12" s="12">
        <v>112.04</v>
      </c>
      <c r="AA12" s="12">
        <v>114.2</v>
      </c>
      <c r="AB12" s="115">
        <v>3544800</v>
      </c>
      <c r="AC12" s="12">
        <v>114.2</v>
      </c>
      <c r="AD12" s="2">
        <f t="shared" si="1"/>
        <v>2.5099999999999909</v>
      </c>
      <c r="AE12" s="165">
        <f t="shared" si="2"/>
        <v>1.2860310421286103E-2</v>
      </c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W13" s="160">
        <v>42403</v>
      </c>
      <c r="X13" s="12">
        <v>114.37</v>
      </c>
      <c r="Y13" s="12">
        <v>114.37</v>
      </c>
      <c r="Z13" s="12">
        <v>110.3</v>
      </c>
      <c r="AA13" s="12">
        <v>112.75</v>
      </c>
      <c r="AB13" s="115">
        <v>3461200</v>
      </c>
      <c r="AC13" s="12">
        <v>112.75</v>
      </c>
      <c r="AD13" s="2">
        <f t="shared" si="1"/>
        <v>4.0700000000000074</v>
      </c>
      <c r="AE13" s="165">
        <f t="shared" si="2"/>
        <v>-9.922725676150268E-3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42402</v>
      </c>
      <c r="X14" s="12">
        <v>114.95</v>
      </c>
      <c r="Y14" s="12">
        <v>115.39</v>
      </c>
      <c r="Z14" s="12">
        <v>113.27</v>
      </c>
      <c r="AA14" s="12">
        <v>113.88</v>
      </c>
      <c r="AB14" s="115">
        <v>2967400</v>
      </c>
      <c r="AC14" s="12">
        <v>113.88</v>
      </c>
      <c r="AD14" s="2">
        <f t="shared" si="1"/>
        <v>2.1200000000000045</v>
      </c>
      <c r="AE14" s="165">
        <f t="shared" si="2"/>
        <v>-1.7344033134869319E-2</v>
      </c>
    </row>
    <row r="15" spans="1:43" x14ac:dyDescent="0.25">
      <c r="B15" s="248">
        <v>42328</v>
      </c>
      <c r="C15" s="12">
        <v>0</v>
      </c>
      <c r="D15" s="259" t="s">
        <v>145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42401</v>
      </c>
      <c r="X15" s="12">
        <v>114.83</v>
      </c>
      <c r="Y15" s="12">
        <v>116.15</v>
      </c>
      <c r="Z15" s="12">
        <v>114.11</v>
      </c>
      <c r="AA15" s="12">
        <v>115.89</v>
      </c>
      <c r="AB15" s="115">
        <v>4332500</v>
      </c>
      <c r="AC15" s="12">
        <v>115.89</v>
      </c>
      <c r="AD15" s="2">
        <f t="shared" si="1"/>
        <v>2.0400000000000063</v>
      </c>
      <c r="AE15" s="165">
        <f t="shared" si="2"/>
        <v>6.3390065995136968E-3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42398</v>
      </c>
      <c r="X16" s="12">
        <v>111.93</v>
      </c>
      <c r="Y16" s="12">
        <v>115.16</v>
      </c>
      <c r="Z16" s="12">
        <v>110.62</v>
      </c>
      <c r="AA16" s="12">
        <v>115.16</v>
      </c>
      <c r="AB16" s="115">
        <v>5235500</v>
      </c>
      <c r="AC16" s="12">
        <v>115.16</v>
      </c>
      <c r="AD16" s="2">
        <f t="shared" si="1"/>
        <v>4.539999999999992</v>
      </c>
      <c r="AE16" s="165">
        <f t="shared" si="2"/>
        <v>3.3937870353743849E-2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42397</v>
      </c>
      <c r="X17" s="12">
        <v>112.29</v>
      </c>
      <c r="Y17" s="12">
        <v>113.25</v>
      </c>
      <c r="Z17" s="12">
        <v>110.61</v>
      </c>
      <c r="AA17" s="12">
        <v>111.38</v>
      </c>
      <c r="AB17" s="115">
        <v>3524300</v>
      </c>
      <c r="AC17" s="12">
        <v>111.38</v>
      </c>
      <c r="AD17" s="2">
        <f t="shared" si="1"/>
        <v>2.6400000000000006</v>
      </c>
      <c r="AE17" s="165">
        <f t="shared" si="2"/>
        <v>-8.4572242499777461E-3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42396</v>
      </c>
      <c r="X18" s="12">
        <v>114.43</v>
      </c>
      <c r="Y18" s="12">
        <v>114.81</v>
      </c>
      <c r="Z18" s="12">
        <v>111.84</v>
      </c>
      <c r="AA18" s="12">
        <v>112.33</v>
      </c>
      <c r="AB18" s="115">
        <v>4446100</v>
      </c>
      <c r="AC18" s="12">
        <v>112.33</v>
      </c>
      <c r="AD18" s="2">
        <f t="shared" si="1"/>
        <v>2.9699999999999989</v>
      </c>
      <c r="AE18" s="165">
        <f t="shared" si="2"/>
        <v>-1.4303264303264229E-2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/>
      <c r="H19" s="305"/>
      <c r="W19" s="160">
        <v>42395</v>
      </c>
      <c r="X19" s="12">
        <v>112.91</v>
      </c>
      <c r="Y19" s="12">
        <v>114.18</v>
      </c>
      <c r="Z19" s="12">
        <v>111.76</v>
      </c>
      <c r="AA19" s="12">
        <v>113.96</v>
      </c>
      <c r="AB19" s="115">
        <v>4592500</v>
      </c>
      <c r="AC19" s="12">
        <v>113.96</v>
      </c>
      <c r="AD19" s="2">
        <f t="shared" si="1"/>
        <v>2.4200000000000017</v>
      </c>
      <c r="AE19" s="165">
        <f t="shared" si="2"/>
        <v>5.1155406597283015E-3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42394</v>
      </c>
      <c r="X20" s="12">
        <v>114.52</v>
      </c>
      <c r="Y20" s="12">
        <v>115.31</v>
      </c>
      <c r="Z20" s="12">
        <v>112.85</v>
      </c>
      <c r="AA20" s="12">
        <v>113.38</v>
      </c>
      <c r="AB20" s="115">
        <v>2892600</v>
      </c>
      <c r="AC20" s="12">
        <v>113.38</v>
      </c>
      <c r="AD20" s="2">
        <f t="shared" si="1"/>
        <v>2.460000000000008</v>
      </c>
      <c r="AE20" s="165">
        <f t="shared" si="2"/>
        <v>-8.3092801539403904E-3</v>
      </c>
    </row>
    <row r="21" spans="2:31" x14ac:dyDescent="0.25">
      <c r="B21" s="248">
        <v>42416</v>
      </c>
      <c r="C21" s="12">
        <v>0</v>
      </c>
      <c r="D21" s="53">
        <v>0</v>
      </c>
      <c r="E21" s="53">
        <v>0</v>
      </c>
      <c r="F21" s="53">
        <v>176.7</v>
      </c>
      <c r="G21" s="53"/>
      <c r="H21" s="305"/>
      <c r="W21" s="160">
        <v>42391</v>
      </c>
      <c r="X21" s="12">
        <v>114.67</v>
      </c>
      <c r="Y21" s="12">
        <v>115.15</v>
      </c>
      <c r="Z21" s="12">
        <v>113.89</v>
      </c>
      <c r="AA21" s="12">
        <v>114.33</v>
      </c>
      <c r="AB21" s="115">
        <v>3616900</v>
      </c>
      <c r="AC21" s="12">
        <v>114.33</v>
      </c>
      <c r="AD21" s="2">
        <f t="shared" si="1"/>
        <v>1.2600000000000051</v>
      </c>
      <c r="AE21" s="165">
        <f t="shared" si="2"/>
        <v>7.312775330396537E-3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42390</v>
      </c>
      <c r="X22" s="12">
        <v>114.67</v>
      </c>
      <c r="Y22" s="12">
        <v>115.48</v>
      </c>
      <c r="Z22" s="12">
        <v>112.26</v>
      </c>
      <c r="AA22" s="12">
        <v>113.5</v>
      </c>
      <c r="AB22" s="115">
        <v>5395300</v>
      </c>
      <c r="AC22" s="12">
        <v>113.5</v>
      </c>
      <c r="AD22" s="2">
        <f t="shared" si="1"/>
        <v>3.2199999999999989</v>
      </c>
      <c r="AE22" s="165">
        <f t="shared" si="2"/>
        <v>-1.1237912710166498E-2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42389</v>
      </c>
      <c r="X23" s="12">
        <v>112.58</v>
      </c>
      <c r="Y23" s="12">
        <v>115.74</v>
      </c>
      <c r="Z23" s="12">
        <v>110.15</v>
      </c>
      <c r="AA23" s="12">
        <v>114.79</v>
      </c>
      <c r="AB23" s="115">
        <v>8335200</v>
      </c>
      <c r="AC23" s="12">
        <v>114.79</v>
      </c>
      <c r="AD23" s="2">
        <f t="shared" si="1"/>
        <v>5.5899999999999892</v>
      </c>
      <c r="AE23" s="165">
        <f t="shared" si="2"/>
        <v>1.9630484988452768E-2</v>
      </c>
    </row>
    <row r="24" spans="2:31" x14ac:dyDescent="0.25">
      <c r="G24" s="3"/>
      <c r="H24" s="306"/>
      <c r="W24" s="160">
        <v>42388</v>
      </c>
      <c r="X24" s="12">
        <v>111.49</v>
      </c>
      <c r="Y24" s="12">
        <v>114.16</v>
      </c>
      <c r="Z24" s="12">
        <v>109.6</v>
      </c>
      <c r="AA24" s="12">
        <v>112.58</v>
      </c>
      <c r="AB24" s="115">
        <v>7120900</v>
      </c>
      <c r="AC24" s="12">
        <v>112.58</v>
      </c>
      <c r="AD24" s="2">
        <f t="shared" si="1"/>
        <v>4.5600000000000023</v>
      </c>
      <c r="AE24" s="165">
        <f t="shared" si="2"/>
        <v>3.0291937402763924E-2</v>
      </c>
    </row>
    <row r="25" spans="2:31" x14ac:dyDescent="0.25">
      <c r="W25" s="160">
        <v>42384</v>
      </c>
      <c r="X25" s="12">
        <v>109.08</v>
      </c>
      <c r="Y25" s="12">
        <v>110.65</v>
      </c>
      <c r="Z25" s="12">
        <v>107.79</v>
      </c>
      <c r="AA25" s="12">
        <v>109.27</v>
      </c>
      <c r="AB25" s="115">
        <v>5940500</v>
      </c>
      <c r="AC25" s="12">
        <v>109.27</v>
      </c>
      <c r="AD25" s="2">
        <f t="shared" si="1"/>
        <v>2.8599999999999994</v>
      </c>
      <c r="AE25" s="165">
        <f t="shared" si="2"/>
        <v>-1.345250993138325E-2</v>
      </c>
    </row>
    <row r="26" spans="2:31" x14ac:dyDescent="0.25">
      <c r="W26" s="160">
        <v>42383</v>
      </c>
      <c r="X26" s="12">
        <v>108.74</v>
      </c>
      <c r="Y26" s="12">
        <v>111.8</v>
      </c>
      <c r="Z26" s="12">
        <v>107.51</v>
      </c>
      <c r="AA26" s="12">
        <v>110.76</v>
      </c>
      <c r="AB26" s="115">
        <v>4208800</v>
      </c>
      <c r="AC26" s="12">
        <v>110.76</v>
      </c>
      <c r="AD26" s="2">
        <f t="shared" si="1"/>
        <v>4.289999999999992</v>
      </c>
      <c r="AE26" s="165">
        <f t="shared" si="2"/>
        <v>1.4007140895358372E-2</v>
      </c>
    </row>
    <row r="27" spans="2:31" x14ac:dyDescent="0.25">
      <c r="W27" s="160">
        <v>42382</v>
      </c>
      <c r="X27" s="12">
        <v>112.41</v>
      </c>
      <c r="Y27" s="12">
        <v>113.04</v>
      </c>
      <c r="Z27" s="12">
        <v>108.93</v>
      </c>
      <c r="AA27" s="12">
        <v>109.23</v>
      </c>
      <c r="AB27" s="115">
        <v>3376900</v>
      </c>
      <c r="AC27" s="12">
        <v>109.23</v>
      </c>
      <c r="AD27" s="2">
        <f t="shared" si="1"/>
        <v>4.1099999999999994</v>
      </c>
      <c r="AE27" s="165">
        <f t="shared" si="2"/>
        <v>-2.6990913949759499E-2</v>
      </c>
    </row>
    <row r="28" spans="2:31" x14ac:dyDescent="0.25">
      <c r="W28" s="160">
        <v>42381</v>
      </c>
      <c r="X28" s="12">
        <v>110.36</v>
      </c>
      <c r="Y28" s="12">
        <v>113.13</v>
      </c>
      <c r="Z28" s="12">
        <v>110.05</v>
      </c>
      <c r="AA28" s="12">
        <v>112.26</v>
      </c>
      <c r="AB28" s="115">
        <v>3998600</v>
      </c>
      <c r="AC28" s="12">
        <v>112.26</v>
      </c>
      <c r="AD28" s="2">
        <f t="shared" si="1"/>
        <v>3.0799999999999983</v>
      </c>
      <c r="AE28" s="165">
        <f t="shared" si="2"/>
        <v>2.4457017703960693E-2</v>
      </c>
    </row>
    <row r="29" spans="2:31" x14ac:dyDescent="0.25">
      <c r="W29" s="160">
        <v>42380</v>
      </c>
      <c r="X29" s="12">
        <v>110.51</v>
      </c>
      <c r="Y29" s="12">
        <v>110.62</v>
      </c>
      <c r="Z29" s="12">
        <v>108.19</v>
      </c>
      <c r="AA29" s="12">
        <v>109.58</v>
      </c>
      <c r="AB29" s="115">
        <v>4499300</v>
      </c>
      <c r="AC29" s="12">
        <v>109.58</v>
      </c>
      <c r="AD29" s="2">
        <f t="shared" si="1"/>
        <v>2.4300000000000068</v>
      </c>
      <c r="AE29" s="165">
        <f t="shared" si="2"/>
        <v>-5.2650689905591186E-3</v>
      </c>
    </row>
    <row r="30" spans="2:31" x14ac:dyDescent="0.25">
      <c r="W30" s="160">
        <v>42377</v>
      </c>
      <c r="X30" s="12">
        <v>112.35</v>
      </c>
      <c r="Y30" s="12">
        <v>113</v>
      </c>
      <c r="Z30" s="12">
        <v>109.76</v>
      </c>
      <c r="AA30" s="12">
        <v>110.16</v>
      </c>
      <c r="AB30" s="115">
        <v>4373700</v>
      </c>
      <c r="AC30" s="12">
        <v>110.16</v>
      </c>
      <c r="AD30" s="2">
        <f t="shared" si="1"/>
        <v>3.2399999999999949</v>
      </c>
      <c r="AE30" s="165">
        <f t="shared" si="2"/>
        <v>-1.7218306717816101E-2</v>
      </c>
    </row>
    <row r="31" spans="2:31" x14ac:dyDescent="0.25">
      <c r="W31" s="160">
        <v>42376</v>
      </c>
      <c r="X31" s="12">
        <v>113.63</v>
      </c>
      <c r="Y31" s="12">
        <v>114.09</v>
      </c>
      <c r="Z31" s="12">
        <v>111.42</v>
      </c>
      <c r="AA31" s="12">
        <v>112.09</v>
      </c>
      <c r="AB31" s="115">
        <v>5258900</v>
      </c>
      <c r="AC31" s="12">
        <v>112.09</v>
      </c>
      <c r="AD31" s="2">
        <f t="shared" si="1"/>
        <v>2.6700000000000017</v>
      </c>
      <c r="AE31" s="165">
        <f t="shared" si="2"/>
        <v>-2.9439778335786593E-2</v>
      </c>
    </row>
    <row r="32" spans="2:31" x14ac:dyDescent="0.25">
      <c r="W32" s="160">
        <v>42375</v>
      </c>
      <c r="X32" s="12">
        <v>115.78</v>
      </c>
      <c r="Y32" s="12">
        <v>116.65</v>
      </c>
      <c r="Z32" s="12">
        <v>114.5</v>
      </c>
      <c r="AA32" s="12">
        <v>115.49</v>
      </c>
      <c r="AB32" s="115">
        <v>2650700</v>
      </c>
      <c r="AC32" s="12">
        <v>115.49</v>
      </c>
      <c r="AD32" s="2">
        <f t="shared" si="1"/>
        <v>2.1500000000000057</v>
      </c>
      <c r="AE32" s="165">
        <f t="shared" si="2"/>
        <v>-1.0198834418923663E-2</v>
      </c>
    </row>
    <row r="33" spans="15:31" x14ac:dyDescent="0.25">
      <c r="W33" s="160">
        <v>42374</v>
      </c>
      <c r="X33" s="12">
        <v>116.72</v>
      </c>
      <c r="Y33" s="12">
        <v>117.89</v>
      </c>
      <c r="Z33" s="12">
        <v>116.21</v>
      </c>
      <c r="AA33" s="12">
        <v>116.68</v>
      </c>
      <c r="AB33" s="115">
        <v>2797900</v>
      </c>
      <c r="AC33" s="12">
        <v>116.68</v>
      </c>
      <c r="AD33" s="2">
        <f t="shared" si="1"/>
        <v>1.6800000000000068</v>
      </c>
      <c r="AE33" s="165">
        <f t="shared" si="2"/>
        <v>1.8890606216728223E-3</v>
      </c>
    </row>
    <row r="34" spans="15:31" x14ac:dyDescent="0.25">
      <c r="W34" s="160">
        <v>42373</v>
      </c>
      <c r="X34" s="12">
        <v>116.91</v>
      </c>
      <c r="Y34" s="12">
        <v>116.91</v>
      </c>
      <c r="Z34" s="12">
        <v>114.53</v>
      </c>
      <c r="AA34" s="12">
        <v>116.46</v>
      </c>
      <c r="AB34" s="115">
        <v>4962100</v>
      </c>
      <c r="AC34" s="12">
        <v>116.46</v>
      </c>
      <c r="AD34" s="2">
        <f t="shared" si="1"/>
        <v>2.3799999999999955</v>
      </c>
      <c r="AE34" s="165">
        <f t="shared" si="2"/>
        <v>-1.0030601836110264E-2</v>
      </c>
    </row>
    <row r="35" spans="15:31" x14ac:dyDescent="0.25">
      <c r="W35" s="160">
        <v>42369</v>
      </c>
      <c r="X35" s="12">
        <v>118.64</v>
      </c>
      <c r="Y35" s="12">
        <v>119.37</v>
      </c>
      <c r="Z35" s="12">
        <v>117.36</v>
      </c>
      <c r="AA35" s="12">
        <v>117.64</v>
      </c>
      <c r="AB35" s="115">
        <v>2360000</v>
      </c>
      <c r="AC35" s="12">
        <v>117.64</v>
      </c>
      <c r="AD35" s="2">
        <f t="shared" si="1"/>
        <v>2.0100000000000051</v>
      </c>
      <c r="AE35" s="165">
        <f t="shared" si="2"/>
        <v>-1.0763538513286264E-2</v>
      </c>
    </row>
    <row r="36" spans="15:31" x14ac:dyDescent="0.25">
      <c r="W36" s="160">
        <v>42368</v>
      </c>
      <c r="X36" s="12">
        <v>120.03</v>
      </c>
      <c r="Y36" s="12">
        <v>120.11</v>
      </c>
      <c r="Z36" s="12">
        <v>118.66</v>
      </c>
      <c r="AA36" s="12">
        <v>118.92</v>
      </c>
      <c r="AB36" s="115">
        <v>1738500</v>
      </c>
      <c r="AC36" s="12">
        <v>118.92</v>
      </c>
      <c r="AD36" s="2">
        <f t="shared" si="1"/>
        <v>1.4500000000000028</v>
      </c>
      <c r="AE36" s="165">
        <f t="shared" si="2"/>
        <v>-7.5112669003504218E-3</v>
      </c>
    </row>
    <row r="37" spans="15:31" x14ac:dyDescent="0.25">
      <c r="W37" s="160">
        <v>42367</v>
      </c>
      <c r="X37" s="12">
        <v>118.87</v>
      </c>
      <c r="Y37" s="12">
        <v>120.41</v>
      </c>
      <c r="Z37" s="12">
        <v>118.7</v>
      </c>
      <c r="AA37" s="12">
        <v>119.82</v>
      </c>
      <c r="AB37" s="115">
        <v>2010000</v>
      </c>
      <c r="AC37" s="12">
        <v>119.82</v>
      </c>
      <c r="AD37" s="2">
        <f t="shared" si="1"/>
        <v>1.7099999999999937</v>
      </c>
      <c r="AE37" s="165">
        <f t="shared" si="2"/>
        <v>1.2591903997295706E-2</v>
      </c>
    </row>
    <row r="38" spans="15:31" x14ac:dyDescent="0.25">
      <c r="W38" s="160">
        <v>42366</v>
      </c>
      <c r="X38" s="12">
        <v>118.26</v>
      </c>
      <c r="Y38" s="12">
        <v>118.61</v>
      </c>
      <c r="Z38" s="12">
        <v>117.38</v>
      </c>
      <c r="AA38" s="12">
        <v>118.33</v>
      </c>
      <c r="AB38" s="115">
        <v>1572800</v>
      </c>
      <c r="AC38" s="12">
        <v>118.33</v>
      </c>
      <c r="AD38" s="2">
        <f t="shared" si="1"/>
        <v>1.230000000000004</v>
      </c>
      <c r="AE38" s="165">
        <f t="shared" si="2"/>
        <v>-8.4502281561649184E-5</v>
      </c>
    </row>
    <row r="39" spans="15:31" x14ac:dyDescent="0.25">
      <c r="W39" s="160">
        <v>42362</v>
      </c>
      <c r="X39" s="12">
        <v>118.53</v>
      </c>
      <c r="Y39" s="12">
        <v>119.18</v>
      </c>
      <c r="Z39" s="12">
        <v>118.29</v>
      </c>
      <c r="AA39" s="12">
        <v>118.34</v>
      </c>
      <c r="AB39" s="115">
        <v>900100</v>
      </c>
      <c r="AC39" s="12">
        <v>118.34</v>
      </c>
      <c r="AD39" s="2">
        <f t="shared" si="1"/>
        <v>0.89000000000000057</v>
      </c>
      <c r="AE39" s="165">
        <f t="shared" si="2"/>
        <v>-2.9488583705450377E-3</v>
      </c>
    </row>
    <row r="40" spans="15:31" x14ac:dyDescent="0.25">
      <c r="O40" s="47"/>
      <c r="W40" s="160">
        <v>42361</v>
      </c>
      <c r="X40" s="12">
        <v>117.9</v>
      </c>
      <c r="Y40" s="12">
        <v>118.83</v>
      </c>
      <c r="Z40" s="12">
        <v>117.55</v>
      </c>
      <c r="AA40" s="12">
        <v>118.69</v>
      </c>
      <c r="AB40" s="115">
        <v>2418200</v>
      </c>
      <c r="AC40" s="12">
        <v>118.69</v>
      </c>
      <c r="AD40" s="2">
        <f t="shared" si="1"/>
        <v>1.2800000000000011</v>
      </c>
      <c r="AE40" s="165">
        <f t="shared" si="2"/>
        <v>1.0643732970027298E-2</v>
      </c>
    </row>
    <row r="41" spans="15:31" ht="20.25" thickBot="1" x14ac:dyDescent="0.35">
      <c r="O41" s="389" t="s">
        <v>78</v>
      </c>
      <c r="P41" s="389"/>
      <c r="Q41" s="47"/>
      <c r="T41" s="111" t="s">
        <v>121</v>
      </c>
      <c r="W41" s="160">
        <v>42360</v>
      </c>
      <c r="X41" s="12">
        <v>118.19</v>
      </c>
      <c r="Y41" s="12">
        <v>118.34</v>
      </c>
      <c r="Z41" s="12">
        <v>116.21</v>
      </c>
      <c r="AA41" s="12">
        <v>117.44</v>
      </c>
      <c r="AB41" s="115">
        <v>2802500</v>
      </c>
      <c r="AC41" s="12">
        <v>117.44</v>
      </c>
      <c r="AD41" s="2">
        <f t="shared" si="1"/>
        <v>2.1300000000000097</v>
      </c>
      <c r="AE41" s="165">
        <f t="shared" si="2"/>
        <v>2.5551486244790311E-4</v>
      </c>
    </row>
    <row r="42" spans="15:31" ht="15.75" thickTop="1" x14ac:dyDescent="0.25">
      <c r="O42" s="103">
        <v>1.1000000000000001</v>
      </c>
      <c r="P42" s="103">
        <f>O42*$Q$4</f>
        <v>129.44800000000001</v>
      </c>
      <c r="Q42" s="47"/>
      <c r="T42" s="155" t="s">
        <v>106</v>
      </c>
      <c r="U42" s="118">
        <v>117.45</v>
      </c>
      <c r="W42" s="160">
        <v>42359</v>
      </c>
      <c r="X42" s="12">
        <v>116.57</v>
      </c>
      <c r="Y42" s="12">
        <v>117.77</v>
      </c>
      <c r="Z42" s="12">
        <v>116</v>
      </c>
      <c r="AA42" s="12">
        <v>117.41</v>
      </c>
      <c r="AB42" s="115">
        <v>2949700</v>
      </c>
      <c r="AC42" s="12">
        <v>117.41</v>
      </c>
      <c r="AD42" s="2">
        <f t="shared" si="1"/>
        <v>1.769999999999996</v>
      </c>
      <c r="AE42" s="165">
        <f t="shared" si="2"/>
        <v>1.3728198929373159E-2</v>
      </c>
    </row>
    <row r="43" spans="15:31" x14ac:dyDescent="0.25">
      <c r="O43" s="103">
        <v>1.0900000000000001</v>
      </c>
      <c r="P43" s="103">
        <f t="shared" ref="P43:P62" si="5">O43*$Q$4</f>
        <v>128.27120000000002</v>
      </c>
      <c r="Q43" s="47"/>
      <c r="T43" s="113" t="s">
        <v>107</v>
      </c>
      <c r="U43" s="108">
        <v>117.5</v>
      </c>
      <c r="W43" s="160">
        <v>42356</v>
      </c>
      <c r="X43" s="12">
        <v>118.61</v>
      </c>
      <c r="Y43" s="12">
        <v>118.86</v>
      </c>
      <c r="Z43" s="12">
        <v>115.82</v>
      </c>
      <c r="AA43" s="12">
        <v>115.82</v>
      </c>
      <c r="AB43" s="115">
        <v>7014600</v>
      </c>
      <c r="AC43" s="12">
        <v>115.82</v>
      </c>
      <c r="AD43" s="2">
        <f t="shared" si="1"/>
        <v>3.0400000000000063</v>
      </c>
      <c r="AE43" s="165">
        <f t="shared" si="2"/>
        <v>-2.8518704915282744E-2</v>
      </c>
    </row>
    <row r="44" spans="15:31" x14ac:dyDescent="0.25">
      <c r="O44" s="103">
        <v>1.08</v>
      </c>
      <c r="P44" s="103">
        <f t="shared" si="5"/>
        <v>127.09440000000002</v>
      </c>
      <c r="Q44" s="47"/>
      <c r="T44" s="113" t="s">
        <v>108</v>
      </c>
      <c r="U44" s="108" t="s">
        <v>436</v>
      </c>
      <c r="W44" s="160">
        <v>42355</v>
      </c>
      <c r="X44" s="12">
        <v>118.83</v>
      </c>
      <c r="Y44" s="12">
        <v>121.09</v>
      </c>
      <c r="Z44" s="12">
        <v>118.64</v>
      </c>
      <c r="AA44" s="12">
        <v>119.22</v>
      </c>
      <c r="AB44" s="115">
        <v>3923900</v>
      </c>
      <c r="AC44" s="12">
        <v>119.22</v>
      </c>
      <c r="AD44" s="2">
        <f t="shared" si="1"/>
        <v>2.4500000000000028</v>
      </c>
      <c r="AE44" s="165">
        <f t="shared" si="2"/>
        <v>3.2819994950770148E-3</v>
      </c>
    </row>
    <row r="45" spans="15:31" x14ac:dyDescent="0.25">
      <c r="O45" s="103">
        <v>1.07</v>
      </c>
      <c r="P45" s="103">
        <f t="shared" si="5"/>
        <v>125.91760000000002</v>
      </c>
      <c r="Q45" s="103"/>
      <c r="T45" s="113" t="s">
        <v>109</v>
      </c>
      <c r="U45" s="108" t="s">
        <v>437</v>
      </c>
      <c r="W45" s="160">
        <v>42354</v>
      </c>
      <c r="X45" s="12">
        <v>118.3</v>
      </c>
      <c r="Y45" s="12">
        <v>119.76</v>
      </c>
      <c r="Z45" s="12">
        <v>116.9</v>
      </c>
      <c r="AA45" s="12">
        <v>118.83</v>
      </c>
      <c r="AB45" s="115">
        <v>3489200</v>
      </c>
      <c r="AC45" s="12">
        <v>118.83</v>
      </c>
      <c r="AD45" s="2">
        <f t="shared" si="1"/>
        <v>2.8599999999999994</v>
      </c>
      <c r="AE45" s="165">
        <f t="shared" si="2"/>
        <v>1.037326757928736E-2</v>
      </c>
    </row>
    <row r="46" spans="15:31" x14ac:dyDescent="0.25">
      <c r="O46" s="103">
        <v>1.06</v>
      </c>
      <c r="P46" s="103">
        <f t="shared" si="5"/>
        <v>124.74080000000001</v>
      </c>
      <c r="Q46" s="103"/>
      <c r="T46" s="113" t="s">
        <v>110</v>
      </c>
      <c r="U46" s="108">
        <v>142.13</v>
      </c>
      <c r="W46" s="160">
        <v>42353</v>
      </c>
      <c r="X46" s="12">
        <v>116.87</v>
      </c>
      <c r="Y46" s="12">
        <v>118.5</v>
      </c>
      <c r="Z46" s="12">
        <v>116.66</v>
      </c>
      <c r="AA46" s="12">
        <v>117.61</v>
      </c>
      <c r="AB46" s="115">
        <v>3098100</v>
      </c>
      <c r="AC46" s="12">
        <v>117.61</v>
      </c>
      <c r="AD46" s="2">
        <f t="shared" si="1"/>
        <v>1.8400000000000034</v>
      </c>
      <c r="AE46" s="165">
        <f t="shared" si="2"/>
        <v>1.5192058696590571E-2</v>
      </c>
    </row>
    <row r="47" spans="15:31" x14ac:dyDescent="0.25">
      <c r="O47" s="103">
        <v>1.05</v>
      </c>
      <c r="P47" s="103">
        <f t="shared" si="5"/>
        <v>123.56400000000001</v>
      </c>
      <c r="Q47" s="103"/>
      <c r="T47" s="113" t="s">
        <v>111</v>
      </c>
      <c r="U47" s="108">
        <v>0.62161100000000002</v>
      </c>
      <c r="W47" s="160">
        <v>42352</v>
      </c>
      <c r="X47" s="12">
        <v>115.88</v>
      </c>
      <c r="Y47" s="12">
        <v>116.74</v>
      </c>
      <c r="Z47" s="12">
        <v>114.43</v>
      </c>
      <c r="AA47" s="12">
        <v>115.85</v>
      </c>
      <c r="AB47" s="115">
        <v>3840800</v>
      </c>
      <c r="AC47" s="12">
        <v>115.85</v>
      </c>
      <c r="AD47" s="2">
        <f t="shared" si="1"/>
        <v>2.3099999999999881</v>
      </c>
      <c r="AE47" s="165">
        <f t="shared" si="2"/>
        <v>-1.1208829108467766E-3</v>
      </c>
    </row>
    <row r="48" spans="15:31" x14ac:dyDescent="0.25">
      <c r="O48" s="103">
        <v>1.04</v>
      </c>
      <c r="P48" s="103">
        <f t="shared" si="5"/>
        <v>122.38720000000001</v>
      </c>
      <c r="Q48" s="103"/>
      <c r="T48" s="113" t="s">
        <v>112</v>
      </c>
      <c r="U48" s="108" t="s">
        <v>145</v>
      </c>
      <c r="W48" s="160">
        <v>42349</v>
      </c>
      <c r="X48" s="12">
        <v>116.21</v>
      </c>
      <c r="Y48" s="12">
        <v>117.34</v>
      </c>
      <c r="Z48" s="12">
        <v>114.62</v>
      </c>
      <c r="AA48" s="12">
        <v>115.98</v>
      </c>
      <c r="AB48" s="115">
        <v>3804000</v>
      </c>
      <c r="AC48" s="12">
        <v>115.98</v>
      </c>
      <c r="AD48" s="2">
        <f t="shared" si="1"/>
        <v>2.7199999999999989</v>
      </c>
      <c r="AE48" s="165">
        <f t="shared" si="2"/>
        <v>-1.979175630324348E-3</v>
      </c>
    </row>
    <row r="49" spans="15:31" x14ac:dyDescent="0.25">
      <c r="O49" s="103">
        <v>1.03</v>
      </c>
      <c r="P49" s="103">
        <f t="shared" si="5"/>
        <v>121.21040000000001</v>
      </c>
      <c r="Q49" s="103"/>
      <c r="T49" s="113"/>
      <c r="U49" s="108"/>
      <c r="W49" s="160">
        <v>42348</v>
      </c>
      <c r="X49" s="12">
        <v>115.05</v>
      </c>
      <c r="Y49" s="12">
        <v>117.05</v>
      </c>
      <c r="Z49" s="12">
        <v>114.34</v>
      </c>
      <c r="AA49" s="12">
        <v>116.21</v>
      </c>
      <c r="AB49" s="115">
        <v>3177100</v>
      </c>
      <c r="AC49" s="12">
        <v>116.21</v>
      </c>
      <c r="AD49" s="2">
        <f t="shared" si="1"/>
        <v>2.7099999999999937</v>
      </c>
      <c r="AE49" s="165">
        <f t="shared" si="2"/>
        <v>1.0082572794437139E-2</v>
      </c>
    </row>
    <row r="50" spans="15:31" x14ac:dyDescent="0.25">
      <c r="O50" s="103">
        <v>1.02</v>
      </c>
      <c r="P50" s="103">
        <f t="shared" si="5"/>
        <v>120.03360000000001</v>
      </c>
      <c r="Q50" s="103"/>
      <c r="T50" s="113" t="s">
        <v>113</v>
      </c>
      <c r="U50" s="108" t="s">
        <v>438</v>
      </c>
      <c r="W50" s="160">
        <v>42347</v>
      </c>
      <c r="X50" s="12">
        <v>115.4</v>
      </c>
      <c r="Y50" s="12">
        <v>116.82</v>
      </c>
      <c r="Z50" s="12">
        <v>114.66</v>
      </c>
      <c r="AA50" s="12">
        <v>115.05</v>
      </c>
      <c r="AB50" s="115">
        <v>3839100</v>
      </c>
      <c r="AC50" s="12">
        <v>115.05</v>
      </c>
      <c r="AD50" s="2">
        <f t="shared" si="1"/>
        <v>2.1599999999999966</v>
      </c>
      <c r="AE50" s="165">
        <f t="shared" si="2"/>
        <v>-7.1625819813599945E-3</v>
      </c>
    </row>
    <row r="51" spans="15:31" x14ac:dyDescent="0.25">
      <c r="O51" s="103">
        <v>1.01</v>
      </c>
      <c r="P51" s="103">
        <f t="shared" si="5"/>
        <v>118.85680000000001</v>
      </c>
      <c r="Q51" s="103"/>
      <c r="T51" s="113" t="s">
        <v>114</v>
      </c>
      <c r="U51" s="108" t="s">
        <v>201</v>
      </c>
      <c r="W51" s="160">
        <v>42346</v>
      </c>
      <c r="X51" s="12">
        <v>114.95</v>
      </c>
      <c r="Y51" s="12">
        <v>116.35</v>
      </c>
      <c r="Z51" s="12">
        <v>113.95</v>
      </c>
      <c r="AA51" s="12">
        <v>115.88</v>
      </c>
      <c r="AB51" s="115">
        <v>3551900</v>
      </c>
      <c r="AC51" s="12">
        <v>115.88</v>
      </c>
      <c r="AD51" s="2">
        <f t="shared" si="1"/>
        <v>2.3999999999999915</v>
      </c>
      <c r="AE51" s="165">
        <f t="shared" si="2"/>
        <v>-2.5882149943923238E-4</v>
      </c>
    </row>
    <row r="52" spans="15:31" x14ac:dyDescent="0.25">
      <c r="O52" s="103">
        <v>1</v>
      </c>
      <c r="P52" s="103">
        <f t="shared" si="5"/>
        <v>117.68</v>
      </c>
      <c r="Q52" s="103"/>
      <c r="T52" s="113" t="s">
        <v>115</v>
      </c>
      <c r="U52" s="110">
        <v>4481430</v>
      </c>
      <c r="W52" s="160">
        <v>42345</v>
      </c>
      <c r="X52" s="12">
        <v>117.89</v>
      </c>
      <c r="Y52" s="12">
        <v>117.89</v>
      </c>
      <c r="Z52" s="12">
        <v>115.2</v>
      </c>
      <c r="AA52" s="12">
        <v>115.91</v>
      </c>
      <c r="AB52" s="115">
        <v>3164300</v>
      </c>
      <c r="AC52" s="12">
        <v>115.91</v>
      </c>
      <c r="AD52" s="2">
        <f t="shared" si="1"/>
        <v>2.6899999999999977</v>
      </c>
      <c r="AE52" s="165">
        <f t="shared" si="2"/>
        <v>-1.5542721250212277E-2</v>
      </c>
    </row>
    <row r="53" spans="15:31" x14ac:dyDescent="0.25">
      <c r="O53" s="103">
        <v>0.99</v>
      </c>
      <c r="P53" s="103">
        <f t="shared" si="5"/>
        <v>116.50320000000001</v>
      </c>
      <c r="Q53" s="103"/>
      <c r="T53" s="113" t="s">
        <v>118</v>
      </c>
      <c r="U53" s="110">
        <v>3935240</v>
      </c>
      <c r="W53" s="160">
        <v>42342</v>
      </c>
      <c r="X53" s="12">
        <v>115.59</v>
      </c>
      <c r="Y53" s="12">
        <v>118.25</v>
      </c>
      <c r="Z53" s="12">
        <v>115.24</v>
      </c>
      <c r="AA53" s="12">
        <v>117.74</v>
      </c>
      <c r="AB53" s="115">
        <v>3588200</v>
      </c>
      <c r="AC53" s="12">
        <v>117.74</v>
      </c>
      <c r="AD53" s="2">
        <f t="shared" si="1"/>
        <v>3.0100000000000051</v>
      </c>
      <c r="AE53" s="165">
        <f t="shared" si="2"/>
        <v>2.3826086956521664E-2</v>
      </c>
    </row>
    <row r="54" spans="15:31" x14ac:dyDescent="0.25">
      <c r="O54" s="103">
        <v>0.98</v>
      </c>
      <c r="P54" s="103">
        <f t="shared" si="5"/>
        <v>115.32640000000001</v>
      </c>
      <c r="Q54" s="103"/>
      <c r="T54" s="113" t="s">
        <v>116</v>
      </c>
      <c r="U54" s="108" t="s">
        <v>439</v>
      </c>
      <c r="W54" s="160">
        <v>42341</v>
      </c>
      <c r="X54" s="12">
        <v>117.8</v>
      </c>
      <c r="Y54" s="12">
        <v>118.28</v>
      </c>
      <c r="Z54" s="12">
        <v>114.43</v>
      </c>
      <c r="AA54" s="12">
        <v>115</v>
      </c>
      <c r="AB54" s="115">
        <v>4286600</v>
      </c>
      <c r="AC54" s="12">
        <v>115</v>
      </c>
      <c r="AD54" s="2">
        <f t="shared" si="1"/>
        <v>3.8499999999999943</v>
      </c>
      <c r="AE54" s="165">
        <f t="shared" si="2"/>
        <v>-2.2441346480788882E-2</v>
      </c>
    </row>
    <row r="55" spans="15:31" x14ac:dyDescent="0.25">
      <c r="O55" s="103">
        <v>0.97</v>
      </c>
      <c r="P55" s="103">
        <f t="shared" si="5"/>
        <v>114.14960000000001</v>
      </c>
      <c r="Q55" s="103"/>
      <c r="T55" s="113" t="s">
        <v>119</v>
      </c>
      <c r="U55" s="108">
        <v>19.579999999999998</v>
      </c>
      <c r="W55" s="160">
        <v>42340</v>
      </c>
      <c r="X55" s="12">
        <v>116.24</v>
      </c>
      <c r="Y55" s="12">
        <v>119.38</v>
      </c>
      <c r="Z55" s="12">
        <v>116.11</v>
      </c>
      <c r="AA55" s="12">
        <v>117.64</v>
      </c>
      <c r="AB55" s="115">
        <v>6071100</v>
      </c>
      <c r="AC55" s="12">
        <v>117.64</v>
      </c>
      <c r="AD55" s="2">
        <f t="shared" si="1"/>
        <v>3.269999999999996</v>
      </c>
      <c r="AE55" s="165" t="e">
        <f t="shared" si="2"/>
        <v>#DIV/0!</v>
      </c>
    </row>
    <row r="56" spans="15:31" x14ac:dyDescent="0.25">
      <c r="O56" s="103">
        <v>0.96</v>
      </c>
      <c r="P56" s="103">
        <f t="shared" si="5"/>
        <v>112.97280000000001</v>
      </c>
      <c r="Q56" s="103"/>
      <c r="T56" s="113" t="s">
        <v>120</v>
      </c>
      <c r="U56" s="108">
        <v>6.01</v>
      </c>
      <c r="W56" s="160">
        <v>42340</v>
      </c>
      <c r="X56" s="12" t="s">
        <v>170</v>
      </c>
      <c r="Y56" s="12"/>
      <c r="Z56" s="12"/>
      <c r="AA56" s="12"/>
      <c r="AB56" s="115"/>
      <c r="AC56" s="12"/>
      <c r="AD56" s="2">
        <f t="shared" si="1"/>
        <v>0</v>
      </c>
      <c r="AE56" s="165">
        <f t="shared" si="2"/>
        <v>-1</v>
      </c>
    </row>
    <row r="57" spans="15:31" x14ac:dyDescent="0.25">
      <c r="O57" s="103">
        <v>0.95</v>
      </c>
      <c r="P57" s="103">
        <f t="shared" si="5"/>
        <v>111.79600000000001</v>
      </c>
      <c r="Q57" s="103"/>
      <c r="T57" s="113" t="s">
        <v>117</v>
      </c>
      <c r="U57" s="108" t="s">
        <v>440</v>
      </c>
      <c r="W57" s="160">
        <v>42339</v>
      </c>
      <c r="X57" s="12">
        <v>113.53</v>
      </c>
      <c r="Y57" s="12">
        <v>116.37</v>
      </c>
      <c r="Z57" s="12">
        <v>113.05</v>
      </c>
      <c r="AA57" s="12">
        <v>116.26</v>
      </c>
      <c r="AB57" s="115">
        <v>5467000</v>
      </c>
      <c r="AC57" s="12">
        <v>115.76</v>
      </c>
      <c r="AD57" s="2">
        <f t="shared" si="1"/>
        <v>3.3200000000000074</v>
      </c>
      <c r="AE57" s="165">
        <f t="shared" si="2"/>
        <v>3.1453265615254411E-2</v>
      </c>
    </row>
    <row r="58" spans="15:31" x14ac:dyDescent="0.25">
      <c r="O58" s="103">
        <v>0.94</v>
      </c>
      <c r="P58" s="103">
        <f t="shared" si="5"/>
        <v>110.61920000000001</v>
      </c>
      <c r="Q58" s="103"/>
      <c r="W58" s="160">
        <v>42338</v>
      </c>
      <c r="X58" s="12">
        <v>114.56</v>
      </c>
      <c r="Y58" s="12">
        <v>114.82</v>
      </c>
      <c r="Z58" s="12">
        <v>112.62</v>
      </c>
      <c r="AA58" s="12">
        <v>112.71</v>
      </c>
      <c r="AB58" s="115">
        <v>4605200</v>
      </c>
      <c r="AC58" s="12">
        <v>112.23</v>
      </c>
      <c r="AD58" s="2">
        <f t="shared" si="1"/>
        <v>2.1999999999999886</v>
      </c>
      <c r="AE58" s="165">
        <f t="shared" si="2"/>
        <v>-1.4229249011857625E-2</v>
      </c>
    </row>
    <row r="59" spans="15:31" x14ac:dyDescent="0.25">
      <c r="O59" s="103">
        <v>0.93</v>
      </c>
      <c r="P59" s="103">
        <f t="shared" si="5"/>
        <v>109.44240000000001</v>
      </c>
      <c r="Q59" s="103"/>
      <c r="W59" s="160">
        <v>42335</v>
      </c>
      <c r="X59" s="12">
        <v>114.49</v>
      </c>
      <c r="Y59" s="12">
        <v>115.9</v>
      </c>
      <c r="Z59" s="12">
        <v>114.08</v>
      </c>
      <c r="AA59" s="12">
        <v>114.34</v>
      </c>
      <c r="AB59" s="115">
        <v>1740400</v>
      </c>
      <c r="AC59" s="12">
        <v>113.85</v>
      </c>
      <c r="AD59" s="2">
        <f t="shared" si="1"/>
        <v>1.8200000000000074</v>
      </c>
      <c r="AE59" s="165">
        <f t="shared" si="2"/>
        <v>-6.1446629213490755E-4</v>
      </c>
    </row>
    <row r="60" spans="15:31" x14ac:dyDescent="0.25">
      <c r="O60" s="103">
        <v>0.92</v>
      </c>
      <c r="P60" s="103">
        <f t="shared" si="5"/>
        <v>108.26560000000001</v>
      </c>
      <c r="Q60" s="103"/>
      <c r="W60" s="160">
        <v>42333</v>
      </c>
      <c r="X60" s="12">
        <v>113.47</v>
      </c>
      <c r="Y60" s="12">
        <v>115.05</v>
      </c>
      <c r="Z60" s="12">
        <v>113</v>
      </c>
      <c r="AA60" s="12">
        <v>114.41</v>
      </c>
      <c r="AB60" s="115">
        <v>2959200</v>
      </c>
      <c r="AC60" s="12">
        <v>113.92</v>
      </c>
      <c r="AD60" s="2">
        <f t="shared" si="1"/>
        <v>2.0499999999999972</v>
      </c>
      <c r="AE60" s="165">
        <f t="shared" si="2"/>
        <v>1.0825199645075445E-2</v>
      </c>
    </row>
    <row r="61" spans="15:31" x14ac:dyDescent="0.25">
      <c r="O61" s="103">
        <v>0.91</v>
      </c>
      <c r="P61" s="103">
        <f t="shared" si="5"/>
        <v>107.08880000000001</v>
      </c>
      <c r="Q61" s="103"/>
      <c r="W61" s="160">
        <v>42332</v>
      </c>
      <c r="X61" s="12">
        <v>111.38</v>
      </c>
      <c r="Y61" s="12">
        <v>113.45</v>
      </c>
      <c r="Z61" s="12">
        <v>111.06</v>
      </c>
      <c r="AA61" s="12">
        <v>113.19</v>
      </c>
      <c r="AB61" s="115">
        <v>3244800</v>
      </c>
      <c r="AC61" s="12">
        <v>112.7</v>
      </c>
      <c r="AD61" s="2">
        <f t="shared" si="1"/>
        <v>2.3900000000000006</v>
      </c>
      <c r="AE61" s="165">
        <f t="shared" si="2"/>
        <v>9.133237822349427E-3</v>
      </c>
    </row>
    <row r="62" spans="15:31" x14ac:dyDescent="0.25">
      <c r="O62" s="103">
        <v>0.9</v>
      </c>
      <c r="P62" s="103">
        <f t="shared" si="5"/>
        <v>105.91200000000001</v>
      </c>
      <c r="Q62" s="103"/>
      <c r="W62" s="160">
        <v>42331</v>
      </c>
      <c r="X62" s="12">
        <v>112.97</v>
      </c>
      <c r="Y62" s="12">
        <v>114.49</v>
      </c>
      <c r="Z62" s="12">
        <v>112.1</v>
      </c>
      <c r="AA62" s="12">
        <v>112.16</v>
      </c>
      <c r="AB62" s="115">
        <v>3780400</v>
      </c>
      <c r="AC62" s="12">
        <v>111.68</v>
      </c>
      <c r="AD62" s="2">
        <f t="shared" si="1"/>
        <v>2.3900000000000006</v>
      </c>
      <c r="AE62" s="165">
        <f t="shared" si="2"/>
        <v>-7.1123755334281391E-3</v>
      </c>
    </row>
    <row r="63" spans="15:31" x14ac:dyDescent="0.25">
      <c r="O63" s="47"/>
      <c r="W63" s="160">
        <v>42328</v>
      </c>
      <c r="X63" s="12">
        <v>110.89</v>
      </c>
      <c r="Y63" s="12">
        <v>114.44</v>
      </c>
      <c r="Z63" s="12">
        <v>110.6</v>
      </c>
      <c r="AA63" s="12">
        <v>112.97</v>
      </c>
      <c r="AB63" s="115">
        <v>7059400</v>
      </c>
      <c r="AC63" s="12">
        <v>112.48</v>
      </c>
      <c r="AD63" s="2">
        <f t="shared" si="1"/>
        <v>3.8400000000000034</v>
      </c>
      <c r="AE63" s="165">
        <f t="shared" si="2"/>
        <v>2.1152973218338644E-2</v>
      </c>
    </row>
    <row r="64" spans="15:31" x14ac:dyDescent="0.25">
      <c r="O64" s="47"/>
      <c r="W64" s="160">
        <v>42327</v>
      </c>
      <c r="X64" s="12">
        <v>109.79</v>
      </c>
      <c r="Y64" s="12">
        <v>113.71</v>
      </c>
      <c r="Z64" s="12">
        <v>109.61</v>
      </c>
      <c r="AA64" s="12">
        <v>110.63</v>
      </c>
      <c r="AB64" s="115">
        <v>15731900</v>
      </c>
      <c r="AC64" s="12">
        <v>110.15</v>
      </c>
      <c r="AD64" s="2">
        <f t="shared" si="1"/>
        <v>4.0999999999999943</v>
      </c>
      <c r="AE64" s="165">
        <f t="shared" si="2"/>
        <v>-5.6531049250535315E-2</v>
      </c>
    </row>
    <row r="65" spans="23:31" x14ac:dyDescent="0.25">
      <c r="W65" s="160">
        <v>42326</v>
      </c>
      <c r="X65" s="12">
        <v>114.25</v>
      </c>
      <c r="Y65" s="12">
        <v>117.53</v>
      </c>
      <c r="Z65" s="12">
        <v>113.75</v>
      </c>
      <c r="AA65" s="12">
        <v>117.25</v>
      </c>
      <c r="AB65" s="115">
        <v>3319900</v>
      </c>
      <c r="AC65" s="12">
        <v>116.75</v>
      </c>
      <c r="AD65" s="2">
        <f t="shared" si="1"/>
        <v>3.7800000000000011</v>
      </c>
      <c r="AE65" s="165">
        <f t="shared" si="2"/>
        <v>2.5021949078138706E-2</v>
      </c>
    </row>
    <row r="66" spans="23:31" x14ac:dyDescent="0.25">
      <c r="W66" s="160">
        <v>42325</v>
      </c>
      <c r="X66" s="12">
        <v>113.73</v>
      </c>
      <c r="Y66" s="12">
        <v>115.44</v>
      </c>
      <c r="Z66" s="12">
        <v>113.17</v>
      </c>
      <c r="AA66" s="12">
        <v>114.39</v>
      </c>
      <c r="AB66" s="115">
        <v>1981400</v>
      </c>
      <c r="AC66" s="12">
        <v>113.9</v>
      </c>
      <c r="AD66" s="2">
        <f t="shared" si="1"/>
        <v>2.269999999999996</v>
      </c>
      <c r="AE66" s="165">
        <f t="shared" si="2"/>
        <v>5.0295596929321729E-3</v>
      </c>
    </row>
    <row r="67" spans="23:31" x14ac:dyDescent="0.25">
      <c r="W67" s="160">
        <v>42324</v>
      </c>
      <c r="X67" s="12">
        <v>110.9</v>
      </c>
      <c r="Y67" s="12">
        <v>114.14</v>
      </c>
      <c r="Z67" s="12">
        <v>110.79</v>
      </c>
      <c r="AA67" s="12">
        <v>113.82</v>
      </c>
      <c r="AB67" s="115">
        <v>2450000</v>
      </c>
      <c r="AC67" s="12">
        <v>113.33</v>
      </c>
      <c r="AD67" s="2">
        <f t="shared" ref="AD67:AD68" si="6">Y67-Z67</f>
        <v>3.3499999999999943</v>
      </c>
      <c r="AE67" s="165">
        <f t="shared" ref="AE67" si="7">AC67/AC68-1</f>
        <v>2.1635265482736754E-2</v>
      </c>
    </row>
    <row r="68" spans="23:31" x14ac:dyDescent="0.25">
      <c r="W68" s="160">
        <v>42321</v>
      </c>
      <c r="X68" s="12">
        <v>112.49</v>
      </c>
      <c r="Y68" s="12">
        <v>113.02</v>
      </c>
      <c r="Z68" s="12">
        <v>111.18</v>
      </c>
      <c r="AA68" s="12">
        <v>111.41</v>
      </c>
      <c r="AB68" s="115">
        <v>3767300</v>
      </c>
      <c r="AC68" s="12">
        <v>110.93</v>
      </c>
      <c r="AD68" s="2">
        <f t="shared" si="6"/>
        <v>1.8399999999999892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49" priority="17">
      <formula>Q7&gt;0</formula>
    </cfRule>
    <cfRule type="expression" dxfId="4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47" priority="9">
      <formula>F14&gt;0</formula>
    </cfRule>
    <cfRule type="expression" dxfId="46" priority="10">
      <formula>F14&lt;0</formula>
    </cfRule>
  </conditionalFormatting>
  <conditionalFormatting sqref="F15">
    <cfRule type="expression" dxfId="45" priority="7">
      <formula>F15&gt;0</formula>
    </cfRule>
    <cfRule type="expression" dxfId="44" priority="8">
      <formula>F15&lt;0</formula>
    </cfRule>
  </conditionalFormatting>
  <conditionalFormatting sqref="F16:F23">
    <cfRule type="expression" dxfId="43" priority="5">
      <formula>F16&gt;0</formula>
    </cfRule>
    <cfRule type="expression" dxfId="42" priority="6">
      <formula>F16&lt;0</formula>
    </cfRule>
  </conditionalFormatting>
  <conditionalFormatting sqref="H14:H24">
    <cfRule type="expression" dxfId="41" priority="3">
      <formula>H14&gt;0</formula>
    </cfRule>
    <cfRule type="expression" dxfId="40" priority="4">
      <formula>H14&lt;0</formula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62</v>
      </c>
      <c r="B2" s="9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94"/>
      <c r="H2" s="235"/>
      <c r="I2" s="3"/>
      <c r="J2" s="3"/>
      <c r="K2" s="3"/>
      <c r="L2" s="4"/>
      <c r="O2" s="13" t="s">
        <v>57</v>
      </c>
      <c r="Q2">
        <f>C18-H18</f>
        <v>5</v>
      </c>
      <c r="W2" s="160">
        <v>42419</v>
      </c>
      <c r="X2" s="12">
        <v>257.36</v>
      </c>
      <c r="Y2" s="12">
        <v>263</v>
      </c>
      <c r="Z2" s="12">
        <v>255.12</v>
      </c>
      <c r="AA2" s="12">
        <v>261.39999999999998</v>
      </c>
      <c r="AB2" s="115">
        <v>1448000</v>
      </c>
      <c r="AC2" s="12">
        <v>261.39999999999998</v>
      </c>
      <c r="AD2" s="2">
        <f>Y2-Z2</f>
        <v>7.8799999999999955</v>
      </c>
      <c r="AE2" s="165">
        <f>AC2/AC3-1</f>
        <v>9.0716077977224252E-3</v>
      </c>
      <c r="AO2" t="s">
        <v>209</v>
      </c>
    </row>
    <row r="3" spans="1:42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60">
        <v>42418</v>
      </c>
      <c r="X3" s="12">
        <v>266.60000000000002</v>
      </c>
      <c r="Y3" s="12">
        <v>266.95999999999998</v>
      </c>
      <c r="Z3" s="12">
        <v>258.51</v>
      </c>
      <c r="AA3" s="12">
        <v>259.05</v>
      </c>
      <c r="AB3" s="115">
        <v>1522400</v>
      </c>
      <c r="AC3" s="12">
        <v>259.05</v>
      </c>
      <c r="AD3" s="2">
        <f t="shared" ref="AD3:AD66" si="0">Y3-Z3</f>
        <v>8.4499999999999886</v>
      </c>
      <c r="AE3" s="165">
        <f t="shared" ref="AE3:AE66" si="1">AC3/AC4-1</f>
        <v>-2.4771298422617827E-2</v>
      </c>
      <c r="AG3" s="1">
        <v>42336</v>
      </c>
      <c r="AH3" t="s">
        <v>215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94"/>
      <c r="C4" s="4"/>
      <c r="D4" s="3"/>
      <c r="E4" s="3"/>
      <c r="F4" s="3"/>
      <c r="G4" s="94"/>
      <c r="H4" s="235"/>
      <c r="I4" s="3"/>
      <c r="J4" s="3"/>
      <c r="K4" s="3"/>
      <c r="L4" s="4"/>
      <c r="O4" s="13" t="s">
        <v>66</v>
      </c>
      <c r="Q4" s="69">
        <v>261.39999999999998</v>
      </c>
      <c r="T4" s="1">
        <v>42263</v>
      </c>
      <c r="U4" t="s">
        <v>138</v>
      </c>
      <c r="W4" s="160">
        <v>42417</v>
      </c>
      <c r="X4" s="12">
        <v>256.29000000000002</v>
      </c>
      <c r="Y4" s="12">
        <v>265.86</v>
      </c>
      <c r="Z4" s="12">
        <v>256.08</v>
      </c>
      <c r="AA4" s="12">
        <v>265.63</v>
      </c>
      <c r="AB4" s="115">
        <v>1908900</v>
      </c>
      <c r="AC4" s="12">
        <v>265.63</v>
      </c>
      <c r="AD4" s="2">
        <f t="shared" si="0"/>
        <v>9.7800000000000296</v>
      </c>
      <c r="AE4" s="165">
        <f t="shared" si="1"/>
        <v>3.5513800093559977E-2</v>
      </c>
      <c r="AH4" t="s">
        <v>216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94"/>
      <c r="C5" s="4"/>
      <c r="D5" s="3"/>
      <c r="E5" s="3"/>
      <c r="F5" s="3"/>
      <c r="G5" s="94"/>
      <c r="H5" s="235"/>
      <c r="I5" s="3"/>
      <c r="J5" s="3"/>
      <c r="K5" s="3"/>
      <c r="L5" s="4"/>
      <c r="O5" s="13" t="s">
        <v>67</v>
      </c>
      <c r="Q5" s="3">
        <f>Q4*Q2</f>
        <v>1307</v>
      </c>
      <c r="T5" s="1">
        <v>42265</v>
      </c>
      <c r="U5" t="s">
        <v>137</v>
      </c>
      <c r="W5" s="160">
        <v>42416</v>
      </c>
      <c r="X5" s="12">
        <v>249</v>
      </c>
      <c r="Y5" s="12">
        <v>257.42</v>
      </c>
      <c r="Z5" s="12">
        <v>249</v>
      </c>
      <c r="AA5" s="12">
        <v>256.52</v>
      </c>
      <c r="AB5" s="115">
        <v>2069700</v>
      </c>
      <c r="AC5" s="12">
        <v>256.52</v>
      </c>
      <c r="AD5" s="2">
        <f t="shared" si="0"/>
        <v>8.4200000000000159</v>
      </c>
      <c r="AE5" s="165">
        <f t="shared" si="1"/>
        <v>3.76183156702532E-2</v>
      </c>
      <c r="AH5" t="s">
        <v>217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92"/>
      <c r="C6" s="4"/>
      <c r="D6" s="3"/>
      <c r="E6" s="3"/>
      <c r="F6" s="3"/>
      <c r="G6" s="94"/>
      <c r="H6" s="235"/>
      <c r="I6" s="3"/>
      <c r="J6" s="3"/>
      <c r="K6" s="3"/>
      <c r="L6" s="4"/>
      <c r="O6" s="13" t="s">
        <v>64</v>
      </c>
      <c r="Q6" s="2">
        <f>Q3*Q2</f>
        <v>1257.5</v>
      </c>
      <c r="W6" s="160">
        <v>42412</v>
      </c>
      <c r="X6" s="12">
        <v>248.78</v>
      </c>
      <c r="Y6" s="12">
        <v>249.2</v>
      </c>
      <c r="Z6" s="12">
        <v>242.07</v>
      </c>
      <c r="AA6" s="12">
        <v>247.22</v>
      </c>
      <c r="AB6" s="115">
        <v>2110700</v>
      </c>
      <c r="AC6" s="12">
        <v>247.22</v>
      </c>
      <c r="AD6" s="2">
        <f t="shared" si="0"/>
        <v>7.1299999999999955</v>
      </c>
      <c r="AE6" s="165">
        <f t="shared" si="1"/>
        <v>8.6083799110603376E-3</v>
      </c>
      <c r="AH6" t="s">
        <v>217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92"/>
      <c r="C7" s="4"/>
      <c r="D7" s="3"/>
      <c r="E7" s="3"/>
      <c r="F7" s="3"/>
      <c r="G7" s="94"/>
      <c r="H7" s="235"/>
      <c r="I7" s="3"/>
      <c r="J7" s="3"/>
      <c r="K7" s="3"/>
      <c r="L7" s="4"/>
      <c r="O7" s="13" t="s">
        <v>325</v>
      </c>
      <c r="Q7" s="2">
        <f>IF(Q2=0, K18-F18,Q5-Q6) + M33</f>
        <v>1423.1500000000087</v>
      </c>
      <c r="R7" s="295"/>
      <c r="W7" s="160">
        <v>42411</v>
      </c>
      <c r="X7" s="12">
        <v>246.31</v>
      </c>
      <c r="Y7" s="12">
        <v>250.02</v>
      </c>
      <c r="Z7" s="12">
        <v>243.03</v>
      </c>
      <c r="AA7" s="12">
        <v>245.11</v>
      </c>
      <c r="AB7" s="115">
        <v>2162100</v>
      </c>
      <c r="AC7" s="12">
        <v>245.11</v>
      </c>
      <c r="AD7" s="2">
        <f t="shared" si="0"/>
        <v>6.9900000000000091</v>
      </c>
      <c r="AE7" s="165">
        <f t="shared" si="1"/>
        <v>-2.8112609040443992E-2</v>
      </c>
      <c r="AH7" t="s">
        <v>218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94"/>
      <c r="C8" s="4"/>
      <c r="D8" s="3"/>
      <c r="E8" s="3"/>
      <c r="F8" s="3"/>
      <c r="G8" s="94"/>
      <c r="H8" s="235"/>
      <c r="I8" s="3"/>
      <c r="J8" s="3"/>
      <c r="K8" s="3"/>
      <c r="L8" s="4"/>
      <c r="O8" s="13"/>
      <c r="Q8" s="165"/>
      <c r="W8" s="160">
        <v>42410</v>
      </c>
      <c r="X8" s="12">
        <v>253.35</v>
      </c>
      <c r="Y8" s="12">
        <v>257.37</v>
      </c>
      <c r="Z8" s="12">
        <v>249.28</v>
      </c>
      <c r="AA8" s="12">
        <v>252.2</v>
      </c>
      <c r="AB8" s="115">
        <v>1745100</v>
      </c>
      <c r="AC8" s="12">
        <v>252.2</v>
      </c>
      <c r="AD8" s="2">
        <f t="shared" si="0"/>
        <v>8.0900000000000034</v>
      </c>
      <c r="AE8" s="165">
        <f t="shared" si="1"/>
        <v>8.8403536141445915E-3</v>
      </c>
      <c r="AH8" t="s">
        <v>219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94"/>
      <c r="C9" s="4"/>
      <c r="D9" s="3"/>
      <c r="E9" s="3"/>
      <c r="F9" s="3"/>
      <c r="G9" s="94"/>
      <c r="H9" s="235"/>
      <c r="I9" s="3"/>
      <c r="J9" s="3"/>
      <c r="K9" s="3"/>
      <c r="L9" s="4"/>
      <c r="T9" s="193">
        <v>42298</v>
      </c>
      <c r="U9" t="s">
        <v>157</v>
      </c>
      <c r="W9" s="160">
        <v>42409</v>
      </c>
      <c r="X9" s="12">
        <v>246.54</v>
      </c>
      <c r="Y9" s="12">
        <v>255</v>
      </c>
      <c r="Z9" s="12">
        <v>243.85</v>
      </c>
      <c r="AA9" s="12">
        <v>249.99</v>
      </c>
      <c r="AB9" s="115">
        <v>2362600</v>
      </c>
      <c r="AC9" s="12">
        <v>249.99</v>
      </c>
      <c r="AD9" s="2">
        <f t="shared" si="0"/>
        <v>11.150000000000006</v>
      </c>
      <c r="AE9" s="165">
        <f t="shared" si="1"/>
        <v>-3.1104199066873672E-3</v>
      </c>
      <c r="AH9" t="s">
        <v>212</v>
      </c>
    </row>
    <row r="10" spans="1:42" x14ac:dyDescent="0.25">
      <c r="B10" s="94"/>
      <c r="C10" s="4"/>
      <c r="D10" s="3"/>
      <c r="E10" s="3"/>
      <c r="F10" s="3"/>
      <c r="G10" s="94"/>
      <c r="H10" s="4"/>
      <c r="I10" s="4"/>
      <c r="J10" s="4"/>
      <c r="K10" s="3"/>
      <c r="L10" s="4"/>
      <c r="W10" s="160">
        <v>42408</v>
      </c>
      <c r="X10" s="12">
        <v>260.45</v>
      </c>
      <c r="Y10" s="12">
        <v>260.45</v>
      </c>
      <c r="Z10" s="12">
        <v>248.16</v>
      </c>
      <c r="AA10" s="12">
        <v>250.77</v>
      </c>
      <c r="AB10" s="115">
        <v>2741600</v>
      </c>
      <c r="AC10" s="12">
        <v>250.77</v>
      </c>
      <c r="AD10" s="2">
        <f t="shared" si="0"/>
        <v>12.289999999999992</v>
      </c>
      <c r="AE10" s="165">
        <f t="shared" si="1"/>
        <v>-4.9609641476540567E-2</v>
      </c>
    </row>
    <row r="11" spans="1:42" x14ac:dyDescent="0.25">
      <c r="B11" s="94"/>
      <c r="C11" s="4"/>
      <c r="D11" s="3"/>
      <c r="E11" s="3"/>
      <c r="F11" s="3"/>
      <c r="G11" s="94"/>
      <c r="H11" s="4"/>
      <c r="I11" s="4"/>
      <c r="J11" s="4"/>
      <c r="K11" s="3"/>
      <c r="L11" s="4"/>
      <c r="W11" s="160">
        <v>42405</v>
      </c>
      <c r="X11" s="12">
        <v>271.10000000000002</v>
      </c>
      <c r="Y11" s="12">
        <v>272.67</v>
      </c>
      <c r="Z11" s="12">
        <v>258.45999999999998</v>
      </c>
      <c r="AA11" s="12">
        <v>263.86</v>
      </c>
      <c r="AB11" s="115">
        <v>2836800</v>
      </c>
      <c r="AC11" s="12">
        <v>263.86</v>
      </c>
      <c r="AD11" s="2">
        <f t="shared" si="0"/>
        <v>14.210000000000036</v>
      </c>
      <c r="AE11" s="165">
        <f t="shared" si="1"/>
        <v>-3.4434808065283318E-2</v>
      </c>
    </row>
    <row r="12" spans="1:42" x14ac:dyDescent="0.25">
      <c r="B12" s="94"/>
      <c r="C12" s="4"/>
      <c r="D12" s="3"/>
      <c r="E12" s="3"/>
      <c r="F12" s="3"/>
      <c r="G12" s="94"/>
      <c r="H12" s="4"/>
      <c r="I12" s="4"/>
      <c r="J12" s="4"/>
      <c r="K12" s="3"/>
      <c r="L12" s="4"/>
      <c r="W12" s="160">
        <v>42404</v>
      </c>
      <c r="X12" s="12">
        <v>270.16000000000003</v>
      </c>
      <c r="Y12" s="12">
        <v>279.38</v>
      </c>
      <c r="Z12" s="12">
        <v>269.11</v>
      </c>
      <c r="AA12" s="12">
        <v>273.27</v>
      </c>
      <c r="AB12" s="115">
        <v>2067500</v>
      </c>
      <c r="AC12" s="12">
        <v>273.27</v>
      </c>
      <c r="AD12" s="2">
        <f t="shared" si="0"/>
        <v>10.269999999999982</v>
      </c>
      <c r="AE12" s="165">
        <f t="shared" si="1"/>
        <v>1.0501793440076845E-2</v>
      </c>
    </row>
    <row r="13" spans="1:42" x14ac:dyDescent="0.25">
      <c r="B13" s="94"/>
      <c r="C13" s="4"/>
      <c r="D13" s="3"/>
      <c r="E13" s="3"/>
      <c r="F13" s="3"/>
      <c r="G13" s="94"/>
      <c r="H13" s="4"/>
      <c r="I13" s="3"/>
      <c r="J13" s="4"/>
      <c r="K13" s="3"/>
      <c r="L13" s="4"/>
      <c r="W13" s="160">
        <v>42403</v>
      </c>
      <c r="X13" s="12">
        <v>267.58</v>
      </c>
      <c r="Y13" s="12">
        <v>270.74</v>
      </c>
      <c r="Z13" s="12">
        <v>261</v>
      </c>
      <c r="AA13" s="12">
        <v>270.43</v>
      </c>
      <c r="AB13" s="115">
        <v>2085800</v>
      </c>
      <c r="AC13" s="12">
        <v>270.43</v>
      </c>
      <c r="AD13" s="2">
        <f t="shared" si="0"/>
        <v>9.7400000000000091</v>
      </c>
      <c r="AE13" s="165">
        <f t="shared" si="1"/>
        <v>1.6424866571450147E-2</v>
      </c>
    </row>
    <row r="14" spans="1:42" x14ac:dyDescent="0.25">
      <c r="B14" s="94"/>
      <c r="C14" s="4"/>
      <c r="D14" s="3"/>
      <c r="E14" s="3"/>
      <c r="F14" s="3"/>
      <c r="G14" s="94"/>
      <c r="H14" s="4"/>
      <c r="I14" s="4"/>
      <c r="J14" s="4"/>
      <c r="K14" s="3"/>
      <c r="L14" s="4"/>
      <c r="W14" s="160">
        <v>42402</v>
      </c>
      <c r="X14" s="12">
        <v>267.74</v>
      </c>
      <c r="Y14" s="12">
        <v>271.2</v>
      </c>
      <c r="Z14" s="12">
        <v>265.16000000000003</v>
      </c>
      <c r="AA14" s="12">
        <v>266.06</v>
      </c>
      <c r="AB14" s="115">
        <v>1920200</v>
      </c>
      <c r="AC14" s="12">
        <v>266.06</v>
      </c>
      <c r="AD14" s="2">
        <f t="shared" si="0"/>
        <v>6.0399999999999636</v>
      </c>
      <c r="AE14" s="165">
        <f t="shared" si="1"/>
        <v>-2.7025050283415619E-2</v>
      </c>
    </row>
    <row r="15" spans="1:42" x14ac:dyDescent="0.25">
      <c r="B15" s="4"/>
      <c r="C15" s="4"/>
      <c r="D15" s="3"/>
      <c r="E15" s="3"/>
      <c r="F15" s="3"/>
      <c r="G15" s="94"/>
      <c r="H15" s="4"/>
      <c r="I15" s="4"/>
      <c r="J15" s="4"/>
      <c r="K15" s="3"/>
      <c r="L15" s="4"/>
      <c r="W15" s="160">
        <v>42401</v>
      </c>
      <c r="X15" s="12">
        <v>270.33999999999997</v>
      </c>
      <c r="Y15" s="12">
        <v>275.83</v>
      </c>
      <c r="Z15" s="12">
        <v>269.58</v>
      </c>
      <c r="AA15" s="12">
        <v>273.45</v>
      </c>
      <c r="AB15" s="115">
        <v>1842500</v>
      </c>
      <c r="AC15" s="12">
        <v>273.45</v>
      </c>
      <c r="AD15" s="2">
        <f t="shared" si="0"/>
        <v>6.25</v>
      </c>
      <c r="AE15" s="165">
        <f t="shared" si="1"/>
        <v>1.4282575258184327E-3</v>
      </c>
    </row>
    <row r="16" spans="1:42" x14ac:dyDescent="0.25">
      <c r="G16" s="1"/>
      <c r="W16" s="160">
        <v>42398</v>
      </c>
      <c r="X16" s="12">
        <v>268.42</v>
      </c>
      <c r="Y16" s="12">
        <v>273.89999999999998</v>
      </c>
      <c r="Z16" s="12">
        <v>265.7</v>
      </c>
      <c r="AA16" s="12">
        <v>273.06</v>
      </c>
      <c r="AB16" s="115">
        <v>3067900</v>
      </c>
      <c r="AC16" s="12">
        <v>273.06</v>
      </c>
      <c r="AD16" s="2">
        <f t="shared" si="0"/>
        <v>8.1999999999999886</v>
      </c>
      <c r="AE16" s="165">
        <f t="shared" si="1"/>
        <v>2.6695743720860365E-2</v>
      </c>
    </row>
    <row r="17" spans="1:31" x14ac:dyDescent="0.25">
      <c r="G17" s="1"/>
      <c r="W17" s="160">
        <v>42397</v>
      </c>
      <c r="X17" s="12">
        <v>275.77</v>
      </c>
      <c r="Y17" s="12">
        <v>276.97000000000003</v>
      </c>
      <c r="Z17" s="12">
        <v>261.7</v>
      </c>
      <c r="AA17" s="12">
        <v>265.95999999999998</v>
      </c>
      <c r="AB17" s="115">
        <v>3054900</v>
      </c>
      <c r="AC17" s="12">
        <v>265.95999999999998</v>
      </c>
      <c r="AD17" s="2">
        <f t="shared" si="0"/>
        <v>15.270000000000039</v>
      </c>
      <c r="AE17" s="165">
        <f t="shared" si="1"/>
        <v>-2.6714484373856484E-2</v>
      </c>
    </row>
    <row r="18" spans="1:31" x14ac:dyDescent="0.25">
      <c r="A18" s="4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92"/>
      <c r="I18" s="21"/>
      <c r="J18" s="21"/>
      <c r="K18" s="21"/>
      <c r="L18" s="16"/>
      <c r="M18" s="16"/>
      <c r="W18" s="160">
        <v>42396</v>
      </c>
      <c r="X18" s="12">
        <v>275.05</v>
      </c>
      <c r="Y18" s="12">
        <v>285.27999999999997</v>
      </c>
      <c r="Z18" s="12">
        <v>270.33999999999997</v>
      </c>
      <c r="AA18" s="12">
        <v>273.26</v>
      </c>
      <c r="AB18" s="115">
        <v>5140100</v>
      </c>
      <c r="AC18" s="12">
        <v>273.26</v>
      </c>
      <c r="AD18" s="2">
        <f t="shared" si="0"/>
        <v>14.939999999999998</v>
      </c>
      <c r="AE18" s="165">
        <f t="shared" si="1"/>
        <v>5.1525762881440729E-2</v>
      </c>
    </row>
    <row r="19" spans="1:31" x14ac:dyDescent="0.25">
      <c r="W19" s="160">
        <v>42395</v>
      </c>
      <c r="X19" s="12">
        <v>262.76</v>
      </c>
      <c r="Y19" s="12">
        <v>264.48</v>
      </c>
      <c r="Z19" s="12">
        <v>257.77999999999997</v>
      </c>
      <c r="AA19" s="12">
        <v>259.87</v>
      </c>
      <c r="AB19" s="115">
        <v>2105800</v>
      </c>
      <c r="AC19" s="12">
        <v>259.87</v>
      </c>
      <c r="AD19" s="2">
        <f t="shared" si="0"/>
        <v>6.7000000000000455</v>
      </c>
      <c r="AE19" s="165">
        <f t="shared" si="1"/>
        <v>-8.5082029759634414E-3</v>
      </c>
    </row>
    <row r="20" spans="1:31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50" t="s">
        <v>65</v>
      </c>
      <c r="G20" s="294" t="s">
        <v>195</v>
      </c>
      <c r="H20" s="250" t="s">
        <v>92</v>
      </c>
      <c r="W20" s="160">
        <v>42394</v>
      </c>
      <c r="X20" s="12">
        <v>269.45999999999998</v>
      </c>
      <c r="Y20" s="12">
        <v>271.20999999999998</v>
      </c>
      <c r="Z20" s="12">
        <v>261.3</v>
      </c>
      <c r="AA20" s="12">
        <v>262.10000000000002</v>
      </c>
      <c r="AB20" s="115">
        <v>1775100</v>
      </c>
      <c r="AC20" s="12">
        <v>262.10000000000002</v>
      </c>
      <c r="AD20" s="2">
        <f t="shared" si="0"/>
        <v>9.9099999999999682</v>
      </c>
      <c r="AE20" s="165">
        <f t="shared" si="1"/>
        <v>-2.5360702067529384E-2</v>
      </c>
    </row>
    <row r="21" spans="1:31" x14ac:dyDescent="0.25">
      <c r="B21" s="248">
        <v>42408</v>
      </c>
      <c r="C21" s="12">
        <v>5</v>
      </c>
      <c r="D21" s="53">
        <v>251.5</v>
      </c>
      <c r="E21" s="53">
        <v>256.52</v>
      </c>
      <c r="F21" s="53">
        <f>C21*(E21-D21)</f>
        <v>25.099999999999909</v>
      </c>
      <c r="G21" s="53">
        <f>D21*C21</f>
        <v>1257.5</v>
      </c>
      <c r="H21" s="304">
        <f>(E21-D21)/D21</f>
        <v>1.9960238568588397E-2</v>
      </c>
      <c r="W21" s="160">
        <v>42391</v>
      </c>
      <c r="X21" s="12">
        <v>266.36</v>
      </c>
      <c r="Y21" s="12">
        <v>269.48</v>
      </c>
      <c r="Z21" s="12">
        <v>264.62</v>
      </c>
      <c r="AA21" s="12">
        <v>268.92</v>
      </c>
      <c r="AB21" s="115">
        <v>2110000</v>
      </c>
      <c r="AC21" s="12">
        <v>268.92</v>
      </c>
      <c r="AD21" s="2">
        <f t="shared" si="0"/>
        <v>4.8600000000000136</v>
      </c>
      <c r="AE21" s="165">
        <f t="shared" si="1"/>
        <v>2.6098901098901228E-2</v>
      </c>
    </row>
    <row r="22" spans="1:31" x14ac:dyDescent="0.25">
      <c r="B22" s="248"/>
      <c r="C22" s="12"/>
      <c r="D22" s="53"/>
      <c r="E22" s="53"/>
      <c r="F22" s="53"/>
      <c r="G22" s="53"/>
      <c r="H22" s="305"/>
      <c r="W22" s="160">
        <v>42390</v>
      </c>
      <c r="X22" s="12">
        <v>269.67</v>
      </c>
      <c r="Y22" s="12">
        <v>271.05</v>
      </c>
      <c r="Z22" s="12">
        <v>261.02</v>
      </c>
      <c r="AA22" s="12">
        <v>262.08</v>
      </c>
      <c r="AB22" s="115">
        <v>2529400</v>
      </c>
      <c r="AC22" s="12">
        <v>262.08</v>
      </c>
      <c r="AD22" s="2">
        <f t="shared" si="0"/>
        <v>10.03000000000003</v>
      </c>
      <c r="AE22" s="165">
        <f t="shared" si="1"/>
        <v>-2.6990904028216245E-2</v>
      </c>
    </row>
    <row r="23" spans="1:31" x14ac:dyDescent="0.25">
      <c r="B23" s="248"/>
      <c r="C23" s="12"/>
      <c r="D23" s="53"/>
      <c r="E23" s="53"/>
      <c r="F23" s="53"/>
      <c r="G23" s="53"/>
      <c r="H23" s="305"/>
      <c r="W23" s="160">
        <v>42389</v>
      </c>
      <c r="X23" s="12">
        <v>263.25</v>
      </c>
      <c r="Y23" s="12">
        <v>272.77999999999997</v>
      </c>
      <c r="Z23" s="12">
        <v>257.66000000000003</v>
      </c>
      <c r="AA23" s="12">
        <v>269.35000000000002</v>
      </c>
      <c r="AB23" s="115">
        <v>2367400</v>
      </c>
      <c r="AC23" s="12">
        <v>269.35000000000002</v>
      </c>
      <c r="AD23" s="2">
        <f t="shared" si="0"/>
        <v>15.119999999999948</v>
      </c>
      <c r="AE23" s="165">
        <f t="shared" si="1"/>
        <v>-1.8528812303131303E-3</v>
      </c>
    </row>
    <row r="24" spans="1:31" x14ac:dyDescent="0.25">
      <c r="B24" s="248"/>
      <c r="C24" s="12"/>
      <c r="D24" s="53"/>
      <c r="E24" s="53"/>
      <c r="F24" s="53"/>
      <c r="G24" s="53"/>
      <c r="H24" s="305"/>
      <c r="W24" s="160">
        <v>42388</v>
      </c>
      <c r="X24" s="12">
        <v>276.98</v>
      </c>
      <c r="Y24" s="12">
        <v>276.99</v>
      </c>
      <c r="Z24" s="12">
        <v>264.72000000000003</v>
      </c>
      <c r="AA24" s="12">
        <v>269.85000000000002</v>
      </c>
      <c r="AB24" s="115">
        <v>2187900</v>
      </c>
      <c r="AC24" s="12">
        <v>269.85000000000002</v>
      </c>
      <c r="AD24" s="2">
        <f t="shared" si="0"/>
        <v>12.269999999999982</v>
      </c>
      <c r="AE24" s="165">
        <f t="shared" si="1"/>
        <v>-1.2731862583689857E-2</v>
      </c>
    </row>
    <row r="25" spans="1:31" x14ac:dyDescent="0.25">
      <c r="B25" s="248"/>
      <c r="C25" s="12"/>
      <c r="D25" s="53"/>
      <c r="E25" s="53"/>
      <c r="F25" s="53"/>
      <c r="G25" s="53"/>
      <c r="H25" s="305"/>
      <c r="W25" s="160">
        <v>42384</v>
      </c>
      <c r="X25" s="12">
        <v>271.01</v>
      </c>
      <c r="Y25" s="12">
        <v>279.89</v>
      </c>
      <c r="Z25" s="12">
        <v>269.25</v>
      </c>
      <c r="AA25" s="12">
        <v>273.33</v>
      </c>
      <c r="AB25" s="115">
        <v>2568900</v>
      </c>
      <c r="AC25" s="12">
        <v>273.33</v>
      </c>
      <c r="AD25" s="2">
        <f t="shared" si="0"/>
        <v>10.639999999999986</v>
      </c>
      <c r="AE25" s="165">
        <f t="shared" si="1"/>
        <v>-2.5804612039776242E-2</v>
      </c>
    </row>
    <row r="26" spans="1:31" x14ac:dyDescent="0.25">
      <c r="B26" s="248"/>
      <c r="C26" s="12"/>
      <c r="D26" s="53"/>
      <c r="E26" s="53"/>
      <c r="F26" s="53"/>
      <c r="G26" s="53"/>
      <c r="H26" s="305"/>
      <c r="W26" s="160">
        <v>42383</v>
      </c>
      <c r="X26" s="12">
        <v>268.57</v>
      </c>
      <c r="Y26" s="12">
        <v>283.3</v>
      </c>
      <c r="Z26" s="12">
        <v>265.37</v>
      </c>
      <c r="AA26" s="12">
        <v>280.57</v>
      </c>
      <c r="AB26" s="115">
        <v>2391600</v>
      </c>
      <c r="AC26" s="12">
        <v>280.57</v>
      </c>
      <c r="AD26" s="2">
        <f t="shared" si="0"/>
        <v>17.930000000000007</v>
      </c>
      <c r="AE26" s="165">
        <f t="shared" si="1"/>
        <v>4.9840972871842748E-2</v>
      </c>
    </row>
    <row r="27" spans="1:31" x14ac:dyDescent="0.25">
      <c r="B27" s="248"/>
      <c r="C27" s="12"/>
      <c r="D27" s="53"/>
      <c r="E27" s="53"/>
      <c r="F27" s="53"/>
      <c r="G27" s="53"/>
      <c r="H27" s="305"/>
      <c r="W27" s="160">
        <v>42382</v>
      </c>
      <c r="X27" s="12">
        <v>279.42</v>
      </c>
      <c r="Y27" s="12">
        <v>281.99</v>
      </c>
      <c r="Z27" s="12">
        <v>267</v>
      </c>
      <c r="AA27" s="12">
        <v>267.25</v>
      </c>
      <c r="AB27" s="115">
        <v>2061700</v>
      </c>
      <c r="AC27" s="12">
        <v>267.25</v>
      </c>
      <c r="AD27" s="2">
        <f t="shared" si="0"/>
        <v>14.990000000000009</v>
      </c>
      <c r="AE27" s="165">
        <f t="shared" si="1"/>
        <v>-4.0980371048193298E-2</v>
      </c>
    </row>
    <row r="28" spans="1:31" x14ac:dyDescent="0.25">
      <c r="B28" s="12"/>
      <c r="C28" s="12"/>
      <c r="D28" s="53"/>
      <c r="E28" s="53"/>
      <c r="F28" s="53"/>
      <c r="G28" s="53"/>
      <c r="H28" s="305"/>
      <c r="W28" s="160">
        <v>42381</v>
      </c>
      <c r="X28" s="12">
        <v>281.18</v>
      </c>
      <c r="Y28" s="12">
        <v>285.56</v>
      </c>
      <c r="Z28" s="12">
        <v>271</v>
      </c>
      <c r="AA28" s="12">
        <v>278.67</v>
      </c>
      <c r="AB28" s="115">
        <v>1824200</v>
      </c>
      <c r="AC28" s="12">
        <v>278.67</v>
      </c>
      <c r="AD28" s="2">
        <f t="shared" si="0"/>
        <v>14.560000000000002</v>
      </c>
      <c r="AE28" s="165">
        <f t="shared" si="1"/>
        <v>4.667193221798982E-4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42380</v>
      </c>
      <c r="X29" s="12">
        <v>280.58999999999997</v>
      </c>
      <c r="Y29" s="12">
        <v>283.95</v>
      </c>
      <c r="Z29" s="12">
        <v>271.66000000000003</v>
      </c>
      <c r="AA29" s="12">
        <v>278.54000000000002</v>
      </c>
      <c r="AB29" s="115">
        <v>2104500</v>
      </c>
      <c r="AC29" s="12">
        <v>278.54000000000002</v>
      </c>
      <c r="AD29" s="2">
        <f t="shared" si="0"/>
        <v>12.289999999999964</v>
      </c>
      <c r="AE29" s="165">
        <f t="shared" si="1"/>
        <v>-7.3060337146725329E-3</v>
      </c>
    </row>
    <row r="30" spans="1:31" x14ac:dyDescent="0.25">
      <c r="W30" s="160">
        <v>42377</v>
      </c>
      <c r="X30" s="12">
        <v>284.64999999999998</v>
      </c>
      <c r="Y30" s="12">
        <v>288.11</v>
      </c>
      <c r="Z30" s="12">
        <v>280</v>
      </c>
      <c r="AA30" s="12">
        <v>280.58999999999997</v>
      </c>
      <c r="AB30" s="115">
        <v>1803900</v>
      </c>
      <c r="AC30" s="12">
        <v>280.58999999999997</v>
      </c>
      <c r="AD30" s="2">
        <f t="shared" si="0"/>
        <v>8.1100000000000136</v>
      </c>
      <c r="AE30" s="165">
        <f t="shared" si="1"/>
        <v>-1.2041829513045332E-2</v>
      </c>
    </row>
    <row r="31" spans="1:31" x14ac:dyDescent="0.25">
      <c r="W31" s="160">
        <v>42376</v>
      </c>
      <c r="X31" s="12">
        <v>286.52</v>
      </c>
      <c r="Y31" s="12">
        <v>289.99</v>
      </c>
      <c r="Z31" s="12">
        <v>283.02999999999997</v>
      </c>
      <c r="AA31" s="12">
        <v>284.01</v>
      </c>
      <c r="AB31" s="115">
        <v>1806700</v>
      </c>
      <c r="AC31" s="12">
        <v>284.01</v>
      </c>
      <c r="AD31" s="2">
        <f t="shared" si="0"/>
        <v>6.9600000000000364</v>
      </c>
      <c r="AE31" s="165">
        <f t="shared" si="1"/>
        <v>-3.2926995369109258E-2</v>
      </c>
    </row>
    <row r="32" spans="1:31" x14ac:dyDescent="0.25">
      <c r="W32" s="160">
        <v>42375</v>
      </c>
      <c r="X32" s="12">
        <v>292.60000000000002</v>
      </c>
      <c r="Y32" s="12">
        <v>296.58</v>
      </c>
      <c r="Z32" s="12">
        <v>291.01</v>
      </c>
      <c r="AA32" s="12">
        <v>293.68</v>
      </c>
      <c r="AB32" s="115">
        <v>1535800</v>
      </c>
      <c r="AC32" s="12">
        <v>293.68</v>
      </c>
      <c r="AD32" s="2">
        <f t="shared" si="0"/>
        <v>5.5699999999999932</v>
      </c>
      <c r="AE32" s="165">
        <f t="shared" si="1"/>
        <v>-1.0178631614425337E-2</v>
      </c>
    </row>
    <row r="33" spans="1:31" x14ac:dyDescent="0.25">
      <c r="A33" s="349"/>
      <c r="B33" s="349"/>
      <c r="C33" s="349"/>
      <c r="D33" s="350"/>
      <c r="E33" s="350"/>
      <c r="F33" s="350"/>
      <c r="G33" s="349"/>
      <c r="H33" s="349"/>
      <c r="I33" s="349"/>
      <c r="J33" s="349"/>
      <c r="K33" s="351" t="s">
        <v>148</v>
      </c>
      <c r="L33" s="349"/>
      <c r="M33" s="350">
        <f>K51+M51-F51</f>
        <v>1373.6500000000087</v>
      </c>
      <c r="W33" s="160">
        <v>42374</v>
      </c>
      <c r="X33" s="12">
        <v>295.38</v>
      </c>
      <c r="Y33" s="12">
        <v>298.64</v>
      </c>
      <c r="Z33" s="12">
        <v>293.56</v>
      </c>
      <c r="AA33" s="12">
        <v>296.7</v>
      </c>
      <c r="AB33" s="115">
        <v>1261600</v>
      </c>
      <c r="AC33" s="12">
        <v>296.7</v>
      </c>
      <c r="AD33" s="2">
        <f t="shared" si="0"/>
        <v>5.0799999999999841</v>
      </c>
      <c r="AE33" s="165">
        <f t="shared" si="1"/>
        <v>7.0599416197134612E-3</v>
      </c>
    </row>
    <row r="34" spans="1:31" x14ac:dyDescent="0.25">
      <c r="A34" s="351" t="s">
        <v>1</v>
      </c>
      <c r="B34" s="351" t="s">
        <v>2</v>
      </c>
      <c r="C34" s="351" t="s">
        <v>4</v>
      </c>
      <c r="D34" s="352" t="s">
        <v>5</v>
      </c>
      <c r="E34" s="352" t="s">
        <v>100</v>
      </c>
      <c r="F34" s="352" t="s">
        <v>60</v>
      </c>
      <c r="G34" s="351" t="s">
        <v>3</v>
      </c>
      <c r="H34" s="351" t="s">
        <v>6</v>
      </c>
      <c r="I34" s="351" t="s">
        <v>7</v>
      </c>
      <c r="J34" s="351" t="s">
        <v>101</v>
      </c>
      <c r="K34" s="352" t="s">
        <v>61</v>
      </c>
      <c r="L34" s="351" t="s">
        <v>77</v>
      </c>
      <c r="M34" s="351" t="s">
        <v>38</v>
      </c>
      <c r="W34" s="160">
        <v>42373</v>
      </c>
      <c r="X34" s="12">
        <v>300.33999999999997</v>
      </c>
      <c r="Y34" s="12">
        <v>301.02</v>
      </c>
      <c r="Z34" s="12">
        <v>291.39999999999998</v>
      </c>
      <c r="AA34" s="12">
        <v>294.62</v>
      </c>
      <c r="AB34" s="115">
        <v>2440200</v>
      </c>
      <c r="AC34" s="12">
        <v>294.62</v>
      </c>
      <c r="AD34" s="2">
        <f t="shared" si="0"/>
        <v>9.6200000000000045</v>
      </c>
      <c r="AE34" s="165">
        <f t="shared" si="1"/>
        <v>-3.8289538110004906E-2</v>
      </c>
    </row>
    <row r="35" spans="1:31" x14ac:dyDescent="0.25">
      <c r="A35" s="353" t="s">
        <v>62</v>
      </c>
      <c r="B35" s="354">
        <v>42222</v>
      </c>
      <c r="C35" s="349">
        <v>5</v>
      </c>
      <c r="D35" s="350">
        <v>320</v>
      </c>
      <c r="E35" s="350">
        <v>0</v>
      </c>
      <c r="F35" s="350">
        <f>C35*D35 + E35</f>
        <v>1600</v>
      </c>
      <c r="G35" s="354">
        <v>42257</v>
      </c>
      <c r="H35" s="355">
        <v>5</v>
      </c>
      <c r="I35" s="350">
        <v>303.60000000000002</v>
      </c>
      <c r="J35" s="350">
        <v>0.03</v>
      </c>
      <c r="K35" s="350">
        <f t="shared" ref="K35:K42" si="2">H35*I35-J35</f>
        <v>1517.97</v>
      </c>
      <c r="L35" s="349" t="s">
        <v>80</v>
      </c>
      <c r="M35" s="349"/>
      <c r="W35" s="160">
        <v>42369</v>
      </c>
      <c r="X35" s="12">
        <v>306.10000000000002</v>
      </c>
      <c r="Y35" s="12">
        <v>309.33</v>
      </c>
      <c r="Z35" s="12">
        <v>306.10000000000002</v>
      </c>
      <c r="AA35" s="12">
        <v>306.35000000000002</v>
      </c>
      <c r="AB35" s="115">
        <v>1044200</v>
      </c>
      <c r="AC35" s="12">
        <v>306.35000000000002</v>
      </c>
      <c r="AD35" s="2">
        <f t="shared" si="0"/>
        <v>3.2299999999999613</v>
      </c>
      <c r="AE35" s="165">
        <f t="shared" si="1"/>
        <v>-6.45391450995636E-3</v>
      </c>
    </row>
    <row r="36" spans="1:31" x14ac:dyDescent="0.25">
      <c r="A36" s="356"/>
      <c r="B36" s="354">
        <v>42247</v>
      </c>
      <c r="C36" s="349">
        <v>5</v>
      </c>
      <c r="D36" s="350">
        <v>298.7</v>
      </c>
      <c r="E36" s="350">
        <v>0</v>
      </c>
      <c r="F36" s="350">
        <f>C36*D36 + E36</f>
        <v>1493.5</v>
      </c>
      <c r="G36" s="354">
        <v>42290</v>
      </c>
      <c r="H36" s="355">
        <v>5</v>
      </c>
      <c r="I36" s="350">
        <v>280.2</v>
      </c>
      <c r="J36" s="350">
        <v>0.03</v>
      </c>
      <c r="K36" s="350">
        <f t="shared" si="2"/>
        <v>1400.97</v>
      </c>
      <c r="L36" s="349"/>
      <c r="M36" s="349"/>
      <c r="W36" s="160">
        <v>42368</v>
      </c>
      <c r="X36" s="12">
        <v>309.98</v>
      </c>
      <c r="Y36" s="12">
        <v>310.29000000000002</v>
      </c>
      <c r="Z36" s="12">
        <v>307</v>
      </c>
      <c r="AA36" s="12">
        <v>308.33999999999997</v>
      </c>
      <c r="AB36" s="115">
        <v>800600</v>
      </c>
      <c r="AC36" s="12">
        <v>308.33999999999997</v>
      </c>
      <c r="AD36" s="2">
        <f t="shared" si="0"/>
        <v>3.2900000000000205</v>
      </c>
      <c r="AE36" s="165">
        <f t="shared" si="1"/>
        <v>-4.2948945651823944E-3</v>
      </c>
    </row>
    <row r="37" spans="1:31" x14ac:dyDescent="0.25">
      <c r="A37" s="349"/>
      <c r="B37" s="354">
        <v>42271</v>
      </c>
      <c r="C37" s="349">
        <v>10</v>
      </c>
      <c r="D37" s="350">
        <v>297</v>
      </c>
      <c r="E37" s="350">
        <v>0</v>
      </c>
      <c r="F37" s="350">
        <f>C37*D37 + E37</f>
        <v>2970</v>
      </c>
      <c r="G37" s="354">
        <v>42303</v>
      </c>
      <c r="H37" s="355">
        <v>10</v>
      </c>
      <c r="I37" s="350">
        <v>290</v>
      </c>
      <c r="J37" s="350">
        <v>0.05</v>
      </c>
      <c r="K37" s="350">
        <f t="shared" si="2"/>
        <v>2899.95</v>
      </c>
      <c r="L37" s="349"/>
      <c r="M37" s="349"/>
      <c r="W37" s="160">
        <v>42367</v>
      </c>
      <c r="X37" s="12">
        <v>304.99</v>
      </c>
      <c r="Y37" s="12">
        <v>311.64999999999998</v>
      </c>
      <c r="Z37" s="12">
        <v>304.77</v>
      </c>
      <c r="AA37" s="12">
        <v>309.67</v>
      </c>
      <c r="AB37" s="115">
        <v>1198000</v>
      </c>
      <c r="AC37" s="12">
        <v>309.67</v>
      </c>
      <c r="AD37" s="2">
        <f t="shared" si="0"/>
        <v>6.8799999999999955</v>
      </c>
      <c r="AE37" s="165">
        <f t="shared" si="1"/>
        <v>1.9187730384413015E-2</v>
      </c>
    </row>
    <row r="38" spans="1:31" x14ac:dyDescent="0.25">
      <c r="A38" s="349"/>
      <c r="B38" s="354">
        <v>42285</v>
      </c>
      <c r="C38" s="349">
        <v>15</v>
      </c>
      <c r="D38" s="350">
        <v>283</v>
      </c>
      <c r="E38" s="350">
        <v>0</v>
      </c>
      <c r="F38" s="350">
        <f t="shared" ref="F38:F47" si="3">C38*D38 + E38</f>
        <v>4245</v>
      </c>
      <c r="G38" s="354">
        <v>42307</v>
      </c>
      <c r="H38" s="355">
        <v>10</v>
      </c>
      <c r="I38" s="350">
        <v>289.35000000000002</v>
      </c>
      <c r="J38" s="350">
        <v>7</v>
      </c>
      <c r="K38" s="350">
        <f t="shared" si="2"/>
        <v>2886.5</v>
      </c>
      <c r="L38" s="349"/>
      <c r="M38" s="349"/>
      <c r="W38" s="160">
        <v>42366</v>
      </c>
      <c r="X38" s="12">
        <v>302.02999999999997</v>
      </c>
      <c r="Y38" s="12">
        <v>304.98</v>
      </c>
      <c r="Z38" s="12">
        <v>301.5</v>
      </c>
      <c r="AA38" s="12">
        <v>303.83999999999997</v>
      </c>
      <c r="AB38" s="115">
        <v>845400</v>
      </c>
      <c r="AC38" s="12">
        <v>303.83999999999997</v>
      </c>
      <c r="AD38" s="2">
        <f t="shared" si="0"/>
        <v>3.4800000000000182</v>
      </c>
      <c r="AE38" s="165">
        <f t="shared" si="1"/>
        <v>5.1275265473549325E-3</v>
      </c>
    </row>
    <row r="39" spans="1:31" x14ac:dyDescent="0.25">
      <c r="A39" s="349"/>
      <c r="B39" s="398">
        <v>42286</v>
      </c>
      <c r="C39" s="349">
        <v>5</v>
      </c>
      <c r="D39" s="350">
        <v>278.5</v>
      </c>
      <c r="E39" s="350">
        <v>0</v>
      </c>
      <c r="F39" s="350">
        <f t="shared" si="3"/>
        <v>1392.5</v>
      </c>
      <c r="G39" s="354">
        <v>42313</v>
      </c>
      <c r="H39" s="355">
        <v>10</v>
      </c>
      <c r="I39" s="350">
        <v>300</v>
      </c>
      <c r="J39" s="350">
        <v>0.06</v>
      </c>
      <c r="K39" s="350">
        <f t="shared" si="2"/>
        <v>2999.94</v>
      </c>
      <c r="L39" s="349"/>
      <c r="M39" s="349"/>
      <c r="W39" s="160">
        <v>42362</v>
      </c>
      <c r="X39" s="12">
        <v>300.29000000000002</v>
      </c>
      <c r="Y39" s="12">
        <v>303.87</v>
      </c>
      <c r="Z39" s="12">
        <v>299.5</v>
      </c>
      <c r="AA39" s="12">
        <v>302.29000000000002</v>
      </c>
      <c r="AB39" s="115">
        <v>537100</v>
      </c>
      <c r="AC39" s="12">
        <v>302.29000000000002</v>
      </c>
      <c r="AD39" s="2">
        <f t="shared" si="0"/>
        <v>4.3700000000000045</v>
      </c>
      <c r="AE39" s="165">
        <f t="shared" si="1"/>
        <v>6.995569472667329E-3</v>
      </c>
    </row>
    <row r="40" spans="1:31" x14ac:dyDescent="0.25">
      <c r="A40" s="349"/>
      <c r="B40" s="398"/>
      <c r="C40" s="349">
        <v>5</v>
      </c>
      <c r="D40" s="350">
        <v>278.5</v>
      </c>
      <c r="E40" s="350">
        <v>0</v>
      </c>
      <c r="F40" s="350">
        <f t="shared" si="3"/>
        <v>1392.5</v>
      </c>
      <c r="G40" s="354">
        <v>42331</v>
      </c>
      <c r="H40" s="355">
        <v>40</v>
      </c>
      <c r="I40" s="350">
        <v>287.99</v>
      </c>
      <c r="J40" s="350">
        <v>0.21</v>
      </c>
      <c r="K40" s="350">
        <f t="shared" si="2"/>
        <v>11519.390000000001</v>
      </c>
      <c r="L40" s="349"/>
      <c r="M40" s="349"/>
      <c r="W40" s="160">
        <v>42361</v>
      </c>
      <c r="X40" s="12">
        <v>303.79000000000002</v>
      </c>
      <c r="Y40" s="12">
        <v>303.79000000000002</v>
      </c>
      <c r="Z40" s="12">
        <v>299.16000000000003</v>
      </c>
      <c r="AA40" s="12">
        <v>300.19</v>
      </c>
      <c r="AB40" s="115">
        <v>958900</v>
      </c>
      <c r="AC40" s="12">
        <v>300.19</v>
      </c>
      <c r="AD40" s="2">
        <f t="shared" si="0"/>
        <v>4.6299999999999955</v>
      </c>
      <c r="AE40" s="165">
        <f t="shared" si="1"/>
        <v>-1.9283838148751453E-3</v>
      </c>
    </row>
    <row r="41" spans="1:31" x14ac:dyDescent="0.25">
      <c r="A41" s="349"/>
      <c r="B41" s="354">
        <v>42286</v>
      </c>
      <c r="C41" s="349">
        <v>10</v>
      </c>
      <c r="D41" s="350">
        <v>274</v>
      </c>
      <c r="E41" s="350">
        <v>0</v>
      </c>
      <c r="F41" s="350">
        <f t="shared" si="3"/>
        <v>2740</v>
      </c>
      <c r="G41" s="354">
        <v>42347</v>
      </c>
      <c r="H41" s="355">
        <v>35</v>
      </c>
      <c r="I41" s="350">
        <v>282.99</v>
      </c>
      <c r="J41" s="350">
        <v>0.18</v>
      </c>
      <c r="K41" s="350">
        <f t="shared" si="2"/>
        <v>9904.4699999999993</v>
      </c>
      <c r="L41" s="349"/>
      <c r="M41" s="349"/>
      <c r="W41" s="160">
        <v>42360</v>
      </c>
      <c r="X41" s="12">
        <v>298</v>
      </c>
      <c r="Y41" s="12">
        <v>301.83999999999997</v>
      </c>
      <c r="Z41" s="12">
        <v>296.35000000000002</v>
      </c>
      <c r="AA41" s="12">
        <v>300.77</v>
      </c>
      <c r="AB41" s="115">
        <v>1211900</v>
      </c>
      <c r="AC41" s="12">
        <v>300.77</v>
      </c>
      <c r="AD41" s="2">
        <f t="shared" si="0"/>
        <v>5.4899999999999523</v>
      </c>
      <c r="AE41" s="165">
        <f t="shared" si="1"/>
        <v>1.0787740287673042E-2</v>
      </c>
    </row>
    <row r="42" spans="1:31" ht="20.25" thickBot="1" x14ac:dyDescent="0.35">
      <c r="A42" s="349"/>
      <c r="B42" s="354">
        <v>42286</v>
      </c>
      <c r="C42" s="349">
        <v>10</v>
      </c>
      <c r="D42" s="350">
        <v>269.8</v>
      </c>
      <c r="E42" s="350">
        <v>0</v>
      </c>
      <c r="F42" s="350">
        <f t="shared" si="3"/>
        <v>2698</v>
      </c>
      <c r="G42" s="354">
        <v>42359</v>
      </c>
      <c r="H42" s="355">
        <v>25</v>
      </c>
      <c r="I42" s="350">
        <v>295</v>
      </c>
      <c r="J42" s="350">
        <v>0.14000000000000001</v>
      </c>
      <c r="K42" s="350">
        <f t="shared" si="2"/>
        <v>7374.86</v>
      </c>
      <c r="L42" s="349"/>
      <c r="M42" s="349"/>
      <c r="O42" s="389" t="s">
        <v>78</v>
      </c>
      <c r="P42" s="389"/>
      <c r="T42" s="132" t="s">
        <v>121</v>
      </c>
      <c r="U42" s="11"/>
      <c r="W42" s="160">
        <v>42359</v>
      </c>
      <c r="X42" s="12">
        <v>294.83999999999997</v>
      </c>
      <c r="Y42" s="12">
        <v>297.86</v>
      </c>
      <c r="Z42" s="12">
        <v>293.5</v>
      </c>
      <c r="AA42" s="12">
        <v>297.56</v>
      </c>
      <c r="AB42" s="115">
        <v>1128900</v>
      </c>
      <c r="AC42" s="12">
        <v>297.56</v>
      </c>
      <c r="AD42" s="2">
        <f t="shared" si="0"/>
        <v>4.3600000000000136</v>
      </c>
      <c r="AE42" s="165">
        <f t="shared" si="1"/>
        <v>1.428230562088828E-2</v>
      </c>
    </row>
    <row r="43" spans="1:31" ht="15.75" thickTop="1" x14ac:dyDescent="0.25">
      <c r="A43" s="349"/>
      <c r="B43" s="354">
        <v>42292</v>
      </c>
      <c r="C43" s="349">
        <v>25</v>
      </c>
      <c r="D43" s="350">
        <v>268.5</v>
      </c>
      <c r="E43" s="350">
        <v>0</v>
      </c>
      <c r="F43" s="350">
        <f t="shared" si="3"/>
        <v>6712.5</v>
      </c>
      <c r="G43" s="354"/>
      <c r="H43" s="349"/>
      <c r="I43" s="349"/>
      <c r="J43" s="349"/>
      <c r="K43" s="350"/>
      <c r="L43" s="349"/>
      <c r="M43" s="349"/>
      <c r="O43" s="103">
        <v>1.1000000000000001</v>
      </c>
      <c r="P43" s="103">
        <f>O43*$Q$4</f>
        <v>287.54000000000002</v>
      </c>
      <c r="Q43" s="2"/>
      <c r="T43" s="236" t="s">
        <v>106</v>
      </c>
      <c r="U43" s="236">
        <v>259.05</v>
      </c>
      <c r="W43" s="160">
        <v>42356</v>
      </c>
      <c r="X43" s="12">
        <v>294.8</v>
      </c>
      <c r="Y43" s="12">
        <v>299.82</v>
      </c>
      <c r="Z43" s="12">
        <v>293.05</v>
      </c>
      <c r="AA43" s="12">
        <v>293.37</v>
      </c>
      <c r="AB43" s="115">
        <v>2762600</v>
      </c>
      <c r="AC43" s="12">
        <v>293.37</v>
      </c>
      <c r="AD43" s="2">
        <f t="shared" si="0"/>
        <v>6.7699999999999818</v>
      </c>
      <c r="AE43" s="165">
        <f t="shared" si="1"/>
        <v>-1.2787293468385141E-2</v>
      </c>
    </row>
    <row r="44" spans="1:31" x14ac:dyDescent="0.25">
      <c r="A44" s="349"/>
      <c r="B44" s="354">
        <v>42293</v>
      </c>
      <c r="C44" s="349">
        <v>10</v>
      </c>
      <c r="D44" s="350">
        <v>262.25</v>
      </c>
      <c r="E44" s="350">
        <v>0</v>
      </c>
      <c r="F44" s="350">
        <f t="shared" si="3"/>
        <v>2622.5</v>
      </c>
      <c r="G44" s="354"/>
      <c r="H44" s="349"/>
      <c r="I44" s="349"/>
      <c r="J44" s="349"/>
      <c r="K44" s="350"/>
      <c r="L44" s="349"/>
      <c r="M44" s="349"/>
      <c r="O44" s="103">
        <v>1.0900000000000001</v>
      </c>
      <c r="P44" s="103">
        <f t="shared" ref="P44:P63" si="4">O44*$Q$4</f>
        <v>284.92599999999999</v>
      </c>
      <c r="Q44" s="2"/>
      <c r="T44" s="236" t="s">
        <v>107</v>
      </c>
      <c r="U44" s="236">
        <v>257.36</v>
      </c>
      <c r="W44" s="160">
        <v>42355</v>
      </c>
      <c r="X44" s="12">
        <v>299.04000000000002</v>
      </c>
      <c r="Y44" s="12">
        <v>300.87</v>
      </c>
      <c r="Z44" s="12">
        <v>296.38</v>
      </c>
      <c r="AA44" s="12">
        <v>297.17</v>
      </c>
      <c r="AB44" s="115">
        <v>1704000</v>
      </c>
      <c r="AC44" s="12">
        <v>297.17</v>
      </c>
      <c r="AD44" s="2">
        <f t="shared" si="0"/>
        <v>4.4900000000000091</v>
      </c>
      <c r="AE44" s="165">
        <f t="shared" si="1"/>
        <v>-7.0834307861940005E-3</v>
      </c>
    </row>
    <row r="45" spans="1:31" x14ac:dyDescent="0.25">
      <c r="A45" s="349"/>
      <c r="B45" s="354">
        <v>42293</v>
      </c>
      <c r="C45" s="349">
        <v>10</v>
      </c>
      <c r="D45" s="350">
        <v>255.4</v>
      </c>
      <c r="E45" s="350">
        <v>0</v>
      </c>
      <c r="F45" s="350">
        <f t="shared" si="3"/>
        <v>2554</v>
      </c>
      <c r="G45" s="354"/>
      <c r="H45" s="349"/>
      <c r="I45" s="349"/>
      <c r="J45" s="349"/>
      <c r="K45" s="350"/>
      <c r="L45" s="349"/>
      <c r="M45" s="349"/>
      <c r="O45" s="103">
        <v>1.08</v>
      </c>
      <c r="P45" s="103">
        <f t="shared" si="4"/>
        <v>282.31200000000001</v>
      </c>
      <c r="Q45" s="2"/>
      <c r="T45" s="236" t="s">
        <v>108</v>
      </c>
      <c r="U45" s="236" t="s">
        <v>441</v>
      </c>
      <c r="W45" s="160">
        <v>42354</v>
      </c>
      <c r="X45" s="12">
        <v>292.23</v>
      </c>
      <c r="Y45" s="12">
        <v>299.68</v>
      </c>
      <c r="Z45" s="12">
        <v>290</v>
      </c>
      <c r="AA45" s="12">
        <v>299.29000000000002</v>
      </c>
      <c r="AB45" s="115">
        <v>2093200</v>
      </c>
      <c r="AC45" s="12">
        <v>299.29000000000002</v>
      </c>
      <c r="AD45" s="2">
        <f t="shared" si="0"/>
        <v>9.6800000000000068</v>
      </c>
      <c r="AE45" s="165">
        <f t="shared" si="1"/>
        <v>3.5211511189512601E-2</v>
      </c>
    </row>
    <row r="46" spans="1:31" x14ac:dyDescent="0.25">
      <c r="A46" s="349"/>
      <c r="B46" s="354">
        <v>42314</v>
      </c>
      <c r="C46" s="349">
        <v>10</v>
      </c>
      <c r="D46" s="350">
        <v>298.81</v>
      </c>
      <c r="E46" s="350">
        <v>0</v>
      </c>
      <c r="F46" s="350">
        <f t="shared" si="3"/>
        <v>2988.1</v>
      </c>
      <c r="G46" s="354"/>
      <c r="H46" s="349"/>
      <c r="I46" s="350"/>
      <c r="J46" s="349"/>
      <c r="K46" s="350"/>
      <c r="L46" s="349"/>
      <c r="M46" s="349"/>
      <c r="O46" s="103">
        <v>1.07</v>
      </c>
      <c r="P46" s="103">
        <f t="shared" si="4"/>
        <v>279.69799999999998</v>
      </c>
      <c r="Q46" s="2"/>
      <c r="T46" s="236" t="s">
        <v>109</v>
      </c>
      <c r="U46" s="236" t="s">
        <v>442</v>
      </c>
      <c r="W46" s="160">
        <v>42353</v>
      </c>
      <c r="X46" s="12">
        <v>285.01</v>
      </c>
      <c r="Y46" s="12">
        <v>291.69</v>
      </c>
      <c r="Z46" s="12">
        <v>282.56</v>
      </c>
      <c r="AA46" s="12">
        <v>289.11</v>
      </c>
      <c r="AB46" s="115">
        <v>1614800</v>
      </c>
      <c r="AC46" s="12">
        <v>289.11</v>
      </c>
      <c r="AD46" s="2">
        <f t="shared" si="0"/>
        <v>9.1299999999999955</v>
      </c>
      <c r="AE46" s="165">
        <f t="shared" si="1"/>
        <v>2.3796876659938571E-2</v>
      </c>
    </row>
    <row r="47" spans="1:31" x14ac:dyDescent="0.25">
      <c r="A47" s="349"/>
      <c r="B47" s="354">
        <v>42341</v>
      </c>
      <c r="C47" s="349">
        <v>20</v>
      </c>
      <c r="D47" s="350">
        <v>286.08999999999997</v>
      </c>
      <c r="E47" s="350">
        <v>0</v>
      </c>
      <c r="F47" s="350">
        <f t="shared" si="3"/>
        <v>5721.7999999999993</v>
      </c>
      <c r="G47" s="354"/>
      <c r="H47" s="349"/>
      <c r="I47" s="349"/>
      <c r="J47" s="349"/>
      <c r="K47" s="350"/>
      <c r="L47" s="349"/>
      <c r="M47" s="349"/>
      <c r="O47" s="103">
        <v>1.06</v>
      </c>
      <c r="P47" s="103">
        <f t="shared" si="4"/>
        <v>277.084</v>
      </c>
      <c r="Q47" s="2"/>
      <c r="T47" s="236" t="s">
        <v>110</v>
      </c>
      <c r="U47" s="236">
        <v>356.41</v>
      </c>
      <c r="W47" s="160">
        <v>42352</v>
      </c>
      <c r="X47" s="12">
        <v>283.77</v>
      </c>
      <c r="Y47" s="12">
        <v>285</v>
      </c>
      <c r="Z47" s="12">
        <v>276.43</v>
      </c>
      <c r="AA47" s="12">
        <v>282.39</v>
      </c>
      <c r="AB47" s="115">
        <v>1649800</v>
      </c>
      <c r="AC47" s="12">
        <v>282.39</v>
      </c>
      <c r="AD47" s="2">
        <f t="shared" si="0"/>
        <v>8.5699999999999932</v>
      </c>
      <c r="AE47" s="165">
        <f t="shared" si="1"/>
        <v>-3.7747830381711367E-3</v>
      </c>
    </row>
    <row r="48" spans="1:31" x14ac:dyDescent="0.25">
      <c r="A48" s="349"/>
      <c r="B48" s="354"/>
      <c r="C48" s="349"/>
      <c r="D48" s="350"/>
      <c r="E48" s="350"/>
      <c r="F48" s="350"/>
      <c r="G48" s="354"/>
      <c r="H48" s="349"/>
      <c r="I48" s="349"/>
      <c r="J48" s="349"/>
      <c r="K48" s="350"/>
      <c r="L48" s="349"/>
      <c r="M48" s="349"/>
      <c r="O48" s="103">
        <v>1.05</v>
      </c>
      <c r="P48" s="103">
        <f t="shared" si="4"/>
        <v>274.46999999999997</v>
      </c>
      <c r="Q48" s="2"/>
      <c r="T48" s="236" t="s">
        <v>111</v>
      </c>
      <c r="U48" s="236">
        <v>0.51231099999999996</v>
      </c>
      <c r="W48" s="160">
        <v>42349</v>
      </c>
      <c r="X48" s="12">
        <v>285.54000000000002</v>
      </c>
      <c r="Y48" s="12">
        <v>288.58999999999997</v>
      </c>
      <c r="Z48" s="12">
        <v>282.23</v>
      </c>
      <c r="AA48" s="12">
        <v>283.45999999999998</v>
      </c>
      <c r="AB48" s="115">
        <v>1990800</v>
      </c>
      <c r="AC48" s="12">
        <v>283.45999999999998</v>
      </c>
      <c r="AD48" s="2">
        <f t="shared" si="0"/>
        <v>6.3599999999999568</v>
      </c>
      <c r="AE48" s="165">
        <f t="shared" si="1"/>
        <v>-2.2147095349799972E-2</v>
      </c>
    </row>
    <row r="49" spans="1:31" x14ac:dyDescent="0.25">
      <c r="A49" s="349"/>
      <c r="B49" s="349"/>
      <c r="C49" s="349"/>
      <c r="D49" s="350"/>
      <c r="E49" s="350"/>
      <c r="F49" s="350"/>
      <c r="G49" s="354"/>
      <c r="H49" s="349"/>
      <c r="I49" s="349"/>
      <c r="J49" s="349"/>
      <c r="K49" s="350"/>
      <c r="L49" s="349"/>
      <c r="M49" s="349"/>
      <c r="O49" s="103">
        <v>1.04</v>
      </c>
      <c r="P49" s="103">
        <f t="shared" si="4"/>
        <v>271.85599999999999</v>
      </c>
      <c r="Q49" s="2"/>
      <c r="T49" s="236" t="s">
        <v>131</v>
      </c>
      <c r="U49" s="236" t="s">
        <v>294</v>
      </c>
      <c r="W49" s="160">
        <v>42348</v>
      </c>
      <c r="X49" s="12">
        <v>285.36</v>
      </c>
      <c r="Y49" s="12">
        <v>291.22000000000003</v>
      </c>
      <c r="Z49" s="12">
        <v>284.68</v>
      </c>
      <c r="AA49" s="12">
        <v>289.88</v>
      </c>
      <c r="AB49" s="115">
        <v>1420300</v>
      </c>
      <c r="AC49" s="12">
        <v>289.88</v>
      </c>
      <c r="AD49" s="2">
        <f t="shared" si="0"/>
        <v>6.5400000000000205</v>
      </c>
      <c r="AE49" s="165">
        <f t="shared" si="1"/>
        <v>1.8516566529636957E-2</v>
      </c>
    </row>
    <row r="50" spans="1:31" x14ac:dyDescent="0.25">
      <c r="A50" s="349"/>
      <c r="B50" s="349"/>
      <c r="C50" s="349"/>
      <c r="D50" s="350"/>
      <c r="E50" s="350"/>
      <c r="F50" s="350"/>
      <c r="G50" s="354"/>
      <c r="H50" s="349"/>
      <c r="I50" s="349"/>
      <c r="J50" s="349"/>
      <c r="K50" s="350"/>
      <c r="L50" s="349"/>
      <c r="M50" s="349"/>
      <c r="O50" s="103">
        <v>1.03</v>
      </c>
      <c r="P50" s="103">
        <f t="shared" si="4"/>
        <v>269.24199999999996</v>
      </c>
      <c r="Q50" s="2"/>
      <c r="T50" s="236"/>
      <c r="U50" s="236"/>
      <c r="W50" s="160">
        <v>42347</v>
      </c>
      <c r="X50" s="12">
        <v>286.20999999999998</v>
      </c>
      <c r="Y50" s="12">
        <v>290.08999999999997</v>
      </c>
      <c r="Z50" s="12">
        <v>283.02</v>
      </c>
      <c r="AA50" s="12">
        <v>284.61</v>
      </c>
      <c r="AB50" s="115">
        <v>1520000</v>
      </c>
      <c r="AC50" s="12">
        <v>284.61</v>
      </c>
      <c r="AD50" s="2">
        <f t="shared" si="0"/>
        <v>7.0699999999999932</v>
      </c>
      <c r="AE50" s="165">
        <f t="shared" si="1"/>
        <v>-1.3346737849268431E-2</v>
      </c>
    </row>
    <row r="51" spans="1:31" x14ac:dyDescent="0.25">
      <c r="A51" s="4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9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103">
        <v>1.02</v>
      </c>
      <c r="P51" s="103">
        <f t="shared" si="4"/>
        <v>266.62799999999999</v>
      </c>
      <c r="Q51" s="2"/>
      <c r="T51" s="236" t="s">
        <v>113</v>
      </c>
      <c r="U51" s="236" t="s">
        <v>443</v>
      </c>
      <c r="W51" s="160">
        <v>42346</v>
      </c>
      <c r="X51" s="12">
        <v>279.89</v>
      </c>
      <c r="Y51" s="12">
        <v>289.76</v>
      </c>
      <c r="Z51" s="12">
        <v>278</v>
      </c>
      <c r="AA51" s="12">
        <v>288.45999999999998</v>
      </c>
      <c r="AB51" s="115">
        <v>1749500</v>
      </c>
      <c r="AC51" s="12">
        <v>288.45999999999998</v>
      </c>
      <c r="AD51" s="2">
        <f t="shared" si="0"/>
        <v>11.759999999999991</v>
      </c>
      <c r="AE51" s="165">
        <f t="shared" si="1"/>
        <v>2.4251677733196031E-2</v>
      </c>
    </row>
    <row r="52" spans="1:31" x14ac:dyDescent="0.25">
      <c r="O52" s="103">
        <v>1.01</v>
      </c>
      <c r="P52" s="103">
        <f t="shared" si="4"/>
        <v>264.01399999999995</v>
      </c>
      <c r="Q52" s="2"/>
      <c r="T52" s="236" t="s">
        <v>114</v>
      </c>
      <c r="U52" s="236" t="s">
        <v>310</v>
      </c>
      <c r="W52" s="160">
        <v>42345</v>
      </c>
      <c r="X52" s="12">
        <v>283.31</v>
      </c>
      <c r="Y52" s="12">
        <v>284.98</v>
      </c>
      <c r="Z52" s="12">
        <v>279.7</v>
      </c>
      <c r="AA52" s="12">
        <v>281.63</v>
      </c>
      <c r="AB52" s="115">
        <v>1736400</v>
      </c>
      <c r="AC52" s="12">
        <v>281.63</v>
      </c>
      <c r="AD52" s="2">
        <f t="shared" si="0"/>
        <v>5.2800000000000296</v>
      </c>
      <c r="AE52" s="165">
        <f t="shared" si="1"/>
        <v>-9.9138688697486543E-3</v>
      </c>
    </row>
    <row r="53" spans="1:31" x14ac:dyDescent="0.25">
      <c r="O53" s="103">
        <v>1</v>
      </c>
      <c r="P53" s="103">
        <f t="shared" si="4"/>
        <v>261.39999999999998</v>
      </c>
      <c r="Q53" s="2"/>
      <c r="T53" s="236" t="s">
        <v>115</v>
      </c>
      <c r="U53" s="237">
        <v>1450147</v>
      </c>
      <c r="W53" s="160">
        <v>42342</v>
      </c>
      <c r="X53" s="12">
        <v>277</v>
      </c>
      <c r="Y53" s="12">
        <v>284.75</v>
      </c>
      <c r="Z53" s="12">
        <v>276.13</v>
      </c>
      <c r="AA53" s="12">
        <v>284.45</v>
      </c>
      <c r="AB53" s="115">
        <v>1906600</v>
      </c>
      <c r="AC53" s="12">
        <v>284.45</v>
      </c>
      <c r="AD53" s="2">
        <f t="shared" si="0"/>
        <v>8.6200000000000045</v>
      </c>
      <c r="AE53" s="165">
        <f t="shared" si="1"/>
        <v>3.2711298286378199E-2</v>
      </c>
    </row>
    <row r="54" spans="1:31" x14ac:dyDescent="0.25">
      <c r="B54" s="357" t="s">
        <v>122</v>
      </c>
      <c r="C54" s="357" t="s">
        <v>189</v>
      </c>
      <c r="D54" s="358" t="s">
        <v>188</v>
      </c>
      <c r="E54" s="359" t="s">
        <v>190</v>
      </c>
      <c r="F54" s="360" t="s">
        <v>65</v>
      </c>
      <c r="G54" s="361" t="s">
        <v>195</v>
      </c>
      <c r="H54" s="360" t="s">
        <v>92</v>
      </c>
      <c r="O54" s="103">
        <v>0.99</v>
      </c>
      <c r="P54" s="103">
        <f t="shared" si="4"/>
        <v>258.786</v>
      </c>
      <c r="Q54" s="2"/>
      <c r="T54" s="236" t="s">
        <v>118</v>
      </c>
      <c r="U54" s="237">
        <v>1870680</v>
      </c>
      <c r="W54" s="160">
        <v>42341</v>
      </c>
      <c r="X54" s="12">
        <v>284.22000000000003</v>
      </c>
      <c r="Y54" s="12">
        <v>285.58</v>
      </c>
      <c r="Z54" s="12">
        <v>274.23</v>
      </c>
      <c r="AA54" s="12">
        <v>275.44</v>
      </c>
      <c r="AB54" s="115">
        <v>1901000</v>
      </c>
      <c r="AC54" s="12">
        <v>275.44</v>
      </c>
      <c r="AD54" s="2">
        <f t="shared" si="0"/>
        <v>11.349999999999966</v>
      </c>
      <c r="AE54" s="165">
        <f t="shared" si="1"/>
        <v>-3.3408197641774273E-2</v>
      </c>
    </row>
    <row r="55" spans="1:31" x14ac:dyDescent="0.25">
      <c r="B55" s="354">
        <v>42304</v>
      </c>
      <c r="C55" s="349">
        <v>80</v>
      </c>
      <c r="D55" s="350">
        <v>271.44</v>
      </c>
      <c r="E55" s="350">
        <v>293.69</v>
      </c>
      <c r="F55" s="350">
        <v>1780.09</v>
      </c>
      <c r="G55" s="350">
        <f>IF(C55=0, 0,D55*C55)</f>
        <v>21715.200000000001</v>
      </c>
      <c r="H55" s="362">
        <f>IF(C55=0, D55, (E55-D55)/D55)</f>
        <v>8.1970232832301801E-2</v>
      </c>
      <c r="O55" s="103">
        <v>0.98</v>
      </c>
      <c r="P55" s="103">
        <f t="shared" si="4"/>
        <v>256.17199999999997</v>
      </c>
      <c r="Q55" s="2"/>
      <c r="T55" s="236" t="s">
        <v>116</v>
      </c>
      <c r="U55" s="236" t="s">
        <v>444</v>
      </c>
      <c r="W55" s="160">
        <v>42340</v>
      </c>
      <c r="X55" s="12">
        <v>289.14</v>
      </c>
      <c r="Y55" s="12">
        <v>290.39</v>
      </c>
      <c r="Z55" s="12">
        <v>284.58</v>
      </c>
      <c r="AA55" s="12">
        <v>284.95999999999998</v>
      </c>
      <c r="AB55" s="115">
        <v>1347700</v>
      </c>
      <c r="AC55" s="12">
        <v>284.95999999999998</v>
      </c>
      <c r="AD55" s="2">
        <f t="shared" si="0"/>
        <v>5.8100000000000023</v>
      </c>
      <c r="AE55" s="165">
        <f t="shared" si="1"/>
        <v>-1.751482554130479E-2</v>
      </c>
    </row>
    <row r="56" spans="1:31" x14ac:dyDescent="0.25">
      <c r="B56" s="354">
        <v>42310</v>
      </c>
      <c r="C56" s="349">
        <v>70</v>
      </c>
      <c r="D56" s="350">
        <v>267.36</v>
      </c>
      <c r="E56" s="350">
        <v>303.08</v>
      </c>
      <c r="F56" s="350">
        <v>2500.4299999999998</v>
      </c>
      <c r="G56" s="350">
        <f t="shared" ref="G56:G60" si="5">IF(C56=0, 0,D56*C56)</f>
        <v>18715.2</v>
      </c>
      <c r="H56" s="362">
        <f t="shared" ref="H56:H60" si="6">IF(C56=0, D56, (E56-D56)/D56)</f>
        <v>0.1336026331538</v>
      </c>
      <c r="O56" s="103">
        <v>0.97</v>
      </c>
      <c r="P56" s="103">
        <f t="shared" si="4"/>
        <v>253.55799999999996</v>
      </c>
      <c r="T56" s="236" t="s">
        <v>119</v>
      </c>
      <c r="U56" s="236">
        <v>17.04</v>
      </c>
      <c r="W56" s="160">
        <v>42339</v>
      </c>
      <c r="X56" s="12">
        <v>289.3</v>
      </c>
      <c r="Y56" s="12">
        <v>290.58999999999997</v>
      </c>
      <c r="Z56" s="12">
        <v>285.8</v>
      </c>
      <c r="AA56" s="12">
        <v>290.04000000000002</v>
      </c>
      <c r="AB56" s="115">
        <v>1677700</v>
      </c>
      <c r="AC56" s="12">
        <v>290.04000000000002</v>
      </c>
      <c r="AD56" s="2">
        <f t="shared" si="0"/>
        <v>4.7899999999999636</v>
      </c>
      <c r="AE56" s="165">
        <f t="shared" si="1"/>
        <v>1.1085546956703718E-2</v>
      </c>
    </row>
    <row r="57" spans="1:31" x14ac:dyDescent="0.25">
      <c r="B57" s="354">
        <v>42314</v>
      </c>
      <c r="C57" s="349">
        <v>80</v>
      </c>
      <c r="D57" s="350">
        <v>271.29000000000002</v>
      </c>
      <c r="E57" s="350">
        <v>299.14</v>
      </c>
      <c r="F57" s="350">
        <v>2227.9299999999998</v>
      </c>
      <c r="G57" s="350">
        <f t="shared" si="5"/>
        <v>21703.200000000001</v>
      </c>
      <c r="H57" s="362">
        <f t="shared" si="6"/>
        <v>0.10265767260127526</v>
      </c>
      <c r="O57" s="103">
        <v>0.96</v>
      </c>
      <c r="P57" s="103">
        <f t="shared" si="4"/>
        <v>250.94399999999996</v>
      </c>
      <c r="T57" s="236" t="s">
        <v>120</v>
      </c>
      <c r="U57" s="236">
        <v>15.34</v>
      </c>
      <c r="W57" s="160">
        <v>42338</v>
      </c>
      <c r="X57" s="12">
        <v>293.16000000000003</v>
      </c>
      <c r="Y57" s="12">
        <v>294.26</v>
      </c>
      <c r="Z57" s="12">
        <v>285.10000000000002</v>
      </c>
      <c r="AA57" s="12">
        <v>286.86</v>
      </c>
      <c r="AB57" s="115">
        <v>1628200</v>
      </c>
      <c r="AC57" s="12">
        <v>286.86</v>
      </c>
      <c r="AD57" s="2">
        <f t="shared" si="0"/>
        <v>9.1599999999999682</v>
      </c>
      <c r="AE57" s="165">
        <f t="shared" si="1"/>
        <v>-2.1656832986596486E-2</v>
      </c>
    </row>
    <row r="58" spans="1:31" x14ac:dyDescent="0.25">
      <c r="B58" s="354">
        <v>42326</v>
      </c>
      <c r="C58" s="349">
        <v>40</v>
      </c>
      <c r="D58" s="350">
        <v>254.6</v>
      </c>
      <c r="E58" s="350">
        <v>291.98</v>
      </c>
      <c r="F58" s="350">
        <v>1495.32</v>
      </c>
      <c r="G58" s="350">
        <f t="shared" si="5"/>
        <v>10184</v>
      </c>
      <c r="H58" s="362">
        <f t="shared" si="6"/>
        <v>0.14681853888452484</v>
      </c>
      <c r="O58" s="103">
        <v>0.95</v>
      </c>
      <c r="P58" s="103">
        <f t="shared" si="4"/>
        <v>248.32999999999996</v>
      </c>
      <c r="T58" s="236" t="s">
        <v>117</v>
      </c>
      <c r="U58" s="236" t="s">
        <v>132</v>
      </c>
      <c r="W58" s="160">
        <v>42335</v>
      </c>
      <c r="X58" s="12">
        <v>292.97000000000003</v>
      </c>
      <c r="Y58" s="12">
        <v>294.10000000000002</v>
      </c>
      <c r="Z58" s="12">
        <v>290.77999999999997</v>
      </c>
      <c r="AA58" s="12">
        <v>293.20999999999998</v>
      </c>
      <c r="AB58" s="115">
        <v>463600</v>
      </c>
      <c r="AC58" s="12">
        <v>293.20999999999998</v>
      </c>
      <c r="AD58" s="2">
        <f t="shared" si="0"/>
        <v>3.32000000000005</v>
      </c>
      <c r="AE58" s="165">
        <f t="shared" si="1"/>
        <v>3.1132398221005442E-3</v>
      </c>
    </row>
    <row r="59" spans="1:31" x14ac:dyDescent="0.25">
      <c r="B59" s="354">
        <v>42338</v>
      </c>
      <c r="C59" s="349">
        <v>60</v>
      </c>
      <c r="D59" s="350">
        <v>265.08999999999997</v>
      </c>
      <c r="E59" s="350">
        <v>286.86</v>
      </c>
      <c r="F59" s="350">
        <v>1305.92</v>
      </c>
      <c r="G59" s="350">
        <f t="shared" si="5"/>
        <v>15905.399999999998</v>
      </c>
      <c r="H59" s="362">
        <f t="shared" si="6"/>
        <v>8.2123052548191328E-2</v>
      </c>
      <c r="O59" s="103">
        <v>0.94</v>
      </c>
      <c r="P59" s="103">
        <f t="shared" si="4"/>
        <v>245.71599999999995</v>
      </c>
      <c r="W59" s="160">
        <v>42333</v>
      </c>
      <c r="X59" s="12">
        <v>290</v>
      </c>
      <c r="Y59" s="12">
        <v>292.86</v>
      </c>
      <c r="Z59" s="12">
        <v>289.29000000000002</v>
      </c>
      <c r="AA59" s="12">
        <v>292.3</v>
      </c>
      <c r="AB59" s="115">
        <v>1140100</v>
      </c>
      <c r="AC59" s="12">
        <v>292.3</v>
      </c>
      <c r="AD59" s="2">
        <f t="shared" si="0"/>
        <v>3.5699999999999932</v>
      </c>
      <c r="AE59" s="165">
        <f t="shared" si="1"/>
        <v>1.0893999654158826E-2</v>
      </c>
    </row>
    <row r="60" spans="1:31" x14ac:dyDescent="0.25">
      <c r="B60" s="354">
        <v>42342</v>
      </c>
      <c r="C60" s="349">
        <v>25</v>
      </c>
      <c r="D60" s="350">
        <v>240.05</v>
      </c>
      <c r="E60" s="350">
        <v>284.45</v>
      </c>
      <c r="F60" s="350">
        <v>1110</v>
      </c>
      <c r="G60" s="350">
        <f t="shared" si="5"/>
        <v>6001.25</v>
      </c>
      <c r="H60" s="362">
        <f t="shared" si="6"/>
        <v>0.18496146636117466</v>
      </c>
      <c r="O60" s="103">
        <v>0.93</v>
      </c>
      <c r="P60" s="103">
        <f t="shared" si="4"/>
        <v>243.102</v>
      </c>
      <c r="W60" s="160">
        <v>42332</v>
      </c>
      <c r="X60" s="12">
        <v>290.95999999999998</v>
      </c>
      <c r="Y60" s="12">
        <v>292.61</v>
      </c>
      <c r="Z60" s="12">
        <v>288.01</v>
      </c>
      <c r="AA60" s="12">
        <v>289.14999999999998</v>
      </c>
      <c r="AB60" s="115">
        <v>1325400</v>
      </c>
      <c r="AC60" s="12">
        <v>289.14999999999998</v>
      </c>
      <c r="AD60" s="2">
        <f t="shared" si="0"/>
        <v>4.6000000000000227</v>
      </c>
      <c r="AE60" s="165">
        <f t="shared" si="1"/>
        <v>-1.733220050977069E-2</v>
      </c>
    </row>
    <row r="61" spans="1:31" x14ac:dyDescent="0.25">
      <c r="B61" s="354">
        <v>42355</v>
      </c>
      <c r="C61" s="349">
        <v>0</v>
      </c>
      <c r="D61" s="350">
        <v>0</v>
      </c>
      <c r="E61" s="350">
        <v>297.17</v>
      </c>
      <c r="F61" s="350">
        <v>1373.65</v>
      </c>
      <c r="G61" s="350"/>
      <c r="H61" s="362"/>
      <c r="O61" s="103">
        <v>0.92</v>
      </c>
      <c r="P61" s="103">
        <f t="shared" si="4"/>
        <v>240.488</v>
      </c>
      <c r="W61" s="160">
        <v>42331</v>
      </c>
      <c r="X61" s="12">
        <v>290.39999999999998</v>
      </c>
      <c r="Y61" s="12">
        <v>297.88</v>
      </c>
      <c r="Z61" s="12">
        <v>290.26</v>
      </c>
      <c r="AA61" s="12">
        <v>294.25</v>
      </c>
      <c r="AB61" s="115">
        <v>1392000</v>
      </c>
      <c r="AC61" s="12">
        <v>294.25</v>
      </c>
      <c r="AD61" s="2">
        <f t="shared" si="0"/>
        <v>7.6200000000000045</v>
      </c>
      <c r="AE61" s="165">
        <f t="shared" si="1"/>
        <v>1.4095671353735684E-2</v>
      </c>
    </row>
    <row r="62" spans="1:31" x14ac:dyDescent="0.25">
      <c r="B62" s="354"/>
      <c r="C62" s="349"/>
      <c r="D62" s="350"/>
      <c r="E62" s="350"/>
      <c r="F62" s="350"/>
      <c r="G62" s="350"/>
      <c r="H62" s="362"/>
      <c r="O62" s="103">
        <v>0.91</v>
      </c>
      <c r="P62" s="103">
        <f t="shared" si="4"/>
        <v>237.874</v>
      </c>
      <c r="W62" s="160">
        <v>42328</v>
      </c>
      <c r="X62" s="12">
        <v>291.85000000000002</v>
      </c>
      <c r="Y62" s="12">
        <v>292.43</v>
      </c>
      <c r="Z62" s="12">
        <v>289.91000000000003</v>
      </c>
      <c r="AA62" s="12">
        <v>290.16000000000003</v>
      </c>
      <c r="AB62" s="115">
        <v>1723700</v>
      </c>
      <c r="AC62" s="12">
        <v>290.16000000000003</v>
      </c>
      <c r="AD62" s="2">
        <f t="shared" si="0"/>
        <v>2.5199999999999818</v>
      </c>
      <c r="AE62" s="165">
        <f t="shared" si="1"/>
        <v>2.4875621890547706E-3</v>
      </c>
    </row>
    <row r="63" spans="1:31" x14ac:dyDescent="0.25">
      <c r="B63" s="349"/>
      <c r="C63" s="349"/>
      <c r="D63" s="350"/>
      <c r="E63" s="350"/>
      <c r="F63" s="350"/>
      <c r="G63" s="350"/>
      <c r="H63" s="362"/>
      <c r="O63" s="103">
        <v>0.9</v>
      </c>
      <c r="P63" s="103">
        <f t="shared" si="4"/>
        <v>235.26</v>
      </c>
      <c r="W63" s="160">
        <v>42327</v>
      </c>
      <c r="X63" s="12">
        <v>292</v>
      </c>
      <c r="Y63" s="12">
        <v>292.5</v>
      </c>
      <c r="Z63" s="12">
        <v>286.52999999999997</v>
      </c>
      <c r="AA63" s="12">
        <v>289.44</v>
      </c>
      <c r="AB63" s="115">
        <v>1625100</v>
      </c>
      <c r="AC63" s="12">
        <v>289.44</v>
      </c>
      <c r="AD63" s="2">
        <f t="shared" si="0"/>
        <v>5.9700000000000273</v>
      </c>
      <c r="AE63" s="165">
        <f t="shared" si="1"/>
        <v>-8.6992259743818856E-3</v>
      </c>
    </row>
    <row r="64" spans="1:31" x14ac:dyDescent="0.25">
      <c r="B64" s="349"/>
      <c r="C64" s="349"/>
      <c r="D64" s="350"/>
      <c r="E64" s="350"/>
      <c r="F64" s="350"/>
      <c r="G64" s="350"/>
      <c r="H64" s="362"/>
      <c r="W64" s="160">
        <v>42326</v>
      </c>
      <c r="X64" s="12">
        <v>280.64999999999998</v>
      </c>
      <c r="Y64" s="12">
        <v>292.68</v>
      </c>
      <c r="Z64" s="12">
        <v>279.31</v>
      </c>
      <c r="AA64" s="12">
        <v>291.98</v>
      </c>
      <c r="AB64" s="115">
        <v>2253200</v>
      </c>
      <c r="AC64" s="12">
        <v>291.98</v>
      </c>
      <c r="AD64" s="2">
        <f t="shared" si="0"/>
        <v>13.370000000000005</v>
      </c>
      <c r="AE64" s="165">
        <f t="shared" si="1"/>
        <v>4.4688539840423758E-2</v>
      </c>
    </row>
    <row r="65" spans="23:31" x14ac:dyDescent="0.25">
      <c r="W65" s="160">
        <v>42325</v>
      </c>
      <c r="X65" s="12">
        <v>284.2</v>
      </c>
      <c r="Y65" s="12">
        <v>285.77</v>
      </c>
      <c r="Z65" s="12">
        <v>278.55</v>
      </c>
      <c r="AA65" s="12">
        <v>279.49</v>
      </c>
      <c r="AB65" s="115">
        <v>2348500</v>
      </c>
      <c r="AC65" s="12">
        <v>279.49</v>
      </c>
      <c r="AD65" s="2">
        <f t="shared" si="0"/>
        <v>7.2199999999999704</v>
      </c>
      <c r="AE65" s="165">
        <f t="shared" si="1"/>
        <v>-1.4248933093499727E-2</v>
      </c>
    </row>
    <row r="66" spans="23:31" x14ac:dyDescent="0.25">
      <c r="W66" s="160">
        <v>42324</v>
      </c>
      <c r="X66" s="12">
        <v>285.93</v>
      </c>
      <c r="Y66" s="12">
        <v>286.75</v>
      </c>
      <c r="Z66" s="12">
        <v>278.27999999999997</v>
      </c>
      <c r="AA66" s="12">
        <v>283.52999999999997</v>
      </c>
      <c r="AB66" s="115">
        <v>1960100</v>
      </c>
      <c r="AC66" s="12">
        <v>283.52999999999997</v>
      </c>
      <c r="AD66" s="2">
        <f t="shared" si="0"/>
        <v>8.4700000000000273</v>
      </c>
      <c r="AE66" s="165">
        <f t="shared" si="1"/>
        <v>-4.5990731638815285E-3</v>
      </c>
    </row>
    <row r="67" spans="23:31" x14ac:dyDescent="0.25">
      <c r="W67" s="160">
        <v>42321</v>
      </c>
      <c r="X67" s="12">
        <v>290.18</v>
      </c>
      <c r="Y67" s="12">
        <v>293.29000000000002</v>
      </c>
      <c r="Z67" s="12">
        <v>283.83</v>
      </c>
      <c r="AA67" s="12">
        <v>284.83999999999997</v>
      </c>
      <c r="AB67" s="115">
        <v>1926800</v>
      </c>
      <c r="AC67" s="12">
        <v>284.83999999999997</v>
      </c>
      <c r="AD67" s="2">
        <f t="shared" ref="AD67:AD68" si="7">Y67-Z67</f>
        <v>9.4600000000000364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3">
    <mergeCell ref="O42:P42"/>
    <mergeCell ref="B6:B7"/>
    <mergeCell ref="B39:B40"/>
  </mergeCells>
  <conditionalFormatting sqref="Q7 F22:F29">
    <cfRule type="expression" dxfId="37" priority="22">
      <formula>F7&gt;0</formula>
    </cfRule>
    <cfRule type="expression" dxfId="36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H22:H27">
    <cfRule type="expression" dxfId="35" priority="11">
      <formula>H22&gt;0</formula>
    </cfRule>
    <cfRule type="expression" dxfId="34" priority="12">
      <formula>H22&lt;0</formula>
    </cfRule>
  </conditionalFormatting>
  <conditionalFormatting sqref="M33">
    <cfRule type="expression" dxfId="33" priority="9">
      <formula>M33&gt;0</formula>
    </cfRule>
    <cfRule type="expression" dxfId="32" priority="10">
      <formula>M33&lt;0</formula>
    </cfRule>
  </conditionalFormatting>
  <conditionalFormatting sqref="F55:F64">
    <cfRule type="expression" dxfId="31" priority="7">
      <formula>F55&gt;0</formula>
    </cfRule>
    <cfRule type="expression" dxfId="30" priority="8">
      <formula>F55&lt;0</formula>
    </cfRule>
  </conditionalFormatting>
  <conditionalFormatting sqref="H55:H61">
    <cfRule type="expression" dxfId="29" priority="5">
      <formula>H55&gt;0</formula>
    </cfRule>
    <cfRule type="expression" dxfId="28" priority="6">
      <formula>H55&lt;0</formula>
    </cfRule>
  </conditionalFormatting>
  <conditionalFormatting sqref="F21">
    <cfRule type="expression" dxfId="27" priority="3">
      <formula>F21&gt;0</formula>
    </cfRule>
    <cfRule type="expression" dxfId="26" priority="4">
      <formula>F21&lt;0</formula>
    </cfRule>
  </conditionalFormatting>
  <conditionalFormatting sqref="H21">
    <cfRule type="expression" dxfId="25" priority="1">
      <formula>H21&gt;0</formula>
    </cfRule>
    <cfRule type="expression" dxfId="2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133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162</v>
      </c>
      <c r="O2" s="13" t="s">
        <v>57</v>
      </c>
      <c r="Q2" s="91">
        <f>C16-H16</f>
        <v>0</v>
      </c>
      <c r="T2" s="1">
        <v>42321</v>
      </c>
      <c r="U2" t="s">
        <v>105</v>
      </c>
      <c r="W2" s="160">
        <v>42419</v>
      </c>
      <c r="X2" s="12">
        <v>5.2</v>
      </c>
      <c r="Y2" s="12">
        <v>5.55</v>
      </c>
      <c r="Z2" s="12">
        <v>4.92</v>
      </c>
      <c r="AA2" s="12">
        <v>5.5</v>
      </c>
      <c r="AB2" s="115">
        <v>450600</v>
      </c>
      <c r="AC2" s="12">
        <v>5.5</v>
      </c>
      <c r="AD2" s="2">
        <f>Y2-Z2</f>
        <v>0.62999999999999989</v>
      </c>
      <c r="AE2" s="165">
        <f>AC2/AC3-1</f>
        <v>4.7619047619047672E-2</v>
      </c>
      <c r="AO2" t="s">
        <v>209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5.5</v>
      </c>
      <c r="W3" s="160">
        <v>42418</v>
      </c>
      <c r="X3" s="12">
        <v>5.2</v>
      </c>
      <c r="Y3" s="12">
        <v>5.33</v>
      </c>
      <c r="Z3" s="12">
        <v>4.97</v>
      </c>
      <c r="AA3" s="12">
        <v>5.25</v>
      </c>
      <c r="AB3" s="115">
        <v>378200</v>
      </c>
      <c r="AC3" s="12">
        <v>5.25</v>
      </c>
      <c r="AD3" s="2">
        <f t="shared" ref="AD3:AD66" si="1">Y3-Z3</f>
        <v>0.36000000000000032</v>
      </c>
      <c r="AE3" s="165">
        <f t="shared" ref="AE3:AE66" si="2">AC3/AC4-1</f>
        <v>9.6153846153845812E-3</v>
      </c>
      <c r="AG3" s="1">
        <v>42336</v>
      </c>
      <c r="AH3" t="s">
        <v>211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5.5</v>
      </c>
      <c r="W4" s="160">
        <v>42417</v>
      </c>
      <c r="X4" s="12">
        <v>5.0199999999999996</v>
      </c>
      <c r="Y4" s="12">
        <v>5.32</v>
      </c>
      <c r="Z4" s="12">
        <v>4.88</v>
      </c>
      <c r="AA4" s="12">
        <v>5.2</v>
      </c>
      <c r="AB4" s="115">
        <v>504600</v>
      </c>
      <c r="AC4" s="12">
        <v>5.2</v>
      </c>
      <c r="AD4" s="2">
        <f t="shared" si="1"/>
        <v>0.44000000000000039</v>
      </c>
      <c r="AE4" s="165">
        <f t="shared" si="2"/>
        <v>4.8387096774193505E-2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42416</v>
      </c>
      <c r="X5" s="12">
        <v>4.84</v>
      </c>
      <c r="Y5" s="12">
        <v>5</v>
      </c>
      <c r="Z5" s="12">
        <v>4.67</v>
      </c>
      <c r="AA5" s="12">
        <v>4.96</v>
      </c>
      <c r="AB5" s="115">
        <v>475100</v>
      </c>
      <c r="AC5" s="12">
        <v>4.96</v>
      </c>
      <c r="AD5" s="2">
        <f t="shared" si="1"/>
        <v>0.33000000000000007</v>
      </c>
      <c r="AE5" s="165">
        <f t="shared" si="2"/>
        <v>3.3333333333333437E-2</v>
      </c>
    </row>
    <row r="6" spans="1:42" x14ac:dyDescent="0.25">
      <c r="B6" s="390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42412</v>
      </c>
      <c r="X6" s="12">
        <v>4.8</v>
      </c>
      <c r="Y6" s="12">
        <v>4.9000000000000004</v>
      </c>
      <c r="Z6" s="12">
        <v>4.6399999999999997</v>
      </c>
      <c r="AA6" s="12">
        <v>4.8</v>
      </c>
      <c r="AB6" s="115">
        <v>364300</v>
      </c>
      <c r="AC6" s="12">
        <v>4.8</v>
      </c>
      <c r="AD6" s="2">
        <f t="shared" si="1"/>
        <v>0.26000000000000068</v>
      </c>
      <c r="AE6" s="165">
        <f t="shared" si="2"/>
        <v>1.0526315789473717E-2</v>
      </c>
    </row>
    <row r="7" spans="1:42" ht="15.75" x14ac:dyDescent="0.25">
      <c r="B7" s="397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42411</v>
      </c>
      <c r="X7" s="12">
        <v>4.4800000000000004</v>
      </c>
      <c r="Y7" s="12">
        <v>4.8899999999999997</v>
      </c>
      <c r="Z7" s="12">
        <v>4.17</v>
      </c>
      <c r="AA7" s="12">
        <v>4.75</v>
      </c>
      <c r="AB7" s="115">
        <v>1017800</v>
      </c>
      <c r="AC7" s="12">
        <v>4.75</v>
      </c>
      <c r="AD7" s="2">
        <f t="shared" si="1"/>
        <v>0.71999999999999975</v>
      </c>
      <c r="AE7" s="165">
        <f t="shared" si="2"/>
        <v>3.9387308533916698E-2</v>
      </c>
    </row>
    <row r="8" spans="1:42" x14ac:dyDescent="0.25">
      <c r="B8" s="399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42410</v>
      </c>
      <c r="X8" s="12">
        <v>4.18</v>
      </c>
      <c r="Y8" s="12">
        <v>4.6900000000000004</v>
      </c>
      <c r="Z8" s="12">
        <v>4.1100000000000003</v>
      </c>
      <c r="AA8" s="12">
        <v>4.57</v>
      </c>
      <c r="AB8" s="115">
        <v>1250300</v>
      </c>
      <c r="AC8" s="12">
        <v>4.57</v>
      </c>
      <c r="AD8" s="2">
        <f t="shared" si="1"/>
        <v>0.58000000000000007</v>
      </c>
      <c r="AE8" s="165">
        <f t="shared" si="2"/>
        <v>0.10120481927710845</v>
      </c>
    </row>
    <row r="9" spans="1:42" x14ac:dyDescent="0.25">
      <c r="B9" s="390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42409</v>
      </c>
      <c r="X9" s="12">
        <v>4.0999999999999996</v>
      </c>
      <c r="Y9" s="12">
        <v>4.2699999999999996</v>
      </c>
      <c r="Z9" s="12">
        <v>4</v>
      </c>
      <c r="AA9" s="12">
        <v>4.1500000000000004</v>
      </c>
      <c r="AB9" s="115">
        <v>422000</v>
      </c>
      <c r="AC9" s="12">
        <v>4.1500000000000004</v>
      </c>
      <c r="AD9" s="2">
        <f t="shared" si="1"/>
        <v>0.26999999999999957</v>
      </c>
      <c r="AE9" s="165">
        <f t="shared" si="2"/>
        <v>-9.5465393794749165E-3</v>
      </c>
    </row>
    <row r="10" spans="1:42" x14ac:dyDescent="0.25">
      <c r="W10" s="160">
        <v>42408</v>
      </c>
      <c r="X10" s="12">
        <v>4.3600000000000003</v>
      </c>
      <c r="Y10" s="12">
        <v>4.38</v>
      </c>
      <c r="Z10" s="12">
        <v>4.0999999999999996</v>
      </c>
      <c r="AA10" s="12">
        <v>4.1900000000000004</v>
      </c>
      <c r="AB10" s="115">
        <v>714500</v>
      </c>
      <c r="AC10" s="12">
        <v>4.1900000000000004</v>
      </c>
      <c r="AD10" s="2">
        <f t="shared" si="1"/>
        <v>0.28000000000000025</v>
      </c>
      <c r="AE10" s="165">
        <f t="shared" si="2"/>
        <v>-5.6306306306306286E-2</v>
      </c>
    </row>
    <row r="11" spans="1:42" x14ac:dyDescent="0.25">
      <c r="W11" s="160">
        <v>42405</v>
      </c>
      <c r="X11" s="12">
        <v>4.67</v>
      </c>
      <c r="Y11" s="12">
        <v>4.8499999999999996</v>
      </c>
      <c r="Z11" s="12">
        <v>4.42</v>
      </c>
      <c r="AA11" s="12">
        <v>4.4400000000000004</v>
      </c>
      <c r="AB11" s="115">
        <v>578400</v>
      </c>
      <c r="AC11" s="12">
        <v>4.4400000000000004</v>
      </c>
      <c r="AD11" s="2">
        <f t="shared" si="1"/>
        <v>0.42999999999999972</v>
      </c>
      <c r="AE11" s="165">
        <f t="shared" si="2"/>
        <v>-5.7324840764331086E-2</v>
      </c>
    </row>
    <row r="12" spans="1:42" x14ac:dyDescent="0.25">
      <c r="W12" s="160">
        <v>42404</v>
      </c>
      <c r="X12" s="12">
        <v>4.67</v>
      </c>
      <c r="Y12" s="12">
        <v>5.01</v>
      </c>
      <c r="Z12" s="12">
        <v>4.5999999999999996</v>
      </c>
      <c r="AA12" s="12">
        <v>4.71</v>
      </c>
      <c r="AB12" s="115">
        <v>316800</v>
      </c>
      <c r="AC12" s="12">
        <v>4.71</v>
      </c>
      <c r="AD12" s="2">
        <f t="shared" si="1"/>
        <v>0.41000000000000014</v>
      </c>
      <c r="AE12" s="165">
        <f t="shared" si="2"/>
        <v>2.1276595744681437E-3</v>
      </c>
    </row>
    <row r="13" spans="1:42" x14ac:dyDescent="0.25">
      <c r="W13" s="160">
        <v>42403</v>
      </c>
      <c r="X13" s="12">
        <v>4.8899999999999997</v>
      </c>
      <c r="Y13" s="12">
        <v>4.8899999999999997</v>
      </c>
      <c r="Z13" s="12">
        <v>4.53</v>
      </c>
      <c r="AA13" s="12">
        <v>4.7</v>
      </c>
      <c r="AB13" s="115">
        <v>671600</v>
      </c>
      <c r="AC13" s="12">
        <v>4.7</v>
      </c>
      <c r="AD13" s="2">
        <f t="shared" si="1"/>
        <v>0.35999999999999943</v>
      </c>
      <c r="AE13" s="165">
        <f t="shared" si="2"/>
        <v>-2.2869022869022704E-2</v>
      </c>
    </row>
    <row r="14" spans="1:42" x14ac:dyDescent="0.25">
      <c r="W14" s="160">
        <v>42402</v>
      </c>
      <c r="X14" s="12">
        <v>5.05</v>
      </c>
      <c r="Y14" s="12">
        <v>5.21</v>
      </c>
      <c r="Z14" s="12">
        <v>4.75</v>
      </c>
      <c r="AA14" s="12">
        <v>4.8099999999999996</v>
      </c>
      <c r="AB14" s="115">
        <v>461000</v>
      </c>
      <c r="AC14" s="12">
        <v>4.8099999999999996</v>
      </c>
      <c r="AD14" s="2">
        <f t="shared" si="1"/>
        <v>0.45999999999999996</v>
      </c>
      <c r="AE14" s="165">
        <f t="shared" si="2"/>
        <v>-7.8544061302681989E-2</v>
      </c>
    </row>
    <row r="15" spans="1:42" x14ac:dyDescent="0.25">
      <c r="W15" s="160">
        <v>42401</v>
      </c>
      <c r="X15" s="12">
        <v>5.94</v>
      </c>
      <c r="Y15" s="12">
        <v>6</v>
      </c>
      <c r="Z15" s="12">
        <v>5.07</v>
      </c>
      <c r="AA15" s="12">
        <v>5.22</v>
      </c>
      <c r="AB15" s="115">
        <v>650300</v>
      </c>
      <c r="AC15" s="12">
        <v>5.22</v>
      </c>
      <c r="AD15" s="2">
        <f t="shared" si="1"/>
        <v>0.92999999999999972</v>
      </c>
      <c r="AE15" s="165">
        <f t="shared" si="2"/>
        <v>-0.13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42398</v>
      </c>
      <c r="X16" s="12">
        <v>5.84</v>
      </c>
      <c r="Y16" s="12">
        <v>6.24</v>
      </c>
      <c r="Z16" s="12">
        <v>5.71</v>
      </c>
      <c r="AA16" s="12">
        <v>6</v>
      </c>
      <c r="AB16" s="115">
        <v>412100</v>
      </c>
      <c r="AC16" s="12">
        <v>6</v>
      </c>
      <c r="AD16" s="2">
        <f t="shared" si="1"/>
        <v>0.53000000000000025</v>
      </c>
      <c r="AE16" s="165">
        <f t="shared" si="2"/>
        <v>2.7397260273972712E-2</v>
      </c>
    </row>
    <row r="17" spans="2:31" x14ac:dyDescent="0.25">
      <c r="W17" s="160">
        <v>42397</v>
      </c>
      <c r="X17" s="12">
        <v>6.34</v>
      </c>
      <c r="Y17" s="12">
        <v>6.51</v>
      </c>
      <c r="Z17" s="12">
        <v>5.74</v>
      </c>
      <c r="AA17" s="12">
        <v>5.84</v>
      </c>
      <c r="AB17" s="115">
        <v>290800</v>
      </c>
      <c r="AC17" s="12">
        <v>5.84</v>
      </c>
      <c r="AD17" s="2">
        <f t="shared" si="1"/>
        <v>0.76999999999999957</v>
      </c>
      <c r="AE17" s="165">
        <f t="shared" si="2"/>
        <v>-7.3015873015872979E-2</v>
      </c>
    </row>
    <row r="18" spans="2:31" x14ac:dyDescent="0.25">
      <c r="W18" s="160">
        <v>42396</v>
      </c>
      <c r="X18" s="12">
        <v>6.48</v>
      </c>
      <c r="Y18" s="12">
        <v>6.59</v>
      </c>
      <c r="Z18" s="12">
        <v>6.16</v>
      </c>
      <c r="AA18" s="12">
        <v>6.3</v>
      </c>
      <c r="AB18" s="115">
        <v>273700</v>
      </c>
      <c r="AC18" s="12">
        <v>6.3</v>
      </c>
      <c r="AD18" s="2">
        <f t="shared" si="1"/>
        <v>0.42999999999999972</v>
      </c>
      <c r="AE18" s="165">
        <f t="shared" si="2"/>
        <v>-3.0769230769230771E-2</v>
      </c>
    </row>
    <row r="19" spans="2:31" x14ac:dyDescent="0.25">
      <c r="B19" s="246" t="s">
        <v>122</v>
      </c>
      <c r="C19" s="246" t="s">
        <v>189</v>
      </c>
      <c r="D19" s="247" t="s">
        <v>188</v>
      </c>
      <c r="E19" s="249" t="s">
        <v>190</v>
      </c>
      <c r="F19" s="250" t="s">
        <v>65</v>
      </c>
      <c r="G19" s="294" t="s">
        <v>195</v>
      </c>
      <c r="H19" s="294" t="s">
        <v>92</v>
      </c>
      <c r="I19" s="294" t="s">
        <v>203</v>
      </c>
      <c r="W19" s="160">
        <v>42395</v>
      </c>
      <c r="X19" s="12">
        <v>6.4</v>
      </c>
      <c r="Y19" s="12">
        <v>6.51</v>
      </c>
      <c r="Z19" s="12">
        <v>5.96</v>
      </c>
      <c r="AA19" s="12">
        <v>6.5</v>
      </c>
      <c r="AB19" s="115">
        <v>315600</v>
      </c>
      <c r="AC19" s="12">
        <v>6.5</v>
      </c>
      <c r="AD19" s="2">
        <f t="shared" si="1"/>
        <v>0.54999999999999982</v>
      </c>
      <c r="AE19" s="165">
        <f t="shared" si="2"/>
        <v>1.8808777429467183E-2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42394</v>
      </c>
      <c r="X20" s="12">
        <v>6.36</v>
      </c>
      <c r="Y20" s="12">
        <v>6.6</v>
      </c>
      <c r="Z20" s="12">
        <v>6.29</v>
      </c>
      <c r="AA20" s="12">
        <v>6.38</v>
      </c>
      <c r="AB20" s="115">
        <v>242400</v>
      </c>
      <c r="AC20" s="12">
        <v>6.38</v>
      </c>
      <c r="AD20" s="2">
        <f t="shared" si="1"/>
        <v>0.30999999999999961</v>
      </c>
      <c r="AE20" s="165">
        <f t="shared" si="2"/>
        <v>-6.230529595015577E-3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42391</v>
      </c>
      <c r="X21" s="12">
        <v>6.38</v>
      </c>
      <c r="Y21" s="12">
        <v>6.62</v>
      </c>
      <c r="Z21" s="12">
        <v>6.17</v>
      </c>
      <c r="AA21" s="12">
        <v>6.42</v>
      </c>
      <c r="AB21" s="115">
        <v>301600</v>
      </c>
      <c r="AC21" s="12">
        <v>6.42</v>
      </c>
      <c r="AD21" s="2">
        <f t="shared" si="1"/>
        <v>0.45000000000000018</v>
      </c>
      <c r="AE21" s="165">
        <f t="shared" si="2"/>
        <v>2.8846153846153744E-2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42390</v>
      </c>
      <c r="X22" s="12">
        <v>6.22</v>
      </c>
      <c r="Y22" s="12">
        <v>6.4</v>
      </c>
      <c r="Z22" s="12">
        <v>5.92</v>
      </c>
      <c r="AA22" s="12">
        <v>6.24</v>
      </c>
      <c r="AB22" s="115">
        <v>332000</v>
      </c>
      <c r="AC22" s="12">
        <v>6.24</v>
      </c>
      <c r="AD22" s="2">
        <f t="shared" si="1"/>
        <v>0.48000000000000043</v>
      </c>
      <c r="AE22" s="165">
        <f t="shared" si="2"/>
        <v>9.7087378640776656E-3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42389</v>
      </c>
      <c r="X23" s="12">
        <v>5.58</v>
      </c>
      <c r="Y23" s="12">
        <v>6.29</v>
      </c>
      <c r="Z23" s="12">
        <v>5.41</v>
      </c>
      <c r="AA23" s="12">
        <v>6.18</v>
      </c>
      <c r="AB23" s="115">
        <v>513500</v>
      </c>
      <c r="AC23" s="12">
        <v>6.18</v>
      </c>
      <c r="AD23" s="2">
        <f t="shared" si="1"/>
        <v>0.87999999999999989</v>
      </c>
      <c r="AE23" s="165">
        <f t="shared" si="2"/>
        <v>7.4782608695652231E-2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42388</v>
      </c>
      <c r="X24" s="12">
        <v>6.18</v>
      </c>
      <c r="Y24" s="12">
        <v>6.33</v>
      </c>
      <c r="Z24" s="12">
        <v>5.54</v>
      </c>
      <c r="AA24" s="12">
        <v>5.75</v>
      </c>
      <c r="AB24" s="115">
        <v>405300</v>
      </c>
      <c r="AC24" s="12">
        <v>5.75</v>
      </c>
      <c r="AD24" s="2">
        <f t="shared" si="1"/>
        <v>0.79</v>
      </c>
      <c r="AE24" s="165">
        <f t="shared" si="2"/>
        <v>-5.2718286655683788E-2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42384</v>
      </c>
      <c r="X25" s="12">
        <v>5.79</v>
      </c>
      <c r="Y25" s="12">
        <v>6.09</v>
      </c>
      <c r="Z25" s="12">
        <v>5.73</v>
      </c>
      <c r="AA25" s="12">
        <v>6.07</v>
      </c>
      <c r="AB25" s="115">
        <v>361200</v>
      </c>
      <c r="AC25" s="12">
        <v>6.07</v>
      </c>
      <c r="AD25" s="2">
        <f t="shared" si="1"/>
        <v>0.35999999999999943</v>
      </c>
      <c r="AE25" s="165">
        <f t="shared" si="2"/>
        <v>1.1666666666666714E-2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42383</v>
      </c>
      <c r="X26" s="12">
        <v>6.11</v>
      </c>
      <c r="Y26" s="12">
        <v>6.2</v>
      </c>
      <c r="Z26" s="12">
        <v>5.72</v>
      </c>
      <c r="AA26" s="12">
        <v>6</v>
      </c>
      <c r="AB26" s="115">
        <v>536500</v>
      </c>
      <c r="AC26" s="12">
        <v>6</v>
      </c>
      <c r="AD26" s="2">
        <f t="shared" si="1"/>
        <v>0.48000000000000043</v>
      </c>
      <c r="AE26" s="165">
        <f t="shared" si="2"/>
        <v>-3.3222591362125353E-3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42382</v>
      </c>
      <c r="X27" s="12">
        <v>6.37</v>
      </c>
      <c r="Y27" s="12">
        <v>6.39</v>
      </c>
      <c r="Z27" s="12">
        <v>5.98</v>
      </c>
      <c r="AA27" s="12">
        <v>6.02</v>
      </c>
      <c r="AB27" s="115">
        <v>577200</v>
      </c>
      <c r="AC27" s="12">
        <v>6.02</v>
      </c>
      <c r="AD27" s="2">
        <f t="shared" si="1"/>
        <v>0.40999999999999925</v>
      </c>
      <c r="AE27" s="165">
        <f t="shared" si="2"/>
        <v>-4.8973143759873716E-2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42381</v>
      </c>
      <c r="X28" s="12">
        <v>6.77</v>
      </c>
      <c r="Y28" s="12">
        <v>7.01</v>
      </c>
      <c r="Z28" s="12">
        <v>6.06</v>
      </c>
      <c r="AA28" s="12">
        <v>6.33</v>
      </c>
      <c r="AB28" s="115">
        <v>445700</v>
      </c>
      <c r="AC28" s="12">
        <v>6.33</v>
      </c>
      <c r="AD28" s="2">
        <f t="shared" si="1"/>
        <v>0.95000000000000018</v>
      </c>
      <c r="AE28" s="165">
        <f t="shared" si="2"/>
        <v>-4.8120300751879785E-2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42380</v>
      </c>
      <c r="X29" s="12">
        <v>7.32</v>
      </c>
      <c r="Y29" s="12">
        <v>7.32</v>
      </c>
      <c r="Z29" s="12">
        <v>6.46</v>
      </c>
      <c r="AA29" s="12">
        <v>6.65</v>
      </c>
      <c r="AB29" s="115">
        <v>363300</v>
      </c>
      <c r="AC29" s="12">
        <v>6.65</v>
      </c>
      <c r="AD29" s="2">
        <f t="shared" si="1"/>
        <v>0.86000000000000032</v>
      </c>
      <c r="AE29" s="165">
        <f t="shared" si="2"/>
        <v>-8.6538461538461564E-2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42377</v>
      </c>
      <c r="X30" s="12">
        <v>7.6</v>
      </c>
      <c r="Y30" s="12">
        <v>7.83</v>
      </c>
      <c r="Z30" s="12">
        <v>7.17</v>
      </c>
      <c r="AA30" s="12">
        <v>7.28</v>
      </c>
      <c r="AB30" s="115">
        <v>385000</v>
      </c>
      <c r="AC30" s="12">
        <v>7.28</v>
      </c>
      <c r="AD30" s="2">
        <f t="shared" si="1"/>
        <v>0.66000000000000014</v>
      </c>
      <c r="AE30" s="165">
        <f t="shared" si="2"/>
        <v>-3.0625832223701632E-2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42376</v>
      </c>
      <c r="X31" s="12">
        <v>7.74</v>
      </c>
      <c r="Y31" s="12">
        <v>8.2200000000000006</v>
      </c>
      <c r="Z31" s="12">
        <v>7.26</v>
      </c>
      <c r="AA31" s="12">
        <v>7.51</v>
      </c>
      <c r="AB31" s="115">
        <v>282400</v>
      </c>
      <c r="AC31" s="12">
        <v>7.51</v>
      </c>
      <c r="AD31" s="2">
        <f t="shared" si="1"/>
        <v>0.96000000000000085</v>
      </c>
      <c r="AE31" s="165">
        <f t="shared" si="2"/>
        <v>-5.5345911949685633E-2</v>
      </c>
    </row>
    <row r="32" spans="2:31" x14ac:dyDescent="0.25">
      <c r="W32" s="160">
        <v>42375</v>
      </c>
      <c r="X32" s="12">
        <v>8.64</v>
      </c>
      <c r="Y32" s="12">
        <v>8.64</v>
      </c>
      <c r="Z32" s="12">
        <v>7.82</v>
      </c>
      <c r="AA32" s="12">
        <v>7.95</v>
      </c>
      <c r="AB32" s="115">
        <v>306600</v>
      </c>
      <c r="AC32" s="12">
        <v>7.95</v>
      </c>
      <c r="AD32" s="2">
        <f t="shared" si="1"/>
        <v>0.82000000000000028</v>
      </c>
      <c r="AE32" s="165">
        <f t="shared" si="2"/>
        <v>-9.6590909090909172E-2</v>
      </c>
    </row>
    <row r="33" spans="15:31" x14ac:dyDescent="0.25">
      <c r="W33" s="160">
        <v>42374</v>
      </c>
      <c r="X33" s="12">
        <v>8.75</v>
      </c>
      <c r="Y33" s="12">
        <v>8.9600000000000009</v>
      </c>
      <c r="Z33" s="12">
        <v>8.4700000000000006</v>
      </c>
      <c r="AA33" s="12">
        <v>8.8000000000000007</v>
      </c>
      <c r="AB33" s="115">
        <v>157700</v>
      </c>
      <c r="AC33" s="12">
        <v>8.8000000000000007</v>
      </c>
      <c r="AD33" s="2">
        <f t="shared" si="1"/>
        <v>0.49000000000000021</v>
      </c>
      <c r="AE33" s="165">
        <f t="shared" si="2"/>
        <v>1.2658227848101333E-2</v>
      </c>
    </row>
    <row r="34" spans="15:31" x14ac:dyDescent="0.25">
      <c r="W34" s="160">
        <v>42373</v>
      </c>
      <c r="X34" s="12">
        <v>9.33</v>
      </c>
      <c r="Y34" s="12">
        <v>9.3699999999999992</v>
      </c>
      <c r="Z34" s="12">
        <v>8.5299999999999994</v>
      </c>
      <c r="AA34" s="12">
        <v>8.69</v>
      </c>
      <c r="AB34" s="115">
        <v>298400</v>
      </c>
      <c r="AC34" s="12">
        <v>8.69</v>
      </c>
      <c r="AD34" s="2">
        <f t="shared" si="1"/>
        <v>0.83999999999999986</v>
      </c>
      <c r="AE34" s="165">
        <f t="shared" si="2"/>
        <v>-8.7184873949579855E-2</v>
      </c>
    </row>
    <row r="35" spans="15:31" x14ac:dyDescent="0.25">
      <c r="W35" s="160">
        <v>42369</v>
      </c>
      <c r="X35" s="12">
        <v>9.43</v>
      </c>
      <c r="Y35" s="12">
        <v>9.59</v>
      </c>
      <c r="Z35" s="12">
        <v>9.36</v>
      </c>
      <c r="AA35" s="12">
        <v>9.52</v>
      </c>
      <c r="AB35" s="115">
        <v>238100</v>
      </c>
      <c r="AC35" s="12">
        <v>9.52</v>
      </c>
      <c r="AD35" s="2">
        <f t="shared" si="1"/>
        <v>0.23000000000000043</v>
      </c>
      <c r="AE35" s="165">
        <f t="shared" si="2"/>
        <v>7.4074074074075291E-3</v>
      </c>
    </row>
    <row r="36" spans="15:31" x14ac:dyDescent="0.25">
      <c r="W36" s="160">
        <v>42368</v>
      </c>
      <c r="X36" s="12">
        <v>9.73</v>
      </c>
      <c r="Y36" s="12">
        <v>9.84</v>
      </c>
      <c r="Z36" s="12">
        <v>9.3699999999999992</v>
      </c>
      <c r="AA36" s="12">
        <v>9.4499999999999993</v>
      </c>
      <c r="AB36" s="115">
        <v>184500</v>
      </c>
      <c r="AC36" s="12">
        <v>9.4499999999999993</v>
      </c>
      <c r="AD36" s="2">
        <f t="shared" si="1"/>
        <v>0.47000000000000064</v>
      </c>
      <c r="AE36" s="165">
        <f t="shared" si="2"/>
        <v>-2.6776519052523318E-2</v>
      </c>
    </row>
    <row r="37" spans="15:31" x14ac:dyDescent="0.25">
      <c r="W37" s="160">
        <v>42367</v>
      </c>
      <c r="X37" s="12">
        <v>9.34</v>
      </c>
      <c r="Y37" s="12">
        <v>9.75</v>
      </c>
      <c r="Z37" s="12">
        <v>9.26</v>
      </c>
      <c r="AA37" s="12">
        <v>9.7100000000000009</v>
      </c>
      <c r="AB37" s="115">
        <v>284300</v>
      </c>
      <c r="AC37" s="12">
        <v>9.7100000000000009</v>
      </c>
      <c r="AD37" s="2">
        <f t="shared" si="1"/>
        <v>0.49000000000000021</v>
      </c>
      <c r="AE37" s="165">
        <f t="shared" si="2"/>
        <v>4.8596112311015238E-2</v>
      </c>
    </row>
    <row r="38" spans="15:31" x14ac:dyDescent="0.25">
      <c r="W38" s="160">
        <v>42366</v>
      </c>
      <c r="X38" s="12">
        <v>9.43</v>
      </c>
      <c r="Y38" s="12">
        <v>9.5</v>
      </c>
      <c r="Z38" s="12">
        <v>9.11</v>
      </c>
      <c r="AA38" s="12">
        <v>9.26</v>
      </c>
      <c r="AB38" s="115">
        <v>181400</v>
      </c>
      <c r="AC38" s="12">
        <v>9.26</v>
      </c>
      <c r="AD38" s="2">
        <f t="shared" si="1"/>
        <v>0.39000000000000057</v>
      </c>
      <c r="AE38" s="165">
        <f t="shared" si="2"/>
        <v>-3.0366492146596924E-2</v>
      </c>
    </row>
    <row r="39" spans="15:31" x14ac:dyDescent="0.25">
      <c r="W39" s="160">
        <v>42362</v>
      </c>
      <c r="X39" s="12">
        <v>9.3699999999999992</v>
      </c>
      <c r="Y39" s="12">
        <v>9.6199999999999992</v>
      </c>
      <c r="Z39" s="12">
        <v>9.36</v>
      </c>
      <c r="AA39" s="12">
        <v>9.5500000000000007</v>
      </c>
      <c r="AB39" s="115">
        <v>129700</v>
      </c>
      <c r="AC39" s="12">
        <v>9.5500000000000007</v>
      </c>
      <c r="AD39" s="2">
        <f t="shared" si="1"/>
        <v>0.25999999999999979</v>
      </c>
      <c r="AE39" s="165">
        <f t="shared" si="2"/>
        <v>2.5778732545649774E-2</v>
      </c>
    </row>
    <row r="40" spans="15:31" ht="20.25" thickBot="1" x14ac:dyDescent="0.35">
      <c r="P40" s="195" t="s">
        <v>78</v>
      </c>
      <c r="Q40" s="195"/>
      <c r="T40" s="111" t="s">
        <v>121</v>
      </c>
      <c r="W40" s="160">
        <v>42361</v>
      </c>
      <c r="X40" s="12">
        <v>9.34</v>
      </c>
      <c r="Y40" s="12">
        <v>9.52</v>
      </c>
      <c r="Z40" s="12">
        <v>9.16</v>
      </c>
      <c r="AA40" s="12">
        <v>9.31</v>
      </c>
      <c r="AB40" s="115">
        <v>149600</v>
      </c>
      <c r="AC40" s="12">
        <v>9.31</v>
      </c>
      <c r="AD40" s="2">
        <f t="shared" si="1"/>
        <v>0.35999999999999943</v>
      </c>
      <c r="AE40" s="165">
        <f t="shared" si="2"/>
        <v>4.3149946062568389E-3</v>
      </c>
    </row>
    <row r="41" spans="15:31" ht="15.75" thickTop="1" x14ac:dyDescent="0.25">
      <c r="P41" s="103">
        <v>1.1000000000000001</v>
      </c>
      <c r="Q41" s="103">
        <f>P41*$Q$4</f>
        <v>6.0500000000000007</v>
      </c>
      <c r="T41" s="155" t="s">
        <v>106</v>
      </c>
      <c r="U41" s="118">
        <v>5.25</v>
      </c>
      <c r="W41" s="160">
        <v>42360</v>
      </c>
      <c r="X41" s="12">
        <v>9.7100000000000009</v>
      </c>
      <c r="Y41" s="12">
        <v>9.7799999999999994</v>
      </c>
      <c r="Z41" s="12">
        <v>9.15</v>
      </c>
      <c r="AA41" s="12">
        <v>9.27</v>
      </c>
      <c r="AB41" s="115">
        <v>222300</v>
      </c>
      <c r="AC41" s="12">
        <v>9.27</v>
      </c>
      <c r="AD41" s="2">
        <f t="shared" si="1"/>
        <v>0.62999999999999901</v>
      </c>
      <c r="AE41" s="165">
        <f t="shared" si="2"/>
        <v>-4.3343653250773939E-2</v>
      </c>
    </row>
    <row r="42" spans="15:31" x14ac:dyDescent="0.25">
      <c r="P42" s="103">
        <v>1.0900000000000001</v>
      </c>
      <c r="Q42" s="103">
        <f t="shared" ref="Q42:Q61" si="4">P42*$Q$4</f>
        <v>5.9950000000000001</v>
      </c>
      <c r="T42" s="113" t="s">
        <v>107</v>
      </c>
      <c r="U42" s="108">
        <v>5.2</v>
      </c>
      <c r="W42" s="160">
        <v>42359</v>
      </c>
      <c r="X42" s="12">
        <v>9.31</v>
      </c>
      <c r="Y42" s="12">
        <v>9.69</v>
      </c>
      <c r="Z42" s="12">
        <v>8.99</v>
      </c>
      <c r="AA42" s="12">
        <v>9.69</v>
      </c>
      <c r="AB42" s="115">
        <v>231000</v>
      </c>
      <c r="AC42" s="12">
        <v>9.69</v>
      </c>
      <c r="AD42" s="2">
        <f t="shared" si="1"/>
        <v>0.69999999999999929</v>
      </c>
      <c r="AE42" s="165">
        <f t="shared" si="2"/>
        <v>4.9837486457204649E-2</v>
      </c>
    </row>
    <row r="43" spans="15:31" x14ac:dyDescent="0.25">
      <c r="P43" s="103">
        <v>1.08</v>
      </c>
      <c r="Q43" s="103">
        <f t="shared" si="4"/>
        <v>5.94</v>
      </c>
      <c r="T43" s="113" t="s">
        <v>108</v>
      </c>
      <c r="U43" s="108" t="s">
        <v>145</v>
      </c>
      <c r="W43" s="160">
        <v>42356</v>
      </c>
      <c r="X43" s="12">
        <v>8.9</v>
      </c>
      <c r="Y43" s="12">
        <v>9.49</v>
      </c>
      <c r="Z43" s="12">
        <v>8.9</v>
      </c>
      <c r="AA43" s="12">
        <v>9.23</v>
      </c>
      <c r="AB43" s="115">
        <v>391800</v>
      </c>
      <c r="AC43" s="12">
        <v>9.23</v>
      </c>
      <c r="AD43" s="2">
        <f t="shared" si="1"/>
        <v>0.58999999999999986</v>
      </c>
      <c r="AE43" s="165">
        <f t="shared" si="2"/>
        <v>3.7078651685393371E-2</v>
      </c>
    </row>
    <row r="44" spans="15:31" x14ac:dyDescent="0.25">
      <c r="P44" s="103">
        <v>1.07</v>
      </c>
      <c r="Q44" s="103">
        <f t="shared" si="4"/>
        <v>5.8850000000000007</v>
      </c>
      <c r="T44" s="113" t="s">
        <v>109</v>
      </c>
      <c r="U44" s="108" t="s">
        <v>445</v>
      </c>
      <c r="W44" s="160">
        <v>42355</v>
      </c>
      <c r="X44" s="12">
        <v>9.1199999999999992</v>
      </c>
      <c r="Y44" s="12">
        <v>9.24</v>
      </c>
      <c r="Z44" s="12">
        <v>8.76</v>
      </c>
      <c r="AA44" s="12">
        <v>8.9</v>
      </c>
      <c r="AB44" s="115">
        <v>185400</v>
      </c>
      <c r="AC44" s="12">
        <v>8.9</v>
      </c>
      <c r="AD44" s="2">
        <f t="shared" si="1"/>
        <v>0.48000000000000043</v>
      </c>
      <c r="AE44" s="165">
        <f t="shared" si="2"/>
        <v>-2.0902090209020896E-2</v>
      </c>
    </row>
    <row r="45" spans="15:31" x14ac:dyDescent="0.25">
      <c r="O45" s="2"/>
      <c r="P45" s="103">
        <v>1.06</v>
      </c>
      <c r="Q45" s="103">
        <f t="shared" si="4"/>
        <v>5.83</v>
      </c>
      <c r="T45" s="113" t="s">
        <v>110</v>
      </c>
      <c r="U45" s="108">
        <v>14.83</v>
      </c>
      <c r="W45" s="160">
        <v>42354</v>
      </c>
      <c r="X45" s="12">
        <v>8.9</v>
      </c>
      <c r="Y45" s="12">
        <v>9.1999999999999993</v>
      </c>
      <c r="Z45" s="12">
        <v>8.6300000000000008</v>
      </c>
      <c r="AA45" s="12">
        <v>9.09</v>
      </c>
      <c r="AB45" s="115">
        <v>236500</v>
      </c>
      <c r="AC45" s="12">
        <v>9.09</v>
      </c>
      <c r="AD45" s="2">
        <f t="shared" si="1"/>
        <v>0.56999999999999851</v>
      </c>
      <c r="AE45" s="165">
        <f t="shared" si="2"/>
        <v>2.7118644067796627E-2</v>
      </c>
    </row>
    <row r="46" spans="15:31" x14ac:dyDescent="0.25">
      <c r="O46" s="2"/>
      <c r="P46" s="103">
        <v>1.05</v>
      </c>
      <c r="Q46" s="103">
        <f t="shared" si="4"/>
        <v>5.7750000000000004</v>
      </c>
      <c r="T46" s="113" t="s">
        <v>111</v>
      </c>
      <c r="U46" s="108" t="s">
        <v>145</v>
      </c>
      <c r="W46" s="160">
        <v>42353</v>
      </c>
      <c r="X46" s="12">
        <v>8.51</v>
      </c>
      <c r="Y46" s="12">
        <v>9.01</v>
      </c>
      <c r="Z46" s="12">
        <v>8.43</v>
      </c>
      <c r="AA46" s="12">
        <v>8.85</v>
      </c>
      <c r="AB46" s="115">
        <v>187000</v>
      </c>
      <c r="AC46" s="12">
        <v>8.85</v>
      </c>
      <c r="AD46" s="2">
        <f t="shared" si="1"/>
        <v>0.58000000000000007</v>
      </c>
      <c r="AE46" s="165">
        <f t="shared" si="2"/>
        <v>5.8612440191387671E-2</v>
      </c>
    </row>
    <row r="47" spans="15:31" x14ac:dyDescent="0.25">
      <c r="O47" s="2"/>
      <c r="P47" s="103">
        <v>1.04</v>
      </c>
      <c r="Q47" s="103">
        <f t="shared" si="4"/>
        <v>5.7200000000000006</v>
      </c>
      <c r="T47" s="113" t="s">
        <v>131</v>
      </c>
      <c r="U47" s="108" t="s">
        <v>282</v>
      </c>
      <c r="W47" s="160">
        <v>42352</v>
      </c>
      <c r="X47" s="12">
        <v>8.5</v>
      </c>
      <c r="Y47" s="12">
        <v>8.6999999999999993</v>
      </c>
      <c r="Z47" s="12">
        <v>8.2899999999999991</v>
      </c>
      <c r="AA47" s="12">
        <v>8.36</v>
      </c>
      <c r="AB47" s="115">
        <v>201200</v>
      </c>
      <c r="AC47" s="12">
        <v>8.36</v>
      </c>
      <c r="AD47" s="2">
        <f t="shared" si="1"/>
        <v>0.41000000000000014</v>
      </c>
      <c r="AE47" s="165">
        <f t="shared" si="2"/>
        <v>-2.1077283372365363E-2</v>
      </c>
    </row>
    <row r="48" spans="15:31" x14ac:dyDescent="0.25">
      <c r="O48" s="2"/>
      <c r="P48" s="103">
        <v>1.03</v>
      </c>
      <c r="Q48" s="103">
        <f t="shared" si="4"/>
        <v>5.665</v>
      </c>
      <c r="T48" s="113"/>
      <c r="U48" s="108"/>
      <c r="W48" s="160">
        <v>42349</v>
      </c>
      <c r="X48" s="12">
        <v>9.15</v>
      </c>
      <c r="Y48" s="12">
        <v>9.15</v>
      </c>
      <c r="Z48" s="12">
        <v>8.4499999999999993</v>
      </c>
      <c r="AA48" s="12">
        <v>8.5399999999999991</v>
      </c>
      <c r="AB48" s="115">
        <v>258100</v>
      </c>
      <c r="AC48" s="12">
        <v>8.5399999999999991</v>
      </c>
      <c r="AD48" s="2">
        <f t="shared" si="1"/>
        <v>0.70000000000000107</v>
      </c>
      <c r="AE48" s="165">
        <f t="shared" si="2"/>
        <v>-5.6353591160221206E-2</v>
      </c>
    </row>
    <row r="49" spans="15:31" x14ac:dyDescent="0.25">
      <c r="O49" s="2"/>
      <c r="P49" s="103">
        <v>1.02</v>
      </c>
      <c r="Q49" s="103">
        <f t="shared" si="4"/>
        <v>5.61</v>
      </c>
      <c r="T49" s="113" t="s">
        <v>113</v>
      </c>
      <c r="U49" s="108" t="s">
        <v>446</v>
      </c>
      <c r="W49" s="160">
        <v>42348</v>
      </c>
      <c r="X49" s="12">
        <v>9.02</v>
      </c>
      <c r="Y49" s="12">
        <v>9.2200000000000006</v>
      </c>
      <c r="Z49" s="12">
        <v>8.91</v>
      </c>
      <c r="AA49" s="12">
        <v>9.0500000000000007</v>
      </c>
      <c r="AB49" s="115">
        <v>171000</v>
      </c>
      <c r="AC49" s="12">
        <v>9.0500000000000007</v>
      </c>
      <c r="AD49" s="2">
        <f t="shared" si="1"/>
        <v>0.3100000000000005</v>
      </c>
      <c r="AE49" s="165">
        <f t="shared" si="2"/>
        <v>1.1061946902657382E-3</v>
      </c>
    </row>
    <row r="50" spans="15:31" x14ac:dyDescent="0.25">
      <c r="O50" s="2"/>
      <c r="P50" s="103">
        <v>1.01</v>
      </c>
      <c r="Q50" s="103">
        <f t="shared" si="4"/>
        <v>5.5549999999999997</v>
      </c>
      <c r="T50" s="113" t="s">
        <v>114</v>
      </c>
      <c r="U50" s="108" t="s">
        <v>318</v>
      </c>
      <c r="W50" s="160">
        <v>42347</v>
      </c>
      <c r="X50" s="12">
        <v>9.23</v>
      </c>
      <c r="Y50" s="12">
        <v>9.4</v>
      </c>
      <c r="Z50" s="12">
        <v>8.9499999999999993</v>
      </c>
      <c r="AA50" s="12">
        <v>9.0399999999999991</v>
      </c>
      <c r="AB50" s="115">
        <v>218200</v>
      </c>
      <c r="AC50" s="12">
        <v>9.0399999999999991</v>
      </c>
      <c r="AD50" s="2">
        <f t="shared" si="1"/>
        <v>0.45000000000000107</v>
      </c>
      <c r="AE50" s="165">
        <f t="shared" si="2"/>
        <v>-2.6910656620021567E-2</v>
      </c>
    </row>
    <row r="51" spans="15:31" x14ac:dyDescent="0.25">
      <c r="O51" s="2"/>
      <c r="P51" s="103">
        <v>1</v>
      </c>
      <c r="Q51" s="103">
        <f t="shared" si="4"/>
        <v>5.5</v>
      </c>
      <c r="T51" s="113" t="s">
        <v>115</v>
      </c>
      <c r="U51" s="110">
        <v>451256</v>
      </c>
      <c r="W51" s="160">
        <v>42346</v>
      </c>
      <c r="X51" s="12">
        <v>8.8000000000000007</v>
      </c>
      <c r="Y51" s="12">
        <v>9.42</v>
      </c>
      <c r="Z51" s="12">
        <v>8.8000000000000007</v>
      </c>
      <c r="AA51" s="12">
        <v>9.2899999999999991</v>
      </c>
      <c r="AB51" s="115">
        <v>189000</v>
      </c>
      <c r="AC51" s="12">
        <v>9.2899999999999991</v>
      </c>
      <c r="AD51" s="2">
        <f t="shared" si="1"/>
        <v>0.61999999999999922</v>
      </c>
      <c r="AE51" s="165">
        <f t="shared" si="2"/>
        <v>4.031354983202684E-2</v>
      </c>
    </row>
    <row r="52" spans="15:31" x14ac:dyDescent="0.25">
      <c r="O52" s="2"/>
      <c r="P52" s="103">
        <v>0.99</v>
      </c>
      <c r="Q52" s="103">
        <f t="shared" si="4"/>
        <v>5.4450000000000003</v>
      </c>
      <c r="T52" s="113" t="s">
        <v>118</v>
      </c>
      <c r="U52" s="110">
        <v>366833</v>
      </c>
      <c r="W52" s="160">
        <v>42345</v>
      </c>
      <c r="X52" s="12">
        <v>9.3800000000000008</v>
      </c>
      <c r="Y52" s="12">
        <v>9.3800000000000008</v>
      </c>
      <c r="Z52" s="12">
        <v>8.82</v>
      </c>
      <c r="AA52" s="12">
        <v>8.93</v>
      </c>
      <c r="AB52" s="115">
        <v>214700</v>
      </c>
      <c r="AC52" s="12">
        <v>8.93</v>
      </c>
      <c r="AD52" s="2">
        <f t="shared" si="1"/>
        <v>0.5600000000000005</v>
      </c>
      <c r="AE52" s="165">
        <f t="shared" si="2"/>
        <v>-4.7974413646055591E-2</v>
      </c>
    </row>
    <row r="53" spans="15:31" x14ac:dyDescent="0.25">
      <c r="O53" s="2"/>
      <c r="P53" s="103">
        <v>0.98</v>
      </c>
      <c r="Q53" s="103">
        <f t="shared" si="4"/>
        <v>5.39</v>
      </c>
      <c r="T53" s="113" t="s">
        <v>116</v>
      </c>
      <c r="U53" s="108" t="s">
        <v>447</v>
      </c>
      <c r="W53" s="160">
        <v>42342</v>
      </c>
      <c r="X53" s="12">
        <v>9.2899999999999991</v>
      </c>
      <c r="Y53" s="12">
        <v>9.56</v>
      </c>
      <c r="Z53" s="12">
        <v>9.19</v>
      </c>
      <c r="AA53" s="12">
        <v>9.3800000000000008</v>
      </c>
      <c r="AB53" s="115">
        <v>207700</v>
      </c>
      <c r="AC53" s="12">
        <v>9.3800000000000008</v>
      </c>
      <c r="AD53" s="2">
        <f t="shared" si="1"/>
        <v>0.37000000000000099</v>
      </c>
      <c r="AE53" s="165">
        <f t="shared" si="2"/>
        <v>1.5151515151515138E-2</v>
      </c>
    </row>
    <row r="54" spans="15:31" x14ac:dyDescent="0.25">
      <c r="O54" s="2"/>
      <c r="P54" s="103">
        <v>0.97</v>
      </c>
      <c r="Q54" s="103">
        <f t="shared" si="4"/>
        <v>5.335</v>
      </c>
      <c r="T54" s="113" t="s">
        <v>119</v>
      </c>
      <c r="U54" s="108" t="s">
        <v>145</v>
      </c>
      <c r="W54" s="160">
        <v>42341</v>
      </c>
      <c r="X54" s="12">
        <v>10.050000000000001</v>
      </c>
      <c r="Y54" s="12">
        <v>10.119999999999999</v>
      </c>
      <c r="Z54" s="12">
        <v>9.14</v>
      </c>
      <c r="AA54" s="12">
        <v>9.24</v>
      </c>
      <c r="AB54" s="115">
        <v>270000</v>
      </c>
      <c r="AC54" s="12">
        <v>9.24</v>
      </c>
      <c r="AD54" s="2">
        <f t="shared" si="1"/>
        <v>0.97999999999999865</v>
      </c>
      <c r="AE54" s="165">
        <f t="shared" si="2"/>
        <v>-7.7844311377245456E-2</v>
      </c>
    </row>
    <row r="55" spans="15:31" x14ac:dyDescent="0.25">
      <c r="O55" s="2"/>
      <c r="P55" s="103">
        <v>0.96</v>
      </c>
      <c r="Q55" s="103">
        <f t="shared" si="4"/>
        <v>5.2799999999999994</v>
      </c>
      <c r="T55" s="113" t="s">
        <v>120</v>
      </c>
      <c r="U55" s="108">
        <v>-1.77</v>
      </c>
      <c r="W55" s="160">
        <v>42340</v>
      </c>
      <c r="X55" s="12">
        <v>9.9499999999999993</v>
      </c>
      <c r="Y55" s="12">
        <v>10.31</v>
      </c>
      <c r="Z55" s="12">
        <v>9.77</v>
      </c>
      <c r="AA55" s="12">
        <v>10.02</v>
      </c>
      <c r="AB55" s="115">
        <v>266900</v>
      </c>
      <c r="AC55" s="12">
        <v>10.02</v>
      </c>
      <c r="AD55" s="2">
        <f t="shared" si="1"/>
        <v>0.54000000000000092</v>
      </c>
      <c r="AE55" s="165">
        <f t="shared" si="2"/>
        <v>8.0482897384306362E-3</v>
      </c>
    </row>
    <row r="56" spans="15:31" x14ac:dyDescent="0.25">
      <c r="O56" s="2"/>
      <c r="P56" s="103">
        <v>0.95</v>
      </c>
      <c r="Q56" s="103">
        <f t="shared" si="4"/>
        <v>5.2249999999999996</v>
      </c>
      <c r="T56" s="113" t="s">
        <v>117</v>
      </c>
      <c r="U56" s="108" t="s">
        <v>132</v>
      </c>
      <c r="W56" s="160">
        <v>42339</v>
      </c>
      <c r="X56" s="12">
        <v>10.54</v>
      </c>
      <c r="Y56" s="12">
        <v>10.68</v>
      </c>
      <c r="Z56" s="12">
        <v>9.73</v>
      </c>
      <c r="AA56" s="12">
        <v>9.94</v>
      </c>
      <c r="AB56" s="115">
        <v>367700</v>
      </c>
      <c r="AC56" s="12">
        <v>9.94</v>
      </c>
      <c r="AD56" s="2">
        <f t="shared" si="1"/>
        <v>0.94999999999999929</v>
      </c>
      <c r="AE56" s="165">
        <f t="shared" si="2"/>
        <v>-5.1526717557252022E-2</v>
      </c>
    </row>
    <row r="57" spans="15:31" x14ac:dyDescent="0.25">
      <c r="O57" s="2"/>
      <c r="P57" s="103">
        <v>0.94</v>
      </c>
      <c r="Q57" s="103">
        <f t="shared" si="4"/>
        <v>5.17</v>
      </c>
      <c r="W57" s="160">
        <v>42338</v>
      </c>
      <c r="X57" s="12">
        <v>10.14</v>
      </c>
      <c r="Y57" s="12">
        <v>10.69</v>
      </c>
      <c r="Z57" s="12">
        <v>10.06</v>
      </c>
      <c r="AA57" s="12">
        <v>10.48</v>
      </c>
      <c r="AB57" s="115">
        <v>609700</v>
      </c>
      <c r="AC57" s="12">
        <v>10.48</v>
      </c>
      <c r="AD57" s="2">
        <f t="shared" si="1"/>
        <v>0.62999999999999901</v>
      </c>
      <c r="AE57" s="165">
        <f t="shared" si="2"/>
        <v>3.7623762376237657E-2</v>
      </c>
    </row>
    <row r="58" spans="15:31" x14ac:dyDescent="0.25">
      <c r="P58" s="103">
        <v>0.93</v>
      </c>
      <c r="Q58" s="103">
        <f t="shared" si="4"/>
        <v>5.1150000000000002</v>
      </c>
      <c r="W58" s="160">
        <v>42335</v>
      </c>
      <c r="X58" s="12">
        <v>9.99</v>
      </c>
      <c r="Y58" s="12">
        <v>10.33</v>
      </c>
      <c r="Z58" s="12">
        <v>9.94</v>
      </c>
      <c r="AA58" s="12">
        <v>10.1</v>
      </c>
      <c r="AB58" s="115">
        <v>270700</v>
      </c>
      <c r="AC58" s="12">
        <v>10.1</v>
      </c>
      <c r="AD58" s="2">
        <f t="shared" si="1"/>
        <v>0.39000000000000057</v>
      </c>
      <c r="AE58" s="165">
        <f t="shared" si="2"/>
        <v>1.5075376884422065E-2</v>
      </c>
    </row>
    <row r="59" spans="15:31" x14ac:dyDescent="0.25">
      <c r="P59" s="103">
        <v>0.92</v>
      </c>
      <c r="Q59" s="103">
        <f t="shared" si="4"/>
        <v>5.0600000000000005</v>
      </c>
      <c r="W59" s="160">
        <v>42333</v>
      </c>
      <c r="X59" s="12">
        <v>9.5500000000000007</v>
      </c>
      <c r="Y59" s="12">
        <v>9.9600000000000009</v>
      </c>
      <c r="Z59" s="12">
        <v>9.48</v>
      </c>
      <c r="AA59" s="12">
        <v>9.9499999999999993</v>
      </c>
      <c r="AB59" s="115">
        <v>409200</v>
      </c>
      <c r="AC59" s="12">
        <v>9.9499999999999993</v>
      </c>
      <c r="AD59" s="2">
        <f t="shared" si="1"/>
        <v>0.48000000000000043</v>
      </c>
      <c r="AE59" s="165">
        <f t="shared" si="2"/>
        <v>4.6267087276550933E-2</v>
      </c>
    </row>
    <row r="60" spans="15:31" x14ac:dyDescent="0.25">
      <c r="P60" s="103">
        <v>0.91</v>
      </c>
      <c r="Q60" s="103">
        <f t="shared" si="4"/>
        <v>5.0049999999999999</v>
      </c>
      <c r="W60" s="160">
        <v>42332</v>
      </c>
      <c r="X60" s="12">
        <v>9.07</v>
      </c>
      <c r="Y60" s="12">
        <v>9.59</v>
      </c>
      <c r="Z60" s="12">
        <v>8.98</v>
      </c>
      <c r="AA60" s="12">
        <v>9.51</v>
      </c>
      <c r="AB60" s="115">
        <v>362000</v>
      </c>
      <c r="AC60" s="12">
        <v>9.51</v>
      </c>
      <c r="AD60" s="2">
        <f t="shared" si="1"/>
        <v>0.60999999999999943</v>
      </c>
      <c r="AE60" s="165">
        <f t="shared" si="2"/>
        <v>3.9344262295081922E-2</v>
      </c>
    </row>
    <row r="61" spans="15:31" x14ac:dyDescent="0.25">
      <c r="P61" s="103">
        <v>0.9</v>
      </c>
      <c r="Q61" s="103">
        <f t="shared" si="4"/>
        <v>4.95</v>
      </c>
      <c r="W61" s="160">
        <v>42331</v>
      </c>
      <c r="X61" s="12">
        <v>8.69</v>
      </c>
      <c r="Y61" s="12">
        <v>9.17</v>
      </c>
      <c r="Z61" s="12">
        <v>8.64</v>
      </c>
      <c r="AA61" s="12">
        <v>9.15</v>
      </c>
      <c r="AB61" s="115">
        <v>320600</v>
      </c>
      <c r="AC61" s="12">
        <v>9.15</v>
      </c>
      <c r="AD61" s="2">
        <f t="shared" si="1"/>
        <v>0.52999999999999936</v>
      </c>
      <c r="AE61" s="165">
        <f t="shared" si="2"/>
        <v>5.0516647531572811E-2</v>
      </c>
    </row>
    <row r="62" spans="15:31" x14ac:dyDescent="0.25">
      <c r="W62" s="160">
        <v>42328</v>
      </c>
      <c r="X62" s="12">
        <v>8.5299999999999994</v>
      </c>
      <c r="Y62" s="12">
        <v>8.81</v>
      </c>
      <c r="Z62" s="12">
        <v>8.4</v>
      </c>
      <c r="AA62" s="12">
        <v>8.7100000000000009</v>
      </c>
      <c r="AB62" s="115">
        <v>303000</v>
      </c>
      <c r="AC62" s="12">
        <v>8.7100000000000009</v>
      </c>
      <c r="AD62" s="2">
        <f t="shared" si="1"/>
        <v>0.41000000000000014</v>
      </c>
      <c r="AE62" s="165">
        <f t="shared" si="2"/>
        <v>2.9550827423167947E-2</v>
      </c>
    </row>
    <row r="63" spans="15:31" x14ac:dyDescent="0.25">
      <c r="W63" s="160">
        <v>42327</v>
      </c>
      <c r="X63" s="12">
        <v>8.41</v>
      </c>
      <c r="Y63" s="12">
        <v>8.61</v>
      </c>
      <c r="Z63" s="12">
        <v>8.19</v>
      </c>
      <c r="AA63" s="12">
        <v>8.4600000000000009</v>
      </c>
      <c r="AB63" s="115">
        <v>403100</v>
      </c>
      <c r="AC63" s="12">
        <v>8.4600000000000009</v>
      </c>
      <c r="AD63" s="2">
        <f t="shared" si="1"/>
        <v>0.41999999999999993</v>
      </c>
      <c r="AE63" s="165">
        <f t="shared" si="2"/>
        <v>3.558718861210064E-3</v>
      </c>
    </row>
    <row r="64" spans="15:31" x14ac:dyDescent="0.25">
      <c r="W64" s="160">
        <v>42326</v>
      </c>
      <c r="X64" s="12">
        <v>7.75</v>
      </c>
      <c r="Y64" s="12">
        <v>8.48</v>
      </c>
      <c r="Z64" s="12">
        <v>7.75</v>
      </c>
      <c r="AA64" s="12">
        <v>8.43</v>
      </c>
      <c r="AB64" s="115">
        <v>603900</v>
      </c>
      <c r="AC64" s="12">
        <v>8.43</v>
      </c>
      <c r="AD64" s="2">
        <f t="shared" si="1"/>
        <v>0.73000000000000043</v>
      </c>
      <c r="AE64" s="165">
        <f t="shared" si="2"/>
        <v>8.7741935483870881E-2</v>
      </c>
    </row>
    <row r="65" spans="23:31" x14ac:dyDescent="0.25">
      <c r="W65" s="160">
        <v>42325</v>
      </c>
      <c r="X65" s="12">
        <v>7.87</v>
      </c>
      <c r="Y65" s="12">
        <v>8.1999999999999993</v>
      </c>
      <c r="Z65" s="12">
        <v>7.65</v>
      </c>
      <c r="AA65" s="12">
        <v>7.75</v>
      </c>
      <c r="AB65" s="115">
        <v>226300</v>
      </c>
      <c r="AC65" s="12">
        <v>7.75</v>
      </c>
      <c r="AD65" s="2">
        <f t="shared" si="1"/>
        <v>0.54999999999999893</v>
      </c>
      <c r="AE65" s="165">
        <f t="shared" si="2"/>
        <v>-1.1479591836734637E-2</v>
      </c>
    </row>
    <row r="66" spans="23:31" x14ac:dyDescent="0.25">
      <c r="W66" s="160">
        <v>42324</v>
      </c>
      <c r="X66" s="12">
        <v>8.0299999999999994</v>
      </c>
      <c r="Y66" s="12">
        <v>8.2100000000000009</v>
      </c>
      <c r="Z66" s="12">
        <v>7.62</v>
      </c>
      <c r="AA66" s="12">
        <v>7.84</v>
      </c>
      <c r="AB66" s="115">
        <v>232500</v>
      </c>
      <c r="AC66" s="12">
        <v>7.84</v>
      </c>
      <c r="AD66" s="2">
        <f t="shared" si="1"/>
        <v>0.59000000000000075</v>
      </c>
      <c r="AE66" s="165">
        <f t="shared" si="2"/>
        <v>-2.9702970297029729E-2</v>
      </c>
    </row>
    <row r="67" spans="23:31" x14ac:dyDescent="0.25">
      <c r="W67" s="160">
        <v>42321</v>
      </c>
      <c r="X67" s="12">
        <v>7.73</v>
      </c>
      <c r="Y67" s="12">
        <v>8.25</v>
      </c>
      <c r="Z67" s="12">
        <v>7.65</v>
      </c>
      <c r="AA67" s="12">
        <v>8.08</v>
      </c>
      <c r="AB67" s="115">
        <v>262300</v>
      </c>
      <c r="AC67" s="12">
        <v>8.08</v>
      </c>
      <c r="AD67" s="2">
        <f t="shared" ref="AD67:AD68" si="5">Y67-Z67</f>
        <v>0.59999999999999964</v>
      </c>
      <c r="AE67" s="165" t="e">
        <f t="shared" ref="AE67:AE68" si="6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23" priority="7">
      <formula>F20&gt;0</formula>
    </cfRule>
    <cfRule type="expression" dxfId="22" priority="8">
      <formula>F20&lt;0</formula>
    </cfRule>
  </conditionalFormatting>
  <conditionalFormatting sqref="Q7">
    <cfRule type="expression" dxfId="21" priority="5">
      <formula>Q7&gt;0</formula>
    </cfRule>
    <cfRule type="expression" dxfId="20" priority="6">
      <formula>Q7&lt;0</formula>
    </cfRule>
  </conditionalFormatting>
  <conditionalFormatting sqref="H20:H31">
    <cfRule type="expression" dxfId="19" priority="1">
      <formula>H20&gt;0</formula>
    </cfRule>
    <cfRule type="expression" dxfId="18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42419</v>
      </c>
      <c r="X2" s="11">
        <v>51.71</v>
      </c>
      <c r="Y2" s="11">
        <v>52.98</v>
      </c>
      <c r="Z2" s="11">
        <v>49.46</v>
      </c>
      <c r="AA2" s="11">
        <v>52.05</v>
      </c>
      <c r="AB2" s="124">
        <v>1143000</v>
      </c>
      <c r="AC2" s="11">
        <v>52.05</v>
      </c>
      <c r="AD2">
        <f>Y2-Z2</f>
        <v>3.519999999999996</v>
      </c>
      <c r="AE2" s="165">
        <f>AC2/AC3-1</f>
        <v>-9.5969289827257942E-4</v>
      </c>
      <c r="AP2" t="s">
        <v>209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52.05</v>
      </c>
      <c r="T3" s="1">
        <v>42265</v>
      </c>
      <c r="U3" s="47" t="s">
        <v>138</v>
      </c>
      <c r="W3" s="130">
        <v>42418</v>
      </c>
      <c r="X3" s="11">
        <v>54.42</v>
      </c>
      <c r="Y3" s="11">
        <v>54.85</v>
      </c>
      <c r="Z3" s="11">
        <v>51.06</v>
      </c>
      <c r="AA3" s="11">
        <v>52.1</v>
      </c>
      <c r="AB3" s="124">
        <v>1073000</v>
      </c>
      <c r="AC3" s="11">
        <v>52.1</v>
      </c>
      <c r="AD3">
        <f t="shared" ref="AD3:AD66" si="2">Y3-Z3</f>
        <v>3.7899999999999991</v>
      </c>
      <c r="AE3" s="165">
        <f t="shared" ref="AE3:AE66" si="3">AC3/AC4-1</f>
        <v>-3.9454277286135708E-2</v>
      </c>
      <c r="AI3" t="s">
        <v>222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52.05</v>
      </c>
      <c r="T4" s="1">
        <v>42278</v>
      </c>
      <c r="U4" s="47" t="s">
        <v>104</v>
      </c>
      <c r="W4" s="130">
        <v>42417</v>
      </c>
      <c r="X4" s="11">
        <v>51</v>
      </c>
      <c r="Y4" s="11">
        <v>55.94</v>
      </c>
      <c r="Z4" s="11">
        <v>50.01</v>
      </c>
      <c r="AA4" s="11">
        <v>54.24</v>
      </c>
      <c r="AB4" s="124">
        <v>1870600</v>
      </c>
      <c r="AC4" s="11">
        <v>54.24</v>
      </c>
      <c r="AD4">
        <f t="shared" si="2"/>
        <v>5.93</v>
      </c>
      <c r="AE4" s="165">
        <f t="shared" si="3"/>
        <v>8.1986834230999284E-2</v>
      </c>
      <c r="AI4" t="s">
        <v>223</v>
      </c>
      <c r="AJ4">
        <v>-60</v>
      </c>
      <c r="AK4" t="s">
        <v>213</v>
      </c>
      <c r="AL4" t="s">
        <v>213</v>
      </c>
      <c r="AO4" s="309">
        <v>-5627.3</v>
      </c>
      <c r="AP4" t="s">
        <v>213</v>
      </c>
      <c r="AQ4" t="s">
        <v>213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42416</v>
      </c>
      <c r="X5" s="11">
        <v>45.53</v>
      </c>
      <c r="Y5" s="11">
        <v>50.85</v>
      </c>
      <c r="Z5" s="11">
        <v>45.01</v>
      </c>
      <c r="AA5" s="11">
        <v>50.13</v>
      </c>
      <c r="AB5" s="124">
        <v>1635600</v>
      </c>
      <c r="AC5" s="11">
        <v>50.13</v>
      </c>
      <c r="AD5">
        <f t="shared" si="2"/>
        <v>5.8400000000000034</v>
      </c>
      <c r="AE5" s="165">
        <f t="shared" si="3"/>
        <v>0.12525252525252539</v>
      </c>
      <c r="AI5" t="s">
        <v>224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42412</v>
      </c>
      <c r="X6" s="11">
        <v>43.83</v>
      </c>
      <c r="Y6" s="11">
        <v>45.39</v>
      </c>
      <c r="Z6" s="11">
        <v>42.19</v>
      </c>
      <c r="AA6" s="11">
        <v>44.55</v>
      </c>
      <c r="AB6" s="124">
        <v>1573500</v>
      </c>
      <c r="AC6" s="11">
        <v>44.55</v>
      </c>
      <c r="AD6">
        <f t="shared" si="2"/>
        <v>3.2000000000000028</v>
      </c>
      <c r="AE6" s="165">
        <f t="shared" si="3"/>
        <v>2.8393351800553912E-2</v>
      </c>
      <c r="AI6" t="s">
        <v>220</v>
      </c>
      <c r="AJ6">
        <v>-60</v>
      </c>
      <c r="AK6" t="s">
        <v>213</v>
      </c>
      <c r="AL6" t="s">
        <v>213</v>
      </c>
      <c r="AO6" s="309">
        <v>-5369.3</v>
      </c>
      <c r="AP6" t="s">
        <v>213</v>
      </c>
      <c r="AQ6" t="s">
        <v>213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42411</v>
      </c>
      <c r="X7" s="11">
        <v>44.79</v>
      </c>
      <c r="Y7" s="11">
        <v>45.97</v>
      </c>
      <c r="Z7" s="11">
        <v>42.03</v>
      </c>
      <c r="AA7" s="11">
        <v>43.32</v>
      </c>
      <c r="AB7" s="124">
        <v>1375200</v>
      </c>
      <c r="AC7" s="11">
        <v>43.32</v>
      </c>
      <c r="AD7">
        <f t="shared" si="2"/>
        <v>3.9399999999999977</v>
      </c>
      <c r="AE7" s="165">
        <f t="shared" si="3"/>
        <v>-5.8056099151989615E-2</v>
      </c>
      <c r="AI7" t="s">
        <v>225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42410</v>
      </c>
      <c r="X8" s="11">
        <v>46.64</v>
      </c>
      <c r="Y8" s="11">
        <v>48.65</v>
      </c>
      <c r="Z8" s="11">
        <v>44.81</v>
      </c>
      <c r="AA8" s="11">
        <v>45.99</v>
      </c>
      <c r="AB8" s="124">
        <v>1248600</v>
      </c>
      <c r="AC8" s="11">
        <v>45.99</v>
      </c>
      <c r="AD8">
        <f t="shared" si="2"/>
        <v>3.8399999999999963</v>
      </c>
      <c r="AE8" s="165">
        <f t="shared" si="3"/>
        <v>4.3677658877485648E-3</v>
      </c>
      <c r="AI8" t="s">
        <v>212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42409</v>
      </c>
      <c r="X9" s="11">
        <v>44.27</v>
      </c>
      <c r="Y9" s="11">
        <v>49.5</v>
      </c>
      <c r="Z9" s="11">
        <v>44.2</v>
      </c>
      <c r="AA9" s="11">
        <v>45.79</v>
      </c>
      <c r="AB9" s="124">
        <v>1987700</v>
      </c>
      <c r="AC9" s="11">
        <v>45.79</v>
      </c>
      <c r="AD9">
        <f t="shared" si="2"/>
        <v>5.2999999999999972</v>
      </c>
      <c r="AE9" s="165">
        <f t="shared" si="3"/>
        <v>3.5064650449265766E-3</v>
      </c>
      <c r="AI9" t="s">
        <v>217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42408</v>
      </c>
      <c r="X10" s="11">
        <v>46.84</v>
      </c>
      <c r="Y10" s="11">
        <v>47.92</v>
      </c>
      <c r="Z10" s="11">
        <v>44.3</v>
      </c>
      <c r="AA10" s="11">
        <v>45.63</v>
      </c>
      <c r="AB10" s="124">
        <v>1594400</v>
      </c>
      <c r="AC10" s="11">
        <v>45.63</v>
      </c>
      <c r="AD10">
        <f t="shared" si="2"/>
        <v>3.6200000000000045</v>
      </c>
      <c r="AE10" s="165">
        <f t="shared" si="3"/>
        <v>-4.3997485857950824E-2</v>
      </c>
      <c r="AI10" t="s">
        <v>212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42405</v>
      </c>
      <c r="X11" s="11">
        <v>49.15</v>
      </c>
      <c r="Y11" s="11">
        <v>49.39</v>
      </c>
      <c r="Z11" s="11">
        <v>46.68</v>
      </c>
      <c r="AA11" s="11">
        <v>47.73</v>
      </c>
      <c r="AB11" s="124">
        <v>1553200</v>
      </c>
      <c r="AC11" s="11">
        <v>47.73</v>
      </c>
      <c r="AD11">
        <f t="shared" si="2"/>
        <v>2.7100000000000009</v>
      </c>
      <c r="AE11" s="165">
        <f t="shared" si="3"/>
        <v>-3.1452922077922163E-2</v>
      </c>
      <c r="AI11" t="s">
        <v>226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42404</v>
      </c>
      <c r="X12" s="11">
        <v>44.55</v>
      </c>
      <c r="Y12" s="11">
        <v>50.9</v>
      </c>
      <c r="Z12" s="11">
        <v>44.14</v>
      </c>
      <c r="AA12" s="11">
        <v>49.28</v>
      </c>
      <c r="AB12" s="124">
        <v>1919100</v>
      </c>
      <c r="AC12" s="11">
        <v>49.28</v>
      </c>
      <c r="AD12">
        <f t="shared" si="2"/>
        <v>6.759999999999998</v>
      </c>
      <c r="AE12" s="165">
        <f t="shared" si="3"/>
        <v>8.7858719646799255E-2</v>
      </c>
      <c r="AI12" t="s">
        <v>212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42403</v>
      </c>
      <c r="X13" s="11">
        <v>42.83</v>
      </c>
      <c r="Y13" s="11">
        <v>45.7</v>
      </c>
      <c r="Z13" s="11">
        <v>41.53</v>
      </c>
      <c r="AA13" s="11">
        <v>45.3</v>
      </c>
      <c r="AB13" s="124">
        <v>2159900</v>
      </c>
      <c r="AC13" s="11">
        <v>45.3</v>
      </c>
      <c r="AD13">
        <f t="shared" si="2"/>
        <v>4.1700000000000017</v>
      </c>
      <c r="AE13" s="165">
        <f t="shared" si="3"/>
        <v>6.9152702383762144E-2</v>
      </c>
      <c r="AI13" t="s">
        <v>227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42402</v>
      </c>
      <c r="X14" s="11">
        <v>44.78</v>
      </c>
      <c r="Y14" s="11">
        <v>45.05</v>
      </c>
      <c r="Z14" s="11">
        <v>41.67</v>
      </c>
      <c r="AA14" s="11">
        <v>42.37</v>
      </c>
      <c r="AB14" s="124">
        <v>1545000</v>
      </c>
      <c r="AC14" s="11">
        <v>42.37</v>
      </c>
      <c r="AD14">
        <f t="shared" si="2"/>
        <v>3.3799999999999955</v>
      </c>
      <c r="AE14" s="165">
        <f t="shared" si="3"/>
        <v>-7.3879781420765123E-2</v>
      </c>
      <c r="AI14" t="s">
        <v>212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42401</v>
      </c>
      <c r="X15" s="11">
        <v>41.37</v>
      </c>
      <c r="Y15" s="11">
        <v>46.41</v>
      </c>
      <c r="Z15" s="11">
        <v>40.29</v>
      </c>
      <c r="AA15" s="11">
        <v>45.75</v>
      </c>
      <c r="AB15" s="124">
        <v>1693400</v>
      </c>
      <c r="AC15" s="11">
        <v>45.75</v>
      </c>
      <c r="AD15">
        <f t="shared" si="2"/>
        <v>6.1199999999999974</v>
      </c>
      <c r="AE15" s="165">
        <f t="shared" si="3"/>
        <v>0.10614119922630572</v>
      </c>
      <c r="AI15" t="s">
        <v>228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42398</v>
      </c>
      <c r="X16" s="11">
        <v>39.659999999999997</v>
      </c>
      <c r="Y16" s="11">
        <v>42.46</v>
      </c>
      <c r="Z16" s="11">
        <v>39.1</v>
      </c>
      <c r="AA16" s="11">
        <v>41.36</v>
      </c>
      <c r="AB16" s="124">
        <v>1113900</v>
      </c>
      <c r="AC16" s="11">
        <v>41.36</v>
      </c>
      <c r="AD16">
        <f t="shared" si="2"/>
        <v>3.3599999999999994</v>
      </c>
      <c r="AE16" s="165">
        <f t="shared" si="3"/>
        <v>4.2864346949067045E-2</v>
      </c>
      <c r="AI16" t="s">
        <v>212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42397</v>
      </c>
      <c r="X17" s="11">
        <v>42.22</v>
      </c>
      <c r="Y17" s="11">
        <v>43.33</v>
      </c>
      <c r="Z17" s="11">
        <v>39.229999999999997</v>
      </c>
      <c r="AA17" s="11">
        <v>39.659999999999997</v>
      </c>
      <c r="AB17" s="124">
        <v>985300</v>
      </c>
      <c r="AC17" s="11">
        <v>39.659999999999997</v>
      </c>
      <c r="AD17">
        <f t="shared" si="2"/>
        <v>4.1000000000000014</v>
      </c>
      <c r="AE17" s="165">
        <f t="shared" si="3"/>
        <v>-6.7481777568775048E-2</v>
      </c>
      <c r="AI17" t="s">
        <v>229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42396</v>
      </c>
      <c r="X18" s="11">
        <v>45.23</v>
      </c>
      <c r="Y18" s="11">
        <v>46.13</v>
      </c>
      <c r="Z18" s="11">
        <v>41.86</v>
      </c>
      <c r="AA18" s="11">
        <v>42.53</v>
      </c>
      <c r="AB18" s="124">
        <v>1116200</v>
      </c>
      <c r="AC18" s="11">
        <v>42.53</v>
      </c>
      <c r="AD18">
        <f t="shared" si="2"/>
        <v>4.2700000000000031</v>
      </c>
      <c r="AE18" s="165">
        <f t="shared" si="3"/>
        <v>-5.9902740937223697E-2</v>
      </c>
      <c r="AI18" t="s">
        <v>212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42395</v>
      </c>
      <c r="X19" s="11">
        <v>44.45</v>
      </c>
      <c r="Y19" s="11">
        <v>45.98</v>
      </c>
      <c r="Z19" s="11">
        <v>41.9</v>
      </c>
      <c r="AA19" s="11">
        <v>45.24</v>
      </c>
      <c r="AB19" s="124">
        <v>1214100</v>
      </c>
      <c r="AC19" s="11">
        <v>45.24</v>
      </c>
      <c r="AD19">
        <f t="shared" si="2"/>
        <v>4.0799999999999983</v>
      </c>
      <c r="AE19" s="165">
        <f t="shared" si="3"/>
        <v>2.4920706841866869E-2</v>
      </c>
      <c r="AI19" t="s">
        <v>230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42394</v>
      </c>
      <c r="X20" s="11">
        <v>44.55</v>
      </c>
      <c r="Y20" s="11">
        <v>46.49</v>
      </c>
      <c r="Z20" s="11">
        <v>43.86</v>
      </c>
      <c r="AA20" s="11">
        <v>44.14</v>
      </c>
      <c r="AB20" s="124">
        <v>826800</v>
      </c>
      <c r="AC20" s="11">
        <v>44.14</v>
      </c>
      <c r="AD20">
        <f t="shared" si="2"/>
        <v>2.6300000000000026</v>
      </c>
      <c r="AE20" s="165">
        <f t="shared" si="3"/>
        <v>-1.9764601376859869E-2</v>
      </c>
      <c r="AI20" t="s">
        <v>212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42391</v>
      </c>
      <c r="X21" s="11">
        <v>44.09</v>
      </c>
      <c r="Y21" s="11">
        <v>46.2</v>
      </c>
      <c r="Z21" s="11">
        <v>42.52</v>
      </c>
      <c r="AA21" s="11">
        <v>45.03</v>
      </c>
      <c r="AB21" s="124">
        <v>1593500</v>
      </c>
      <c r="AC21" s="11">
        <v>45.03</v>
      </c>
      <c r="AD21">
        <f t="shared" si="2"/>
        <v>3.6799999999999997</v>
      </c>
      <c r="AE21" s="165">
        <f t="shared" si="3"/>
        <v>4.8184357541899425E-2</v>
      </c>
      <c r="AI21" t="s">
        <v>230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42390</v>
      </c>
      <c r="X22" s="11">
        <v>43.84</v>
      </c>
      <c r="Y22" s="11">
        <v>47</v>
      </c>
      <c r="Z22" s="11">
        <v>42.04</v>
      </c>
      <c r="AA22" s="11">
        <v>42.96</v>
      </c>
      <c r="AB22" s="124">
        <v>1265600</v>
      </c>
      <c r="AC22" s="11">
        <v>42.96</v>
      </c>
      <c r="AD22">
        <f t="shared" si="2"/>
        <v>4.9600000000000009</v>
      </c>
      <c r="AE22" s="165">
        <f t="shared" si="3"/>
        <v>-2.8493894165535938E-2</v>
      </c>
      <c r="AI22" t="s">
        <v>212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42389</v>
      </c>
      <c r="X23" s="11">
        <v>40.450000000000003</v>
      </c>
      <c r="Y23" s="11">
        <v>45.49</v>
      </c>
      <c r="Z23" s="11">
        <v>37.4</v>
      </c>
      <c r="AA23" s="11">
        <v>44.22</v>
      </c>
      <c r="AB23" s="124">
        <v>1798800</v>
      </c>
      <c r="AC23" s="11">
        <v>44.22</v>
      </c>
      <c r="AD23">
        <f t="shared" si="2"/>
        <v>8.0900000000000034</v>
      </c>
      <c r="AE23" s="165">
        <f t="shared" si="3"/>
        <v>5.6883365200764757E-2</v>
      </c>
      <c r="AI23" t="s">
        <v>230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42388</v>
      </c>
      <c r="X24" s="11">
        <v>45.34</v>
      </c>
      <c r="Y24" s="11">
        <v>45.99</v>
      </c>
      <c r="Z24" s="11">
        <v>40.479999999999997</v>
      </c>
      <c r="AA24" s="11">
        <v>41.84</v>
      </c>
      <c r="AB24" s="124">
        <v>1400900</v>
      </c>
      <c r="AC24" s="11">
        <v>41.84</v>
      </c>
      <c r="AD24">
        <f t="shared" si="2"/>
        <v>5.5100000000000051</v>
      </c>
      <c r="AE24" s="165">
        <f t="shared" si="3"/>
        <v>-6.2724014336917544E-2</v>
      </c>
      <c r="AI24" t="s">
        <v>212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42384</v>
      </c>
      <c r="X25" s="11">
        <v>44.5</v>
      </c>
      <c r="Y25" s="11">
        <v>46.33</v>
      </c>
      <c r="Z25" s="11">
        <v>42.57</v>
      </c>
      <c r="AA25" s="11">
        <v>44.64</v>
      </c>
      <c r="AB25" s="124">
        <v>1252400</v>
      </c>
      <c r="AC25" s="11">
        <v>44.64</v>
      </c>
      <c r="AD25">
        <f t="shared" si="2"/>
        <v>3.759999999999998</v>
      </c>
      <c r="AE25" s="165">
        <f t="shared" si="3"/>
        <v>-4.1442989048743772E-2</v>
      </c>
    </row>
    <row r="26" spans="1:43" x14ac:dyDescent="0.25">
      <c r="W26" s="130">
        <v>42383</v>
      </c>
      <c r="X26" s="11">
        <v>46.65</v>
      </c>
      <c r="Y26" s="11">
        <v>48.59</v>
      </c>
      <c r="Z26" s="11">
        <v>42.16</v>
      </c>
      <c r="AA26" s="11">
        <v>46.57</v>
      </c>
      <c r="AB26" s="124">
        <v>1675100</v>
      </c>
      <c r="AC26" s="11">
        <v>46.57</v>
      </c>
      <c r="AD26">
        <f t="shared" si="2"/>
        <v>6.4300000000000068</v>
      </c>
      <c r="AE26" s="165">
        <f t="shared" si="3"/>
        <v>8.6636343946284722E-3</v>
      </c>
    </row>
    <row r="27" spans="1:43" x14ac:dyDescent="0.25">
      <c r="W27" s="130">
        <v>42382</v>
      </c>
      <c r="X27" s="11">
        <v>50.38</v>
      </c>
      <c r="Y27" s="11">
        <v>51.88</v>
      </c>
      <c r="Z27" s="11">
        <v>45.78</v>
      </c>
      <c r="AA27" s="11">
        <v>46.17</v>
      </c>
      <c r="AB27" s="124">
        <v>1402000</v>
      </c>
      <c r="AC27" s="11">
        <v>46.17</v>
      </c>
      <c r="AD27">
        <f t="shared" si="2"/>
        <v>6.1000000000000014</v>
      </c>
      <c r="AE27" s="165">
        <f t="shared" si="3"/>
        <v>-7.3077695241919316E-2</v>
      </c>
    </row>
    <row r="28" spans="1:43" x14ac:dyDescent="0.25">
      <c r="W28" s="130">
        <v>42381</v>
      </c>
      <c r="X28" s="11">
        <v>45.95</v>
      </c>
      <c r="Y28" s="11">
        <v>51.89</v>
      </c>
      <c r="Z28" s="11">
        <v>45.86</v>
      </c>
      <c r="AA28" s="11">
        <v>49.81</v>
      </c>
      <c r="AB28" s="124">
        <v>2269900</v>
      </c>
      <c r="AC28" s="11">
        <v>49.81</v>
      </c>
      <c r="AD28">
        <f t="shared" si="2"/>
        <v>6.0300000000000011</v>
      </c>
      <c r="AE28" s="165">
        <f t="shared" si="3"/>
        <v>0.11581541218637992</v>
      </c>
    </row>
    <row r="29" spans="1:43" x14ac:dyDescent="0.25">
      <c r="W29" s="130">
        <v>42380</v>
      </c>
      <c r="X29" s="11">
        <v>55.49</v>
      </c>
      <c r="Y29" s="11">
        <v>56</v>
      </c>
      <c r="Z29" s="11">
        <v>43.51</v>
      </c>
      <c r="AA29" s="11">
        <v>44.64</v>
      </c>
      <c r="AB29" s="124">
        <v>3349600</v>
      </c>
      <c r="AC29" s="11">
        <v>44.64</v>
      </c>
      <c r="AD29">
        <f t="shared" si="2"/>
        <v>12.490000000000002</v>
      </c>
      <c r="AE29" s="165">
        <f t="shared" si="3"/>
        <v>-0.19480519480519476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42377</v>
      </c>
      <c r="X30" s="11">
        <v>55.05</v>
      </c>
      <c r="Y30" s="11">
        <v>58.69</v>
      </c>
      <c r="Z30" s="11">
        <v>54.87</v>
      </c>
      <c r="AA30" s="11">
        <v>55.44</v>
      </c>
      <c r="AB30" s="124">
        <v>995400</v>
      </c>
      <c r="AC30" s="11">
        <v>55.44</v>
      </c>
      <c r="AD30">
        <f t="shared" si="2"/>
        <v>3.8200000000000003</v>
      </c>
      <c r="AE30" s="165">
        <f t="shared" si="3"/>
        <v>2.4768946395563596E-2</v>
      </c>
    </row>
    <row r="31" spans="1:43" x14ac:dyDescent="0.25">
      <c r="W31" s="130">
        <v>42376</v>
      </c>
      <c r="X31" s="11">
        <v>57.33</v>
      </c>
      <c r="Y31" s="11">
        <v>57.48</v>
      </c>
      <c r="Z31" s="11">
        <v>53.31</v>
      </c>
      <c r="AA31" s="11">
        <v>54.1</v>
      </c>
      <c r="AB31" s="124">
        <v>1200600</v>
      </c>
      <c r="AC31" s="11">
        <v>54.1</v>
      </c>
      <c r="AD31">
        <f t="shared" si="2"/>
        <v>4.1699999999999946</v>
      </c>
      <c r="AE31" s="165">
        <f t="shared" si="3"/>
        <v>-7.0925639704619514E-2</v>
      </c>
    </row>
    <row r="32" spans="1:43" x14ac:dyDescent="0.25">
      <c r="B32" s="246" t="s">
        <v>122</v>
      </c>
      <c r="C32" s="246" t="s">
        <v>189</v>
      </c>
      <c r="D32" s="247" t="s">
        <v>188</v>
      </c>
      <c r="E32" s="249" t="s">
        <v>190</v>
      </c>
      <c r="F32" s="250" t="s">
        <v>65</v>
      </c>
      <c r="G32" s="294" t="s">
        <v>195</v>
      </c>
      <c r="H32" s="250" t="s">
        <v>92</v>
      </c>
      <c r="I32" s="294" t="s">
        <v>203</v>
      </c>
      <c r="W32" s="130">
        <v>42375</v>
      </c>
      <c r="X32" s="11">
        <v>61.41</v>
      </c>
      <c r="Y32" s="11">
        <v>61.59</v>
      </c>
      <c r="Z32" s="11">
        <v>57.16</v>
      </c>
      <c r="AA32" s="11">
        <v>58.23</v>
      </c>
      <c r="AB32" s="124">
        <v>971700</v>
      </c>
      <c r="AC32" s="11">
        <v>58.23</v>
      </c>
      <c r="AD32">
        <f t="shared" si="2"/>
        <v>4.4300000000000068</v>
      </c>
      <c r="AE32" s="165">
        <f t="shared" si="3"/>
        <v>-5.7156735751295318E-2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42374</v>
      </c>
      <c r="X33" s="11">
        <v>63.54</v>
      </c>
      <c r="Y33" s="11">
        <v>65</v>
      </c>
      <c r="Z33" s="11">
        <v>61.67</v>
      </c>
      <c r="AA33" s="11">
        <v>61.76</v>
      </c>
      <c r="AB33" s="124">
        <v>848400</v>
      </c>
      <c r="AC33" s="11">
        <v>61.76</v>
      </c>
      <c r="AD33">
        <f t="shared" si="2"/>
        <v>3.3299999999999983</v>
      </c>
      <c r="AE33" s="165">
        <f t="shared" si="3"/>
        <v>-2.6941862297148234E-2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42373</v>
      </c>
      <c r="X34" s="11">
        <v>62.82</v>
      </c>
      <c r="Y34" s="11">
        <v>64.28</v>
      </c>
      <c r="Z34" s="11">
        <v>61.76</v>
      </c>
      <c r="AA34" s="11">
        <v>63.47</v>
      </c>
      <c r="AB34" s="124">
        <v>1039700</v>
      </c>
      <c r="AC34" s="11">
        <v>63.47</v>
      </c>
      <c r="AD34">
        <f t="shared" si="2"/>
        <v>2.5200000000000031</v>
      </c>
      <c r="AE34" s="165">
        <f t="shared" si="3"/>
        <v>-1.1678604796013681E-2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42369</v>
      </c>
      <c r="X35" s="11">
        <v>64.59</v>
      </c>
      <c r="Y35" s="11">
        <v>66.56</v>
      </c>
      <c r="Z35" s="11">
        <v>64.02</v>
      </c>
      <c r="AA35" s="11">
        <v>64.22</v>
      </c>
      <c r="AB35" s="124">
        <v>861100</v>
      </c>
      <c r="AC35" s="11">
        <v>64.22</v>
      </c>
      <c r="AD35">
        <f t="shared" si="2"/>
        <v>2.5400000000000063</v>
      </c>
      <c r="AE35" s="165">
        <f t="shared" si="3"/>
        <v>-8.3384805435454679E-3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42368</v>
      </c>
      <c r="X36" s="11">
        <v>66.150000000000006</v>
      </c>
      <c r="Y36" s="11">
        <v>66.52</v>
      </c>
      <c r="Z36" s="11">
        <v>63.64</v>
      </c>
      <c r="AA36" s="11">
        <v>64.760000000000005</v>
      </c>
      <c r="AB36" s="124">
        <v>693900</v>
      </c>
      <c r="AC36" s="11">
        <v>64.760000000000005</v>
      </c>
      <c r="AD36">
        <f t="shared" si="2"/>
        <v>2.8799999999999955</v>
      </c>
      <c r="AE36" s="165">
        <f t="shared" si="3"/>
        <v>-2.1308750188907322E-2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42367</v>
      </c>
      <c r="X37" s="11">
        <v>66.34</v>
      </c>
      <c r="Y37" s="11">
        <v>66.78</v>
      </c>
      <c r="Z37" s="11">
        <v>64.97</v>
      </c>
      <c r="AA37" s="11">
        <v>66.17</v>
      </c>
      <c r="AB37" s="124">
        <v>594000</v>
      </c>
      <c r="AC37" s="11">
        <v>66.17</v>
      </c>
      <c r="AD37">
        <f t="shared" si="2"/>
        <v>1.8100000000000023</v>
      </c>
      <c r="AE37" s="165">
        <f t="shared" si="3"/>
        <v>7.7672860188853221E-3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42366</v>
      </c>
      <c r="X38" s="11">
        <v>65.8</v>
      </c>
      <c r="Y38" s="11">
        <v>67.150000000000006</v>
      </c>
      <c r="Z38" s="11">
        <v>64.680000000000007</v>
      </c>
      <c r="AA38" s="11">
        <v>65.66</v>
      </c>
      <c r="AB38" s="124">
        <v>701300</v>
      </c>
      <c r="AC38" s="11">
        <v>65.66</v>
      </c>
      <c r="AD38">
        <f t="shared" si="2"/>
        <v>2.4699999999999989</v>
      </c>
      <c r="AE38" s="165">
        <f t="shared" si="3"/>
        <v>-7.8573587186462346E-3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42362</v>
      </c>
      <c r="X39" s="11">
        <v>64.7</v>
      </c>
      <c r="Y39" s="11">
        <v>67.099999999999994</v>
      </c>
      <c r="Z39" s="11">
        <v>64.66</v>
      </c>
      <c r="AA39" s="11">
        <v>66.180000000000007</v>
      </c>
      <c r="AB39" s="124">
        <v>591800</v>
      </c>
      <c r="AC39" s="11">
        <v>66.180000000000007</v>
      </c>
      <c r="AD39">
        <f t="shared" si="2"/>
        <v>2.4399999999999977</v>
      </c>
      <c r="AE39" s="165">
        <f t="shared" si="3"/>
        <v>1.5342129487572853E-2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42361</v>
      </c>
      <c r="X40" s="11">
        <v>64.36</v>
      </c>
      <c r="Y40" s="11">
        <v>65.98</v>
      </c>
      <c r="Z40" s="11">
        <v>63.6</v>
      </c>
      <c r="AA40" s="11">
        <v>65.180000000000007</v>
      </c>
      <c r="AB40" s="124">
        <v>555400</v>
      </c>
      <c r="AC40" s="11">
        <v>65.180000000000007</v>
      </c>
      <c r="AD40">
        <f t="shared" si="2"/>
        <v>2.3800000000000026</v>
      </c>
      <c r="AE40" s="165">
        <f t="shared" si="3"/>
        <v>1.6531503431066685E-2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42360</v>
      </c>
      <c r="X41" s="11">
        <v>64.849999999999994</v>
      </c>
      <c r="Y41" s="11">
        <v>65.959999999999994</v>
      </c>
      <c r="Z41" s="11">
        <v>63.1</v>
      </c>
      <c r="AA41" s="11">
        <v>64.12</v>
      </c>
      <c r="AB41" s="124">
        <v>1477800</v>
      </c>
      <c r="AC41" s="11">
        <v>64.12</v>
      </c>
      <c r="AD41">
        <f t="shared" si="2"/>
        <v>2.8599999999999923</v>
      </c>
      <c r="AE41" s="165">
        <f t="shared" si="3"/>
        <v>-6.9691807340868106E-3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89" t="s">
        <v>78</v>
      </c>
      <c r="P42" s="389"/>
      <c r="T42" s="125" t="s">
        <v>96</v>
      </c>
      <c r="W42" s="130">
        <v>42359</v>
      </c>
      <c r="X42" s="11">
        <v>61.26</v>
      </c>
      <c r="Y42" s="11">
        <v>65</v>
      </c>
      <c r="Z42" s="11">
        <v>60</v>
      </c>
      <c r="AA42" s="11">
        <v>64.569999999999993</v>
      </c>
      <c r="AB42" s="124">
        <v>1039300</v>
      </c>
      <c r="AC42" s="11">
        <v>64.569999999999993</v>
      </c>
      <c r="AD42">
        <f t="shared" si="2"/>
        <v>5</v>
      </c>
      <c r="AE42" s="165">
        <f t="shared" si="3"/>
        <v>5.077298616761583E-2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57.255000000000003</v>
      </c>
      <c r="Q43" s="2"/>
      <c r="T43" s="166" t="s">
        <v>106</v>
      </c>
      <c r="U43" s="167">
        <v>52.1</v>
      </c>
      <c r="W43" s="130">
        <v>42356</v>
      </c>
      <c r="X43" s="11">
        <v>61.53</v>
      </c>
      <c r="Y43" s="11">
        <v>63.93</v>
      </c>
      <c r="Z43" s="11">
        <v>60.75</v>
      </c>
      <c r="AA43" s="11">
        <v>61.45</v>
      </c>
      <c r="AB43" s="124">
        <v>2011500</v>
      </c>
      <c r="AC43" s="11">
        <v>61.45</v>
      </c>
      <c r="AD43">
        <f t="shared" si="2"/>
        <v>3.1799999999999997</v>
      </c>
      <c r="AE43" s="165">
        <f t="shared" si="3"/>
        <v>-8.8709677419354094E-3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56.734500000000004</v>
      </c>
      <c r="Q44" s="2"/>
      <c r="T44" s="128" t="s">
        <v>107</v>
      </c>
      <c r="U44" s="126">
        <v>51.71</v>
      </c>
      <c r="W44" s="130">
        <v>42355</v>
      </c>
      <c r="X44" s="11">
        <v>60.83</v>
      </c>
      <c r="Y44" s="11">
        <v>64.75</v>
      </c>
      <c r="Z44" s="11">
        <v>60.57</v>
      </c>
      <c r="AA44" s="11">
        <v>62</v>
      </c>
      <c r="AB44" s="124">
        <v>1445900</v>
      </c>
      <c r="AC44" s="11">
        <v>62</v>
      </c>
      <c r="AD44">
        <f t="shared" si="2"/>
        <v>4.18</v>
      </c>
      <c r="AE44" s="165">
        <f t="shared" si="3"/>
        <v>2.5810721376571921E-2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56.213999999999999</v>
      </c>
      <c r="Q45" s="2"/>
      <c r="T45" s="128" t="s">
        <v>108</v>
      </c>
      <c r="U45" s="126" t="s">
        <v>448</v>
      </c>
      <c r="W45" s="130">
        <v>42354</v>
      </c>
      <c r="X45" s="11">
        <v>60.13</v>
      </c>
      <c r="Y45" s="11">
        <v>60.92</v>
      </c>
      <c r="Z45" s="11">
        <v>57.61</v>
      </c>
      <c r="AA45" s="11">
        <v>60.44</v>
      </c>
      <c r="AB45" s="124">
        <v>865200</v>
      </c>
      <c r="AC45" s="11">
        <v>60.44</v>
      </c>
      <c r="AD45">
        <f t="shared" si="2"/>
        <v>3.3100000000000023</v>
      </c>
      <c r="AE45" s="165">
        <f t="shared" si="3"/>
        <v>7.837251959313063E-3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55.6935</v>
      </c>
      <c r="Q46" s="2"/>
      <c r="T46" s="128" t="s">
        <v>109</v>
      </c>
      <c r="U46" s="126" t="s">
        <v>449</v>
      </c>
      <c r="W46" s="130">
        <v>42353</v>
      </c>
      <c r="X46" s="11">
        <v>58.51</v>
      </c>
      <c r="Y46" s="11">
        <v>60.29</v>
      </c>
      <c r="Z46" s="11">
        <v>55.61</v>
      </c>
      <c r="AA46" s="11">
        <v>59.97</v>
      </c>
      <c r="AB46" s="124">
        <v>1553400</v>
      </c>
      <c r="AC46" s="11">
        <v>59.97</v>
      </c>
      <c r="AD46">
        <f t="shared" si="2"/>
        <v>4.68</v>
      </c>
      <c r="AE46" s="165">
        <f t="shared" si="3"/>
        <v>3.1830695113558072E-2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55.173000000000002</v>
      </c>
      <c r="Q47" s="2"/>
      <c r="T47" s="128" t="s">
        <v>110</v>
      </c>
      <c r="U47" s="126">
        <v>108.5</v>
      </c>
      <c r="W47" s="130">
        <v>42352</v>
      </c>
      <c r="X47" s="11">
        <v>59.31</v>
      </c>
      <c r="Y47" s="11">
        <v>61.28</v>
      </c>
      <c r="Z47" s="11">
        <v>57.05</v>
      </c>
      <c r="AA47" s="11">
        <v>58.12</v>
      </c>
      <c r="AB47" s="124">
        <v>1695200</v>
      </c>
      <c r="AC47" s="11">
        <v>58.12</v>
      </c>
      <c r="AD47">
        <f t="shared" si="2"/>
        <v>4.230000000000004</v>
      </c>
      <c r="AE47" s="165">
        <f t="shared" si="3"/>
        <v>-2.3521505376344232E-2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54.652499999999996</v>
      </c>
      <c r="Q48" s="2"/>
      <c r="T48" s="128" t="s">
        <v>111</v>
      </c>
      <c r="U48" s="126">
        <v>0.78248700000000004</v>
      </c>
      <c r="W48" s="130">
        <v>42349</v>
      </c>
      <c r="X48" s="11">
        <v>60.45</v>
      </c>
      <c r="Y48" s="11">
        <v>61.73</v>
      </c>
      <c r="Z48" s="11">
        <v>58.02</v>
      </c>
      <c r="AA48" s="11">
        <v>59.52</v>
      </c>
      <c r="AB48" s="124">
        <v>1760400</v>
      </c>
      <c r="AC48" s="11">
        <v>59.52</v>
      </c>
      <c r="AD48">
        <f t="shared" si="2"/>
        <v>3.7099999999999937</v>
      </c>
      <c r="AE48" s="165">
        <f t="shared" si="3"/>
        <v>-3.6113360323886567E-2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54.131999999999998</v>
      </c>
      <c r="Q49" s="2"/>
      <c r="T49" s="128" t="s">
        <v>131</v>
      </c>
      <c r="U49" s="126" t="s">
        <v>280</v>
      </c>
      <c r="W49" s="130">
        <v>42348</v>
      </c>
      <c r="X49" s="11">
        <v>57.49</v>
      </c>
      <c r="Y49" s="11">
        <v>61.83</v>
      </c>
      <c r="Z49" s="11">
        <v>57.18</v>
      </c>
      <c r="AA49" s="11">
        <v>61.75</v>
      </c>
      <c r="AB49" s="124">
        <v>2713000</v>
      </c>
      <c r="AC49" s="11">
        <v>61.75</v>
      </c>
      <c r="AD49">
        <f t="shared" si="2"/>
        <v>4.6499999999999986</v>
      </c>
      <c r="AE49" s="165">
        <f t="shared" si="3"/>
        <v>9.2340350256501003E-2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53.611499999999999</v>
      </c>
      <c r="Q50" s="2"/>
      <c r="T50" s="128"/>
      <c r="U50" s="126"/>
      <c r="W50" s="130">
        <v>42347</v>
      </c>
      <c r="X50" s="11">
        <v>54.69</v>
      </c>
      <c r="Y50" s="11">
        <v>58</v>
      </c>
      <c r="Z50" s="11">
        <v>54.27</v>
      </c>
      <c r="AA50" s="11">
        <v>56.53</v>
      </c>
      <c r="AB50" s="124">
        <v>2433600</v>
      </c>
      <c r="AC50" s="11">
        <v>56.53</v>
      </c>
      <c r="AD50">
        <f t="shared" si="2"/>
        <v>3.7299999999999969</v>
      </c>
      <c r="AE50" s="165">
        <f t="shared" si="3"/>
        <v>2.3352643012309882E-2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53.091000000000001</v>
      </c>
      <c r="Q51" s="2"/>
      <c r="T51" s="128" t="s">
        <v>113</v>
      </c>
      <c r="U51" s="126" t="s">
        <v>450</v>
      </c>
      <c r="W51" s="130">
        <v>42346</v>
      </c>
      <c r="X51" s="11">
        <v>51.5</v>
      </c>
      <c r="Y51" s="11">
        <v>55.48</v>
      </c>
      <c r="Z51" s="11">
        <v>48.85</v>
      </c>
      <c r="AA51" s="11">
        <v>55.24</v>
      </c>
      <c r="AB51" s="124">
        <v>5203500</v>
      </c>
      <c r="AC51" s="11">
        <v>55.24</v>
      </c>
      <c r="AD51">
        <f t="shared" si="2"/>
        <v>6.6299999999999955</v>
      </c>
      <c r="AE51" s="165">
        <f t="shared" si="3"/>
        <v>5.7224880382775067E-2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52.570499999999996</v>
      </c>
      <c r="Q52" s="2"/>
      <c r="T52" s="128" t="s">
        <v>114</v>
      </c>
      <c r="U52" s="126" t="s">
        <v>289</v>
      </c>
      <c r="W52" s="130">
        <v>42345</v>
      </c>
      <c r="X52" s="11">
        <v>59.06</v>
      </c>
      <c r="Y52" s="11">
        <v>63.89</v>
      </c>
      <c r="Z52" s="11">
        <v>51.72</v>
      </c>
      <c r="AA52" s="11">
        <v>52.25</v>
      </c>
      <c r="AB52" s="124">
        <v>10074000</v>
      </c>
      <c r="AC52" s="11">
        <v>52.25</v>
      </c>
      <c r="AD52">
        <f t="shared" si="2"/>
        <v>12.170000000000002</v>
      </c>
      <c r="AE52" s="165">
        <f t="shared" si="3"/>
        <v>-0.37544824288787948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52.05</v>
      </c>
      <c r="Q53" s="2"/>
      <c r="T53" s="128" t="s">
        <v>115</v>
      </c>
      <c r="U53" s="127">
        <v>1143283</v>
      </c>
      <c r="W53" s="130">
        <v>42342</v>
      </c>
      <c r="X53" s="11">
        <v>80</v>
      </c>
      <c r="Y53" s="11">
        <v>83.94</v>
      </c>
      <c r="Z53" s="11">
        <v>77.59</v>
      </c>
      <c r="AA53" s="11">
        <v>83.66</v>
      </c>
      <c r="AB53" s="124">
        <v>1281400</v>
      </c>
      <c r="AC53" s="11">
        <v>83.66</v>
      </c>
      <c r="AD53">
        <f t="shared" si="2"/>
        <v>6.3499999999999943</v>
      </c>
      <c r="AE53" s="165">
        <f t="shared" si="3"/>
        <v>6.4241190688207661E-2</v>
      </c>
    </row>
    <row r="54" spans="2:31" x14ac:dyDescent="0.25">
      <c r="O54" s="103">
        <v>0.99</v>
      </c>
      <c r="P54" s="103">
        <f t="shared" si="12"/>
        <v>51.529499999999999</v>
      </c>
      <c r="Q54" s="2"/>
      <c r="T54" s="128" t="s">
        <v>118</v>
      </c>
      <c r="U54" s="127">
        <v>1604170</v>
      </c>
      <c r="W54" s="130">
        <v>42341</v>
      </c>
      <c r="X54" s="11">
        <v>82.75</v>
      </c>
      <c r="Y54" s="11">
        <v>83.26</v>
      </c>
      <c r="Z54" s="11">
        <v>77.540000000000006</v>
      </c>
      <c r="AA54" s="11">
        <v>78.61</v>
      </c>
      <c r="AB54" s="124">
        <v>1370200</v>
      </c>
      <c r="AC54" s="11">
        <v>78.61</v>
      </c>
      <c r="AD54">
        <f t="shared" si="2"/>
        <v>5.7199999999999989</v>
      </c>
      <c r="AE54" s="165">
        <f t="shared" si="3"/>
        <v>-2.962597210220963E-2</v>
      </c>
    </row>
    <row r="55" spans="2:31" x14ac:dyDescent="0.25">
      <c r="O55" s="103">
        <v>0.98</v>
      </c>
      <c r="P55" s="103">
        <f t="shared" si="12"/>
        <v>51.008999999999993</v>
      </c>
      <c r="Q55" s="2"/>
      <c r="T55" s="128" t="s">
        <v>116</v>
      </c>
      <c r="U55" s="126" t="s">
        <v>451</v>
      </c>
      <c r="W55" s="130">
        <v>42340</v>
      </c>
      <c r="X55" s="11">
        <v>81.05</v>
      </c>
      <c r="Y55" s="11">
        <v>85</v>
      </c>
      <c r="Z55" s="11">
        <v>81</v>
      </c>
      <c r="AA55" s="11">
        <v>81.010000000000005</v>
      </c>
      <c r="AB55" s="124">
        <v>1506900</v>
      </c>
      <c r="AC55" s="11">
        <v>81.010000000000005</v>
      </c>
      <c r="AD55">
        <f t="shared" si="2"/>
        <v>4</v>
      </c>
      <c r="AE55" s="165">
        <f t="shared" si="3"/>
        <v>8.3395568832462796E-3</v>
      </c>
    </row>
    <row r="56" spans="2:31" x14ac:dyDescent="0.25">
      <c r="O56" s="103">
        <v>0.97</v>
      </c>
      <c r="P56" s="103">
        <f t="shared" si="12"/>
        <v>50.488499999999995</v>
      </c>
      <c r="T56" s="128" t="s">
        <v>119</v>
      </c>
      <c r="U56" s="126" t="s">
        <v>145</v>
      </c>
      <c r="W56" s="130">
        <v>42339</v>
      </c>
      <c r="X56" s="11">
        <v>90.01</v>
      </c>
      <c r="Y56" s="11">
        <v>90.01</v>
      </c>
      <c r="Z56" s="11">
        <v>79.8</v>
      </c>
      <c r="AA56" s="11">
        <v>80.34</v>
      </c>
      <c r="AB56" s="124">
        <v>3013900</v>
      </c>
      <c r="AC56" s="11">
        <v>80.34</v>
      </c>
      <c r="AD56">
        <f t="shared" si="2"/>
        <v>10.210000000000008</v>
      </c>
      <c r="AE56" s="165">
        <f t="shared" si="3"/>
        <v>-9.4760563380281604E-2</v>
      </c>
    </row>
    <row r="57" spans="2:31" x14ac:dyDescent="0.25">
      <c r="O57" s="103">
        <v>0.96</v>
      </c>
      <c r="P57" s="103">
        <f t="shared" si="12"/>
        <v>49.967999999999996</v>
      </c>
      <c r="T57" s="128" t="s">
        <v>120</v>
      </c>
      <c r="U57" s="126">
        <v>-4.24</v>
      </c>
      <c r="W57" s="130">
        <v>42338</v>
      </c>
      <c r="X57" s="11">
        <v>93.65</v>
      </c>
      <c r="Y57" s="11">
        <v>94.61</v>
      </c>
      <c r="Z57" s="11">
        <v>86.23</v>
      </c>
      <c r="AA57" s="11">
        <v>88.75</v>
      </c>
      <c r="AB57" s="124">
        <v>1194800</v>
      </c>
      <c r="AC57" s="11">
        <v>88.75</v>
      </c>
      <c r="AD57">
        <f t="shared" si="2"/>
        <v>8.3799999999999955</v>
      </c>
      <c r="AE57" s="165">
        <f t="shared" si="3"/>
        <v>-4.1576673866090652E-2</v>
      </c>
    </row>
    <row r="58" spans="2:31" x14ac:dyDescent="0.25">
      <c r="O58" s="103">
        <v>0.95</v>
      </c>
      <c r="P58" s="103">
        <f t="shared" si="12"/>
        <v>49.447499999999998</v>
      </c>
      <c r="T58" s="128" t="s">
        <v>117</v>
      </c>
      <c r="U58" s="126" t="s">
        <v>132</v>
      </c>
      <c r="W58" s="130">
        <v>42335</v>
      </c>
      <c r="X58" s="11">
        <v>90.11</v>
      </c>
      <c r="Y58" s="11">
        <v>95.28</v>
      </c>
      <c r="Z58" s="11">
        <v>89.67</v>
      </c>
      <c r="AA58" s="11">
        <v>92.6</v>
      </c>
      <c r="AB58" s="124">
        <v>569300</v>
      </c>
      <c r="AC58" s="11">
        <v>92.6</v>
      </c>
      <c r="AD58">
        <f t="shared" si="2"/>
        <v>5.6099999999999994</v>
      </c>
      <c r="AE58" s="165">
        <f t="shared" si="3"/>
        <v>3.4983793450318545E-2</v>
      </c>
    </row>
    <row r="59" spans="2:31" x14ac:dyDescent="0.25">
      <c r="O59" s="103">
        <v>0.94</v>
      </c>
      <c r="P59" s="103">
        <f t="shared" si="12"/>
        <v>48.926999999999992</v>
      </c>
      <c r="W59" s="130">
        <v>42333</v>
      </c>
      <c r="X59" s="11">
        <v>85</v>
      </c>
      <c r="Y59" s="11">
        <v>90.75</v>
      </c>
      <c r="Z59" s="11">
        <v>85</v>
      </c>
      <c r="AA59" s="11">
        <v>89.47</v>
      </c>
      <c r="AB59" s="124">
        <v>836100</v>
      </c>
      <c r="AC59" s="11">
        <v>89.47</v>
      </c>
      <c r="AD59">
        <f t="shared" si="2"/>
        <v>5.75</v>
      </c>
      <c r="AE59" s="165">
        <f t="shared" si="3"/>
        <v>4.9994132144114634E-2</v>
      </c>
    </row>
    <row r="60" spans="2:31" x14ac:dyDescent="0.25">
      <c r="O60" s="103">
        <v>0.93</v>
      </c>
      <c r="P60" s="103">
        <f t="shared" si="12"/>
        <v>48.406500000000001</v>
      </c>
      <c r="W60" s="130">
        <v>42332</v>
      </c>
      <c r="X60" s="11">
        <v>83.95</v>
      </c>
      <c r="Y60" s="11">
        <v>86.17</v>
      </c>
      <c r="Z60" s="11">
        <v>82.6</v>
      </c>
      <c r="AA60" s="11">
        <v>85.21</v>
      </c>
      <c r="AB60" s="124">
        <v>815200</v>
      </c>
      <c r="AC60" s="11">
        <v>85.21</v>
      </c>
      <c r="AD60">
        <f t="shared" si="2"/>
        <v>3.5700000000000074</v>
      </c>
      <c r="AE60" s="165">
        <f t="shared" si="3"/>
        <v>6.2588568729331495E-3</v>
      </c>
    </row>
    <row r="61" spans="2:31" x14ac:dyDescent="0.25">
      <c r="O61" s="103">
        <v>0.92</v>
      </c>
      <c r="P61" s="103">
        <f t="shared" si="12"/>
        <v>47.886000000000003</v>
      </c>
      <c r="W61" s="130">
        <v>42331</v>
      </c>
      <c r="X61" s="11">
        <v>80.900000000000006</v>
      </c>
      <c r="Y61" s="11">
        <v>84.91</v>
      </c>
      <c r="Z61" s="11">
        <v>80.02</v>
      </c>
      <c r="AA61" s="11">
        <v>84.68</v>
      </c>
      <c r="AB61" s="124">
        <v>902900</v>
      </c>
      <c r="AC61" s="11">
        <v>84.68</v>
      </c>
      <c r="AD61">
        <f t="shared" si="2"/>
        <v>4.8900000000000006</v>
      </c>
      <c r="AE61" s="165">
        <f t="shared" si="3"/>
        <v>4.9969001859888396E-2</v>
      </c>
    </row>
    <row r="62" spans="2:31" x14ac:dyDescent="0.25">
      <c r="O62" s="103">
        <v>0.91</v>
      </c>
      <c r="P62" s="103">
        <f t="shared" si="12"/>
        <v>47.365499999999997</v>
      </c>
      <c r="W62" s="130">
        <v>42328</v>
      </c>
      <c r="X62" s="11">
        <v>79.72</v>
      </c>
      <c r="Y62" s="11">
        <v>82.65</v>
      </c>
      <c r="Z62" s="11">
        <v>79.12</v>
      </c>
      <c r="AA62" s="11">
        <v>80.650000000000006</v>
      </c>
      <c r="AB62" s="124">
        <v>1200500</v>
      </c>
      <c r="AC62" s="11">
        <v>80.650000000000006</v>
      </c>
      <c r="AD62">
        <f t="shared" si="2"/>
        <v>3.5300000000000011</v>
      </c>
      <c r="AE62" s="165">
        <f t="shared" si="3"/>
        <v>1.1538943935783363E-2</v>
      </c>
    </row>
    <row r="63" spans="2:31" x14ac:dyDescent="0.25">
      <c r="O63" s="103">
        <v>0.9</v>
      </c>
      <c r="P63" s="103">
        <f t="shared" si="12"/>
        <v>46.844999999999999</v>
      </c>
      <c r="W63" s="130">
        <v>42327</v>
      </c>
      <c r="X63" s="11">
        <v>84.47</v>
      </c>
      <c r="Y63" s="11">
        <v>85.13</v>
      </c>
      <c r="Z63" s="11">
        <v>79.150000000000006</v>
      </c>
      <c r="AA63" s="11">
        <v>79.73</v>
      </c>
      <c r="AB63" s="124">
        <v>972900</v>
      </c>
      <c r="AC63" s="11">
        <v>79.73</v>
      </c>
      <c r="AD63">
        <f t="shared" si="2"/>
        <v>5.9799999999999898</v>
      </c>
      <c r="AE63" s="165">
        <f t="shared" si="3"/>
        <v>-5.7453599716278503E-2</v>
      </c>
    </row>
    <row r="64" spans="2:31" x14ac:dyDescent="0.25">
      <c r="W64" s="130">
        <v>42326</v>
      </c>
      <c r="X64" s="11">
        <v>85.24</v>
      </c>
      <c r="Y64" s="11">
        <v>87.57</v>
      </c>
      <c r="Z64" s="11">
        <v>82.43</v>
      </c>
      <c r="AA64" s="11">
        <v>84.59</v>
      </c>
      <c r="AB64" s="124">
        <v>1937000</v>
      </c>
      <c r="AC64" s="11">
        <v>84.59</v>
      </c>
      <c r="AD64">
        <f t="shared" si="2"/>
        <v>5.1399999999999864</v>
      </c>
      <c r="AE64" s="165">
        <f t="shared" si="3"/>
        <v>6.2554955407612134E-2</v>
      </c>
    </row>
    <row r="65" spans="23:31" x14ac:dyDescent="0.25">
      <c r="W65" s="130">
        <v>42325</v>
      </c>
      <c r="X65" s="11">
        <v>75.3</v>
      </c>
      <c r="Y65" s="11">
        <v>84.56</v>
      </c>
      <c r="Z65" s="11">
        <v>74.72</v>
      </c>
      <c r="AA65" s="11">
        <v>79.61</v>
      </c>
      <c r="AB65" s="124">
        <v>1836400</v>
      </c>
      <c r="AC65" s="11">
        <v>79.61</v>
      </c>
      <c r="AD65">
        <f t="shared" si="2"/>
        <v>9.8400000000000034</v>
      </c>
      <c r="AE65" s="165">
        <f t="shared" si="3"/>
        <v>6.9308260577568781E-2</v>
      </c>
    </row>
    <row r="66" spans="23:31" x14ac:dyDescent="0.25">
      <c r="W66" s="130">
        <v>42324</v>
      </c>
      <c r="X66" s="11">
        <v>70.930000000000007</v>
      </c>
      <c r="Y66" s="11">
        <v>74.739999999999995</v>
      </c>
      <c r="Z66" s="11">
        <v>70.209999999999994</v>
      </c>
      <c r="AA66" s="11">
        <v>74.45</v>
      </c>
      <c r="AB66" s="124">
        <v>847400</v>
      </c>
      <c r="AC66" s="11">
        <v>74.45</v>
      </c>
      <c r="AD66">
        <f t="shared" si="2"/>
        <v>4.5300000000000011</v>
      </c>
      <c r="AE66" s="165">
        <f t="shared" si="3"/>
        <v>4.2863146098893523E-2</v>
      </c>
    </row>
    <row r="67" spans="23:31" x14ac:dyDescent="0.25">
      <c r="W67" s="130">
        <v>42321</v>
      </c>
      <c r="X67" s="11">
        <v>72.180000000000007</v>
      </c>
      <c r="Y67" s="11">
        <v>73.45</v>
      </c>
      <c r="Z67" s="11">
        <v>70</v>
      </c>
      <c r="AA67" s="11">
        <v>71.39</v>
      </c>
      <c r="AB67" s="124">
        <v>604700</v>
      </c>
      <c r="AC67" s="11">
        <v>71.39</v>
      </c>
      <c r="AD67">
        <f>Y67-Z67</f>
        <v>3.4500000000000028</v>
      </c>
      <c r="AE67" s="165" t="e">
        <f>AC67/AC68-1</f>
        <v>#DIV/0!</v>
      </c>
    </row>
    <row r="68" spans="23:31" x14ac:dyDescent="0.25">
      <c r="W68" s="11" t="s">
        <v>130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7" priority="22">
      <formula>F7&gt;0</formula>
    </cfRule>
    <cfRule type="expression" dxfId="16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5" priority="13">
      <formula>F33&gt;0</formula>
    </cfRule>
    <cfRule type="expression" dxfId="14" priority="14">
      <formula>F33&lt;0</formula>
    </cfRule>
  </conditionalFormatting>
  <conditionalFormatting sqref="H33:H39">
    <cfRule type="expression" dxfId="13" priority="11">
      <formula>H33&gt;0</formula>
    </cfRule>
    <cfRule type="expression" dxfId="12" priority="12">
      <formula>H33&lt;0</formula>
    </cfRule>
  </conditionalFormatting>
  <conditionalFormatting sqref="H40">
    <cfRule type="expression" dxfId="11" priority="7">
      <formula>H40&gt;0</formula>
    </cfRule>
    <cfRule type="expression" dxfId="10" priority="8">
      <formula>H40&lt;0</formula>
    </cfRule>
  </conditionalFormatting>
  <conditionalFormatting sqref="H42:H53">
    <cfRule type="expression" dxfId="9" priority="5">
      <formula>H42&gt;0</formula>
    </cfRule>
    <cfRule type="expression" dxfId="8" priority="6">
      <formula>H42&lt;0</formula>
    </cfRule>
  </conditionalFormatting>
  <conditionalFormatting sqref="F41">
    <cfRule type="expression" dxfId="7" priority="3">
      <formula>F41&gt;0</formula>
    </cfRule>
    <cfRule type="expression" dxfId="6" priority="4">
      <formula>F41&lt;0</formula>
    </cfRule>
  </conditionalFormatting>
  <conditionalFormatting sqref="H41">
    <cfRule type="expression" dxfId="5" priority="1">
      <formula>H41&gt;0</formula>
    </cfRule>
    <cfRule type="expression" dxfId="4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72</vt:i4>
      </vt:variant>
    </vt:vector>
  </HeadingPairs>
  <TitlesOfParts>
    <vt:vector size="11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ONCS!hp?s_ONCS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ONCS!q?s_ONCS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2016-02-22T02:44:50Z</dcterms:modified>
</cp:coreProperties>
</file>