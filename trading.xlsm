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rading\"/>
    </mc:Choice>
  </mc:AlternateContent>
  <bookViews>
    <workbookView xWindow="0" yWindow="0" windowWidth="19665" windowHeight="7890" tabRatio="892" activeTab="1"/>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58" i="1" l="1"/>
  <c r="F158" i="1" s="1"/>
  <c r="L8" i="35"/>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Q3" i="13"/>
  <c r="H13" i="13"/>
  <c r="K13" i="13"/>
  <c r="M13" i="13"/>
  <c r="K3" i="3"/>
  <c r="K4" i="3"/>
  <c r="K2" i="3"/>
  <c r="E157" i="1" l="1"/>
  <c r="F157" i="1" s="1"/>
  <c r="E153" i="1" l="1"/>
  <c r="F153" i="1"/>
  <c r="E154" i="1"/>
  <c r="F154" i="1" s="1"/>
  <c r="E155" i="1"/>
  <c r="F155" i="1" s="1"/>
  <c r="E156" i="1"/>
  <c r="F156" i="1" s="1"/>
  <c r="M5" i="28"/>
  <c r="F3" i="33" l="1"/>
  <c r="F2" i="33"/>
  <c r="F3" i="31"/>
  <c r="F2" i="31"/>
  <c r="K4" i="10" l="1"/>
  <c r="F29" i="25" l="1"/>
  <c r="C29" i="25"/>
  <c r="E152" i="1" l="1"/>
  <c r="F152" i="1" s="1"/>
  <c r="M80" i="1" l="1"/>
  <c r="E151" i="1"/>
  <c r="F151" i="1" s="1"/>
  <c r="E25" i="15" l="1"/>
  <c r="F22" i="15"/>
  <c r="F23" i="15"/>
  <c r="F24" i="15"/>
  <c r="F21" i="15"/>
  <c r="M1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9" i="25"/>
  <c r="V4" i="26" l="1"/>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9"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5" i="33"/>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3" i="31" l="1"/>
  <c r="Q6" i="31" s="1"/>
  <c r="Q5" i="31"/>
  <c r="Q2" i="30"/>
  <c r="Q5" i="30" s="1"/>
  <c r="Q3" i="30"/>
  <c r="Q6" i="30" s="1"/>
  <c r="Q3" i="32"/>
  <c r="Q6" i="32" s="1"/>
  <c r="Q7" i="32" s="1"/>
  <c r="Q2" i="15"/>
  <c r="Q6" i="33"/>
  <c r="Q7" i="33" s="1"/>
  <c r="F6" i="8"/>
  <c r="Q3" i="8" s="1"/>
  <c r="Q6" i="8"/>
  <c r="Q5" i="8"/>
  <c r="E119" i="1"/>
  <c r="I119" i="1"/>
  <c r="Q5" i="24"/>
  <c r="Q7" i="24" s="1"/>
  <c r="Q7" i="31" l="1"/>
  <c r="Q7" i="30"/>
  <c r="Q5" i="15"/>
  <c r="Q3" i="15"/>
  <c r="Q6" i="15" s="1"/>
  <c r="Q7" i="8"/>
  <c r="L119" i="1"/>
  <c r="M119" i="1" s="1"/>
  <c r="K3" i="22"/>
  <c r="F23" i="25"/>
  <c r="F8" i="4"/>
  <c r="K3" i="7"/>
  <c r="F22" i="25"/>
  <c r="F28" i="17"/>
  <c r="G35" i="1"/>
  <c r="C35" i="1"/>
  <c r="E34" i="1"/>
  <c r="I33" i="1"/>
  <c r="E33" i="1"/>
  <c r="I32" i="1"/>
  <c r="E32" i="1"/>
  <c r="F26" i="17"/>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5" i="28"/>
  <c r="Q3"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6" i="28"/>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13" i="3"/>
  <c r="F2" i="3"/>
  <c r="F8" i="27"/>
  <c r="C10" i="27"/>
  <c r="F5" i="22"/>
  <c r="F6" i="22"/>
  <c r="F7" i="22"/>
  <c r="C8" i="22"/>
  <c r="F20" i="7"/>
  <c r="H8" i="22"/>
  <c r="F4" i="22"/>
  <c r="F17" i="17"/>
  <c r="F3" i="22"/>
  <c r="K2" i="22"/>
  <c r="K8" i="22" s="1"/>
  <c r="F2" i="22"/>
  <c r="Q2" i="7"/>
  <c r="Q6" i="7" s="1"/>
  <c r="F19" i="7"/>
  <c r="F18" i="7"/>
  <c r="F14" i="25"/>
  <c r="Q3" i="3" l="1"/>
  <c r="Q6" i="3" s="1"/>
  <c r="Q5" i="3"/>
  <c r="F13" i="13"/>
  <c r="Q6" i="13" s="1"/>
  <c r="Q7" i="13" s="1"/>
  <c r="Q2" i="12"/>
  <c r="Q5" i="12" s="1"/>
  <c r="F8" i="22"/>
  <c r="F6" i="34"/>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Q3" i="4" l="1"/>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<sst xmlns="http://schemas.openxmlformats.org/spreadsheetml/2006/main" count="898" uniqueCount="232">
  <si>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</si>
  <si>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</si>
  <si>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</si>
  <si>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</si>
  <si>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</si>
  <si>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</si>
  <si>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</si>
  <si>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</si>
  <si>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</si>
  <si>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</si>
  <si>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</si>
  <si>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</si>
  <si>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</si>
  <si>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</si>
  <si>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</si>
  <si>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</si>
  <si>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</si>
  <si>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</si>
  <si>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</si>
  <si>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</si>
  <si>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</si>
  <si>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</si>
  <si>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</si>
  <si>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</si>
  <si>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</si>
  <si>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</si>
  <si>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</si>
  <si>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</si>
  <si>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</si>
  <si>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</si>
  <si>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</si>
  <si>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</si>
  <si>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</si>
  <si>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</si>
  <si>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</si>
  <si>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</si>
  <si>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</si>
  <si>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</si>
  <si>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</si>
  <si>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</si>
  <si>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</si>
  <si>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</si>
  <si>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</si>
  <si>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</si>
  <si>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</si>
  <si>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</si>
  <si>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</si>
  <si>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</si>
  <si>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</si>
  <si>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</si>
  <si>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</si>
  <si>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</si>
  <si>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</si>
  <si>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</si>
  <si>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</si>
  <si>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</si>
  <si>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</si>
  <si>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</si>
  <si>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</si>
  <si>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</si>
  <si>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</si>
  <si>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</si>
  <si>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</si>
  <si>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</si>
  <si>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</si>
  <si>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</si>
  <si>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</si>
  <si>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</si>
  <si>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</si>
  <si>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</si>
  <si>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</si>
  <si>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</si>
  <si>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</si>
  <si>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</si>
  <si>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</si>
  <si>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</si>
  <si>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</si>
  <si>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</si>
  <si>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</si>
  <si>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</si>
  <si>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</si>
  <si>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</si>
  <si>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</si>
  <si>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</si>
  <si>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</si>
  <si>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</si>
  <si>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</si>
  <si>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</si>
  <si>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</si>
  <si>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</si>
  <si>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</si>
  <si>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</si>
  <si>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</si>
  <si>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</si>
  <si>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</si>
  <si>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</si>
  <si>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</si>
  <si>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</si>
  <si>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</si>
  <si>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</si>
  <si>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</si>
  <si>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</si>
  <si>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</si>
  <si>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</si>
  <si>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</si>
  <si>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</si>
  <si>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</si>
  <si>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</si>
  <si>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</si>
  <si>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</si>
  <si>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</si>
  <si>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</si>
  <si>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</si>
  <si>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</si>
  <si>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</si>
  <si>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</si>
  <si>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</si>
  <si>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</si>
  <si>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</si>
  <si>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</si>
  <si>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</si>
  <si>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</si>
  <si>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</si>
  <si>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</si>
  <si>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</si>
  <si>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</si>
  <si>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</si>
  <si>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</si>
  <si>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</si>
  <si>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</si>
  <si>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</si>
  <si>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</si>
  <si>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</si>
  <si>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</si>
  <si>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</si>
  <si>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</si>
  <si>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</si>
  <si>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</si>
  <si>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</si>
  <si>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</si>
  <si>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</si>
  <si>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</si>
  <si>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</si>
  <si>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</si>
  <si>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</si>
  <si>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</si>
  <si>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</si>
  <si>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</si>
  <si>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</si>
  <si>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</si>
  <si>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</si>
  <si>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</si>
  <si>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</si>
  <si>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</si>
  <si>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</si>
  <si>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</si>
  <si>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</si>
  <si>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</si>
  <si>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</si>
  <si>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</si>
  <si>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</si>
  <si>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</si>
  <si>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</si>
  <si>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</si>
  <si>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</si>
  <si>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</si>
  <si>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</si>
  <si>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</si>
  <si>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</si>
  <si>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</si>
  <si>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</si>
  <si>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</si>
  <si>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</si>
  <si>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</si>
  <si>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</si>
  <si>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</si>
  <si>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</si>
  <si>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</si>
  <si>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</si>
  <si>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</si>
  <si>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</si>
  <si>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</si>
  <si>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</si>
  <si>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</si>
  <si>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</si>
  <si>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</si>
  <si>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</si>
  <si>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</si>
  <si>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</si>
  <si>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</si>
  <si>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</si>
  <si>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</si>
  <si>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</si>
  <si>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</si>
  <si>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</si>
  <si>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</si>
  <si>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</si>
  <si>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</si>
  <si>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</si>
  <si>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</si>
  <si>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</si>
  <si>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</si>
  <si>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</si>
  <si>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</si>
  <si>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</si>
  <si>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</si>
  <si>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</si>
  <si>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</si>
  <si>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</si>
  <si>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</si>
  <si>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</si>
  <si>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</si>
  <si>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</si>
  <si>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</si>
  <si>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</si>
  <si>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</si>
  <si>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</si>
  <si>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</si>
  <si>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</si>
  <si>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</si>
  <si>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</si>
  <si>
    <t>Q3ER, est. -0.325, 1.58B</t>
  </si>
  <si>
    <t>merril power/gas conference</t>
  </si>
  <si>
    <t>Q3ER, 0.791/1.89B</t>
  </si>
  <si>
    <t>Q3ER</t>
  </si>
  <si>
    <t>Q3ER 0.586, 14.237B</t>
  </si>
  <si>
    <t>~10/13</t>
  </si>
  <si>
    <t>city global tech conference</t>
  </si>
  <si>
    <t>cumu P/L</t>
  </si>
  <si>
    <t>Leerink immuno-oncology roundtable</t>
  </si>
  <si>
    <t>ER/E</t>
  </si>
  <si>
    <t>J&amp;J, Gilead Sue Mylan Over Application to Sell Generic Complera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</si>
</sst>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59">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0" fontId="20" fillId="0" borderId="0" xfId="0" applyFont="1"/>
    <xf numFmtId="0" fontId="19"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7"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0" fontId="8" fillId="7" borderId="0" xfId="0" applyFont="1" applyFill="1" applyAlignment="1">
      <alignment horizontal="center" vertical="center"/>
    </xf>
    <xf numFmtId="14" fontId="7" fillId="7" borderId="0" xfId="0" applyNumberFormat="1" applyFont="1" applyFill="1" applyAlignment="1">
      <alignment horizontal="center" vertical="center"/>
    </xf>
    <xf numFmtId="2" fontId="8" fillId="7" borderId="0" xfId="0" applyNumberFormat="1" applyFont="1" applyFill="1" applyAlignment="1">
      <alignment vertical="center"/>
    </xf>
    <xf numFmtId="2" fontId="8" fillId="7" borderId="0" xfId="0" applyNumberFormat="1" applyFont="1" applyFill="1" applyAlignment="1">
      <alignment horizontal="right" vertical="center"/>
    </xf>
    <xf numFmtId="10" fontId="8" fillId="7" borderId="0" xfId="0" applyNumberFormat="1" applyFont="1" applyFill="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16" fontId="0" fillId="0" borderId="0" xfId="0" applyNumberFormat="1" applyAlignment="1">
      <alignment horizontal="right" vertical="center"/>
    </xf>
    <xf numFmtId="16" fontId="0" fillId="5" borderId="0" xfId="0" applyNumberFormat="1" applyFill="1"/>
    <xf numFmtId="2" fontId="4" fillId="0" borderId="0" xfId="0" applyNumberFormat="1" applyFont="1" applyFill="1"/>
    <xf numFmtId="1" fontId="3" fillId="0" borderId="0" xfId="0" applyNumberFormat="1" applyFont="1"/>
    <xf numFmtId="1" fontId="4" fillId="4" borderId="0" xfId="0" applyNumberFormat="1" applyFont="1" applyFill="1"/>
    <xf numFmtId="1" fontId="0" fillId="2" borderId="1" xfId="0" applyNumberFormat="1" applyFill="1" applyBorder="1"/>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pt idx="13">
                  <c:v>307941.06</c:v>
                </c:pt>
                <c:pt idx="14">
                  <c:v>307941.06</c:v>
                </c:pt>
                <c:pt idx="15">
                  <c:v>311200.71000000002</c:v>
                </c:pt>
                <c:pt idx="16">
                  <c:v>307440.78999999998</c:v>
                </c:pt>
                <c:pt idx="17">
                  <c:v>326031.94</c:v>
                </c:pt>
                <c:pt idx="18">
                  <c:v>328219.34000000003</c:v>
                </c:pt>
              </c:numCache>
            </c:numRef>
          </c:yVal>
          <c:smooth val="1"/>
        </c:ser>
        <c:dLbls>
          <c:showLegendKey val="0"/>
          <c:showVal val="0"/>
          <c:showCatName val="0"/>
          <c:showSerName val="0"/>
          <c:showPercent val="0"/>
          <c:showBubbleSize val="0"/>
        </c:dLbls>
        <c:axId val="339451520"/>
        <c:axId val="339451904"/>
      </c:scatterChart>
      <c:valAx>
        <c:axId val="339451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9451904"/>
        <c:crosses val="autoZero"/>
        <c:crossBetween val="midCat"/>
      </c:valAx>
      <c:valAx>
        <c:axId val="339451904"/>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9451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pt idx="13">
                  <c:v>-52058.94</c:v>
                </c:pt>
                <c:pt idx="14">
                  <c:v>-52058.94</c:v>
                </c:pt>
                <c:pt idx="15">
                  <c:v>-48799.289999999979</c:v>
                </c:pt>
                <c:pt idx="16">
                  <c:v>-57559.210000000021</c:v>
                </c:pt>
                <c:pt idx="17">
                  <c:v>-53968.06</c:v>
                </c:pt>
                <c:pt idx="18">
                  <c:v>-51780.659999999974</c:v>
                </c:pt>
              </c:numCache>
            </c:numRef>
          </c:yVal>
          <c:smooth val="1"/>
        </c:ser>
        <c:dLbls>
          <c:showLegendKey val="0"/>
          <c:showVal val="0"/>
          <c:showCatName val="0"/>
          <c:showSerName val="0"/>
          <c:showPercent val="0"/>
          <c:showBubbleSize val="0"/>
        </c:dLbls>
        <c:axId val="340803168"/>
        <c:axId val="340087136"/>
      </c:scatterChart>
      <c:valAx>
        <c:axId val="340803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40087136"/>
        <c:crosses val="autoZero"/>
        <c:crossBetween val="midCat"/>
      </c:valAx>
      <c:valAx>
        <c:axId val="340087136"/>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40803168"/>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70"/>
  <sheetViews>
    <sheetView workbookViewId="0">
      <pane ySplit="1" topLeftCell="A153" activePane="bottomLeft" state="frozen"/>
      <selection activeCell="E5" sqref="E5"/>
      <selection pane="bottomLeft" activeCell="F168" sqref="F168"/>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51"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51"/>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51"/>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51"/>
      <c r="B5" s="42">
        <v>42166</v>
      </c>
      <c r="C5" s="41">
        <v>100</v>
      </c>
      <c r="D5" s="43">
        <v>39.799999999999997</v>
      </c>
      <c r="E5" s="38">
        <f>C5*D5</f>
        <v>3979.9999999999995</v>
      </c>
      <c r="F5" s="43"/>
      <c r="G5" s="41"/>
      <c r="H5" s="43"/>
      <c r="I5" s="38">
        <f>G5*H5</f>
        <v>0</v>
      </c>
      <c r="J5" s="43"/>
      <c r="K5" s="38"/>
      <c r="L5" s="38"/>
      <c r="M5" s="52"/>
    </row>
    <row r="6" spans="1:13" ht="18" customHeight="1" collapsed="1" x14ac:dyDescent="0.25">
      <c r="A6" s="151"/>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52" t="s">
        <v>48</v>
      </c>
      <c r="B7" s="45"/>
      <c r="C7" s="40"/>
      <c r="D7" s="45"/>
      <c r="E7" s="39"/>
      <c r="F7" s="45"/>
      <c r="G7" s="40"/>
      <c r="H7" s="45"/>
      <c r="I7" s="39"/>
      <c r="J7" s="45"/>
      <c r="K7" s="39"/>
      <c r="L7" s="39"/>
      <c r="M7" s="53"/>
    </row>
    <row r="8" spans="1:13" ht="18" hidden="1" customHeight="1" outlineLevel="1" x14ac:dyDescent="0.25">
      <c r="A8" s="152"/>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52"/>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51" t="s">
        <v>29</v>
      </c>
      <c r="B10" s="43"/>
      <c r="C10" s="41"/>
      <c r="D10" s="43"/>
      <c r="E10" s="38"/>
      <c r="F10" s="43"/>
      <c r="G10" s="41"/>
      <c r="H10" s="43"/>
      <c r="I10" s="38"/>
      <c r="J10" s="43"/>
      <c r="K10" s="38"/>
      <c r="L10" s="38"/>
      <c r="M10" s="52"/>
    </row>
    <row r="11" spans="1:13" ht="18" hidden="1" customHeight="1" outlineLevel="1" x14ac:dyDescent="0.25">
      <c r="A11" s="151"/>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51"/>
      <c r="B12" s="42">
        <v>42184</v>
      </c>
      <c r="C12" s="41">
        <v>5</v>
      </c>
      <c r="D12" s="43">
        <v>44.5</v>
      </c>
      <c r="E12" s="38">
        <f>C12*D12</f>
        <v>222.5</v>
      </c>
      <c r="F12" s="43"/>
      <c r="G12" s="41"/>
      <c r="H12" s="43"/>
      <c r="I12" s="38"/>
      <c r="J12" s="43"/>
      <c r="K12" s="38"/>
      <c r="L12" s="38"/>
      <c r="M12" s="52"/>
    </row>
    <row r="13" spans="1:13" ht="18" hidden="1" customHeight="1" outlineLevel="1" x14ac:dyDescent="0.25">
      <c r="A13" s="151"/>
      <c r="B13" s="42">
        <v>42184</v>
      </c>
      <c r="C13" s="41">
        <v>10</v>
      </c>
      <c r="D13" s="43">
        <v>44.35</v>
      </c>
      <c r="E13" s="38">
        <f>C13*D13</f>
        <v>443.5</v>
      </c>
      <c r="F13" s="43"/>
      <c r="G13" s="41"/>
      <c r="H13" s="43"/>
      <c r="I13" s="38"/>
      <c r="J13" s="43"/>
      <c r="K13" s="38"/>
      <c r="L13" s="38"/>
      <c r="M13" s="52"/>
    </row>
    <row r="14" spans="1:13" ht="18" customHeight="1" collapsed="1" x14ac:dyDescent="0.25">
      <c r="A14" s="151"/>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52" t="s">
        <v>30</v>
      </c>
      <c r="B15" s="45"/>
      <c r="C15" s="40"/>
      <c r="D15" s="45"/>
      <c r="E15" s="39"/>
      <c r="F15" s="45"/>
      <c r="G15" s="40"/>
      <c r="H15" s="45"/>
      <c r="I15" s="39"/>
      <c r="J15" s="45"/>
      <c r="K15" s="39"/>
      <c r="L15" s="39"/>
      <c r="M15" s="53"/>
    </row>
    <row r="16" spans="1:13" ht="18" hidden="1" customHeight="1" outlineLevel="1" x14ac:dyDescent="0.25">
      <c r="A16" s="152"/>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52"/>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51" t="s">
        <v>8</v>
      </c>
      <c r="B18" s="43"/>
      <c r="C18" s="41"/>
      <c r="D18" s="43"/>
      <c r="E18" s="38"/>
      <c r="F18" s="43"/>
      <c r="G18" s="41"/>
      <c r="H18" s="43"/>
      <c r="I18" s="38"/>
      <c r="J18" s="43"/>
      <c r="K18" s="38"/>
      <c r="L18" s="38"/>
      <c r="M18" s="52"/>
    </row>
    <row r="19" spans="1:13" ht="18" hidden="1" customHeight="1" outlineLevel="1" x14ac:dyDescent="0.25">
      <c r="A19" s="151"/>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51"/>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51"/>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51"/>
      <c r="B22" s="42">
        <v>42146</v>
      </c>
      <c r="C22" s="41">
        <v>20</v>
      </c>
      <c r="D22" s="43">
        <v>61.1</v>
      </c>
      <c r="E22" s="38">
        <f t="shared" si="2"/>
        <v>1222</v>
      </c>
      <c r="F22" s="43"/>
      <c r="G22" s="41"/>
      <c r="H22" s="43"/>
      <c r="I22" s="38"/>
      <c r="J22" s="43"/>
      <c r="K22" s="38"/>
      <c r="L22" s="38"/>
      <c r="M22" s="52"/>
    </row>
    <row r="23" spans="1:13" ht="18" hidden="1" customHeight="1" outlineLevel="1" x14ac:dyDescent="0.25">
      <c r="A23" s="151"/>
      <c r="B23" s="42">
        <v>42146</v>
      </c>
      <c r="C23" s="41">
        <v>10</v>
      </c>
      <c r="D23" s="43">
        <v>60.8</v>
      </c>
      <c r="E23" s="38">
        <f t="shared" si="2"/>
        <v>608</v>
      </c>
      <c r="F23" s="43"/>
      <c r="G23" s="41"/>
      <c r="H23" s="43"/>
      <c r="I23" s="38"/>
      <c r="J23" s="43"/>
      <c r="K23" s="38"/>
      <c r="L23" s="38"/>
      <c r="M23" s="52"/>
    </row>
    <row r="24" spans="1:13" ht="18" hidden="1" customHeight="1" outlineLevel="1" x14ac:dyDescent="0.25">
      <c r="A24" s="151"/>
      <c r="B24" s="42">
        <v>42146</v>
      </c>
      <c r="C24" s="41">
        <v>20</v>
      </c>
      <c r="D24" s="43">
        <v>60.7</v>
      </c>
      <c r="E24" s="38">
        <f t="shared" si="2"/>
        <v>1214</v>
      </c>
      <c r="F24" s="43"/>
      <c r="G24" s="41"/>
      <c r="H24" s="43"/>
      <c r="I24" s="38"/>
      <c r="J24" s="43"/>
      <c r="K24" s="38"/>
      <c r="L24" s="38"/>
      <c r="M24" s="52"/>
    </row>
    <row r="25" spans="1:13" ht="18" hidden="1" customHeight="1" outlineLevel="1" x14ac:dyDescent="0.25">
      <c r="A25" s="151"/>
      <c r="B25" s="42">
        <v>42150</v>
      </c>
      <c r="C25" s="41">
        <v>20</v>
      </c>
      <c r="D25" s="43">
        <v>60.6</v>
      </c>
      <c r="E25" s="38">
        <f t="shared" si="2"/>
        <v>1212</v>
      </c>
      <c r="F25" s="43"/>
      <c r="G25" s="41"/>
      <c r="H25" s="43"/>
      <c r="I25" s="38"/>
      <c r="J25" s="43"/>
      <c r="K25" s="38"/>
      <c r="L25" s="38"/>
      <c r="M25" s="52"/>
    </row>
    <row r="26" spans="1:13" ht="18" hidden="1" customHeight="1" outlineLevel="1" x14ac:dyDescent="0.25">
      <c r="A26" s="151"/>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51"/>
      <c r="B27" s="42">
        <v>42152</v>
      </c>
      <c r="C27" s="41">
        <v>30</v>
      </c>
      <c r="D27" s="43">
        <v>60.39</v>
      </c>
      <c r="E27" s="38">
        <f t="shared" si="2"/>
        <v>1811.7</v>
      </c>
      <c r="F27" s="43"/>
      <c r="G27" s="41"/>
      <c r="H27" s="43"/>
      <c r="I27" s="38"/>
      <c r="J27" s="43"/>
      <c r="K27" s="38"/>
      <c r="L27" s="38"/>
      <c r="M27" s="52"/>
    </row>
    <row r="28" spans="1:13" ht="18" hidden="1" customHeight="1" outlineLevel="1" x14ac:dyDescent="0.25">
      <c r="A28" s="151"/>
      <c r="B28" s="42">
        <v>42166</v>
      </c>
      <c r="C28" s="41">
        <v>100</v>
      </c>
      <c r="D28" s="43">
        <v>58</v>
      </c>
      <c r="E28" s="38">
        <f t="shared" si="2"/>
        <v>5800</v>
      </c>
      <c r="F28" s="43"/>
      <c r="G28" s="41"/>
      <c r="H28" s="43"/>
      <c r="I28" s="38"/>
      <c r="J28" s="43"/>
      <c r="K28" s="38"/>
      <c r="L28" s="38"/>
      <c r="M28" s="52"/>
    </row>
    <row r="29" spans="1:13" ht="18" hidden="1" customHeight="1" outlineLevel="1" x14ac:dyDescent="0.25">
      <c r="A29" s="151"/>
      <c r="B29" s="42">
        <v>42187</v>
      </c>
      <c r="C29" s="41">
        <v>290</v>
      </c>
      <c r="D29" s="43">
        <v>57.85</v>
      </c>
      <c r="E29" s="38">
        <f t="shared" si="2"/>
        <v>16776.5</v>
      </c>
      <c r="F29" s="43"/>
      <c r="G29" s="41"/>
      <c r="H29" s="43"/>
      <c r="I29" s="38"/>
      <c r="J29" s="43"/>
      <c r="K29" s="38"/>
      <c r="L29" s="38"/>
      <c r="M29" s="52"/>
    </row>
    <row r="30" spans="1:13" ht="18" customHeight="1" collapsed="1" x14ac:dyDescent="0.25">
      <c r="A30" s="151"/>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52" t="s">
        <v>40</v>
      </c>
      <c r="B31" s="45"/>
      <c r="C31" s="40"/>
      <c r="D31" s="45"/>
      <c r="E31" s="39"/>
      <c r="F31" s="45"/>
      <c r="G31" s="40"/>
      <c r="H31" s="45"/>
      <c r="I31" s="39"/>
      <c r="J31" s="45"/>
      <c r="K31" s="39"/>
      <c r="L31" s="39"/>
      <c r="M31" s="53"/>
    </row>
    <row r="32" spans="1:13" ht="18" hidden="1" customHeight="1" outlineLevel="1" x14ac:dyDescent="0.25">
      <c r="A32" s="152"/>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52"/>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52"/>
      <c r="B34" s="46">
        <v>42209</v>
      </c>
      <c r="C34" s="40">
        <v>10</v>
      </c>
      <c r="D34" s="45">
        <v>146.69999999999999</v>
      </c>
      <c r="E34" s="39">
        <f>C34*D34</f>
        <v>1467</v>
      </c>
      <c r="F34" s="45"/>
      <c r="G34" s="40"/>
      <c r="H34" s="45"/>
      <c r="I34" s="39"/>
      <c r="J34" s="45"/>
      <c r="K34" s="39"/>
      <c r="L34" s="39"/>
      <c r="M34" s="40"/>
    </row>
    <row r="35" spans="1:13" ht="18" customHeight="1" collapsed="1" x14ac:dyDescent="0.25">
      <c r="A35" s="152"/>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51" t="s">
        <v>32</v>
      </c>
      <c r="B36" s="43"/>
      <c r="C36" s="41"/>
      <c r="D36" s="43"/>
      <c r="E36" s="38"/>
      <c r="F36" s="43"/>
      <c r="G36" s="41"/>
      <c r="H36" s="43"/>
      <c r="I36" s="38"/>
      <c r="J36" s="43"/>
      <c r="K36" s="38"/>
      <c r="L36" s="38"/>
      <c r="M36" s="52"/>
    </row>
    <row r="37" spans="1:13" ht="18" hidden="1" customHeight="1" outlineLevel="1" x14ac:dyDescent="0.25">
      <c r="A37" s="151"/>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51"/>
      <c r="B38" s="42">
        <v>42167</v>
      </c>
      <c r="C38" s="41">
        <v>25</v>
      </c>
      <c r="D38" s="43">
        <v>39.1</v>
      </c>
      <c r="E38" s="38">
        <f>C38*D38</f>
        <v>977.5</v>
      </c>
      <c r="F38" s="43"/>
      <c r="G38" s="41"/>
      <c r="H38" s="43"/>
      <c r="I38" s="38"/>
      <c r="J38" s="43"/>
      <c r="K38" s="38"/>
      <c r="L38" s="38"/>
      <c r="M38" s="52"/>
    </row>
    <row r="39" spans="1:13" ht="18" customHeight="1" collapsed="1" x14ac:dyDescent="0.25">
      <c r="A39" s="151"/>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52" t="s">
        <v>16</v>
      </c>
      <c r="B40" s="45"/>
      <c r="C40" s="40"/>
      <c r="D40" s="45"/>
      <c r="E40" s="39"/>
      <c r="F40" s="45"/>
      <c r="G40" s="40"/>
      <c r="H40" s="45"/>
      <c r="I40" s="39"/>
      <c r="J40" s="45"/>
      <c r="K40" s="39"/>
      <c r="L40" s="39"/>
      <c r="M40" s="53"/>
    </row>
    <row r="41" spans="1:13" ht="18" hidden="1" customHeight="1" outlineLevel="1" x14ac:dyDescent="0.25">
      <c r="A41" s="152"/>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52"/>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51" t="s">
        <v>21</v>
      </c>
      <c r="B43" s="43"/>
      <c r="C43" s="41"/>
      <c r="D43" s="43"/>
      <c r="E43" s="38"/>
      <c r="F43" s="43"/>
      <c r="G43" s="41"/>
      <c r="H43" s="43"/>
      <c r="I43" s="38"/>
      <c r="J43" s="43"/>
      <c r="K43" s="38"/>
      <c r="L43" s="38"/>
      <c r="M43" s="52"/>
    </row>
    <row r="44" spans="1:13" ht="18" hidden="1" customHeight="1" outlineLevel="1" x14ac:dyDescent="0.25">
      <c r="A44" s="151"/>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51"/>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51"/>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51"/>
      <c r="B47" s="42">
        <v>42187</v>
      </c>
      <c r="C47" s="41">
        <v>2000</v>
      </c>
      <c r="D47" s="43">
        <v>21.49</v>
      </c>
      <c r="E47" s="38">
        <f>C47*D47</f>
        <v>42980</v>
      </c>
      <c r="F47" s="42"/>
      <c r="G47" s="41"/>
      <c r="H47" s="43"/>
      <c r="I47" s="38">
        <f>G47*H47</f>
        <v>0</v>
      </c>
      <c r="J47" s="43"/>
      <c r="K47" s="38"/>
      <c r="L47" s="38"/>
      <c r="M47" s="52"/>
    </row>
    <row r="48" spans="1:13" ht="18" customHeight="1" collapsed="1" x14ac:dyDescent="0.25">
      <c r="A48" s="151"/>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52" t="s">
        <v>9</v>
      </c>
      <c r="B49" s="45"/>
      <c r="C49" s="40"/>
      <c r="D49" s="45"/>
      <c r="E49" s="39"/>
      <c r="F49" s="45"/>
      <c r="G49" s="40"/>
      <c r="H49" s="45"/>
      <c r="I49" s="39"/>
      <c r="J49" s="45"/>
      <c r="K49" s="39"/>
      <c r="L49" s="40"/>
      <c r="M49" s="40"/>
    </row>
    <row r="50" spans="1:13" ht="18" hidden="1" customHeight="1" outlineLevel="1" x14ac:dyDescent="0.25">
      <c r="A50" s="152"/>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52"/>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52"/>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52"/>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52"/>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52"/>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52"/>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52"/>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52"/>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52"/>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52"/>
      <c r="B60" s="46">
        <v>42152</v>
      </c>
      <c r="C60" s="40">
        <v>2000</v>
      </c>
      <c r="D60" s="45">
        <v>5.15</v>
      </c>
      <c r="E60" s="39">
        <f t="shared" si="4"/>
        <v>10300</v>
      </c>
      <c r="F60" s="45"/>
      <c r="G60" s="40"/>
      <c r="H60" s="45"/>
      <c r="I60" s="39"/>
      <c r="J60" s="45"/>
      <c r="K60" s="39"/>
      <c r="L60" s="40"/>
      <c r="M60" s="40"/>
    </row>
    <row r="61" spans="1:13" ht="18" hidden="1" customHeight="1" outlineLevel="1" x14ac:dyDescent="0.25">
      <c r="A61" s="152"/>
      <c r="B61" s="46">
        <v>42158</v>
      </c>
      <c r="C61" s="40">
        <v>500</v>
      </c>
      <c r="D61" s="45">
        <v>5.09</v>
      </c>
      <c r="E61" s="39">
        <f t="shared" si="4"/>
        <v>2545</v>
      </c>
      <c r="F61" s="45"/>
      <c r="G61" s="40"/>
      <c r="H61" s="45"/>
      <c r="I61" s="39"/>
      <c r="J61" s="45"/>
      <c r="K61" s="39"/>
      <c r="L61" s="40"/>
      <c r="M61" s="40"/>
    </row>
    <row r="62" spans="1:13" ht="18" hidden="1" customHeight="1" outlineLevel="1" x14ac:dyDescent="0.25">
      <c r="A62" s="152"/>
      <c r="B62" s="46">
        <v>42158</v>
      </c>
      <c r="C62" s="40">
        <v>1000</v>
      </c>
      <c r="D62" s="45">
        <v>5.04</v>
      </c>
      <c r="E62" s="39">
        <f t="shared" si="4"/>
        <v>5040</v>
      </c>
      <c r="F62" s="45"/>
      <c r="G62" s="40"/>
      <c r="H62" s="45"/>
      <c r="I62" s="39"/>
      <c r="J62" s="45"/>
      <c r="K62" s="39"/>
      <c r="L62" s="40"/>
      <c r="M62" s="40"/>
    </row>
    <row r="63" spans="1:13" ht="18" hidden="1" customHeight="1" outlineLevel="1" x14ac:dyDescent="0.25">
      <c r="A63" s="152"/>
      <c r="B63" s="46">
        <v>42158</v>
      </c>
      <c r="C63" s="40">
        <v>200</v>
      </c>
      <c r="D63" s="45">
        <v>5.05</v>
      </c>
      <c r="E63" s="39">
        <f t="shared" si="4"/>
        <v>1010</v>
      </c>
      <c r="F63" s="45"/>
      <c r="G63" s="40"/>
      <c r="H63" s="45"/>
      <c r="I63" s="39"/>
      <c r="J63" s="45"/>
      <c r="K63" s="39"/>
      <c r="L63" s="40"/>
      <c r="M63" s="40"/>
    </row>
    <row r="64" spans="1:13" ht="18" hidden="1" customHeight="1" outlineLevel="1" x14ac:dyDescent="0.25">
      <c r="A64" s="152"/>
      <c r="B64" s="46">
        <v>42164</v>
      </c>
      <c r="C64" s="40">
        <v>500</v>
      </c>
      <c r="D64" s="45">
        <v>5.07</v>
      </c>
      <c r="E64" s="39">
        <f t="shared" si="4"/>
        <v>2535</v>
      </c>
      <c r="F64" s="45"/>
      <c r="G64" s="40"/>
      <c r="H64" s="45"/>
      <c r="I64" s="39"/>
      <c r="J64" s="45"/>
      <c r="K64" s="39"/>
      <c r="L64" s="40"/>
      <c r="M64" s="40"/>
    </row>
    <row r="65" spans="1:13" ht="18" hidden="1" customHeight="1" outlineLevel="1" x14ac:dyDescent="0.25">
      <c r="A65" s="152"/>
      <c r="B65" s="46">
        <v>42164</v>
      </c>
      <c r="C65" s="40">
        <v>1000</v>
      </c>
      <c r="D65" s="45">
        <v>5.04</v>
      </c>
      <c r="E65" s="39">
        <f t="shared" si="4"/>
        <v>5040</v>
      </c>
      <c r="F65" s="45"/>
      <c r="G65" s="40"/>
      <c r="H65" s="45"/>
      <c r="I65" s="39"/>
      <c r="J65" s="45"/>
      <c r="K65" s="39"/>
      <c r="L65" s="40"/>
      <c r="M65" s="40"/>
    </row>
    <row r="66" spans="1:13" ht="18" hidden="1" customHeight="1" outlineLevel="1" x14ac:dyDescent="0.25">
      <c r="A66" s="152"/>
      <c r="B66" s="46">
        <v>42164</v>
      </c>
      <c r="C66" s="40">
        <v>1000</v>
      </c>
      <c r="D66" s="45">
        <v>5.01</v>
      </c>
      <c r="E66" s="39">
        <f t="shared" si="4"/>
        <v>5010</v>
      </c>
      <c r="F66" s="45"/>
      <c r="G66" s="40"/>
      <c r="H66" s="45"/>
      <c r="I66" s="39"/>
      <c r="J66" s="45"/>
      <c r="K66" s="39"/>
      <c r="L66" s="40"/>
      <c r="M66" s="40"/>
    </row>
    <row r="67" spans="1:13" ht="18" hidden="1" customHeight="1" outlineLevel="1" x14ac:dyDescent="0.25">
      <c r="A67" s="152"/>
      <c r="B67" s="46">
        <v>42173</v>
      </c>
      <c r="C67" s="40">
        <v>500</v>
      </c>
      <c r="D67" s="45">
        <v>4.88</v>
      </c>
      <c r="E67" s="39">
        <f t="shared" si="4"/>
        <v>2440</v>
      </c>
      <c r="F67" s="45"/>
      <c r="G67" s="40"/>
      <c r="H67" s="45"/>
      <c r="I67" s="39"/>
      <c r="J67" s="45"/>
      <c r="K67" s="39"/>
      <c r="L67" s="40"/>
      <c r="M67" s="40"/>
    </row>
    <row r="68" spans="1:13" ht="18" hidden="1" customHeight="1" outlineLevel="1" x14ac:dyDescent="0.25">
      <c r="A68" s="152"/>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52"/>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52"/>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52"/>
      <c r="B71" s="46">
        <v>42187</v>
      </c>
      <c r="C71" s="40">
        <v>2000</v>
      </c>
      <c r="D71" s="45">
        <v>4.97</v>
      </c>
      <c r="E71" s="39">
        <f t="shared" si="4"/>
        <v>9940</v>
      </c>
      <c r="F71" s="45"/>
      <c r="G71" s="40"/>
      <c r="H71" s="45"/>
      <c r="I71" s="39"/>
      <c r="J71" s="45"/>
      <c r="K71" s="39"/>
      <c r="L71" s="40"/>
      <c r="M71" s="40"/>
    </row>
    <row r="72" spans="1:13" ht="18" hidden="1" customHeight="1" outlineLevel="1" x14ac:dyDescent="0.25">
      <c r="A72" s="152"/>
      <c r="B72" s="46">
        <v>42199</v>
      </c>
      <c r="C72" s="40">
        <v>500</v>
      </c>
      <c r="D72" s="45">
        <v>4.8</v>
      </c>
      <c r="E72" s="39">
        <f t="shared" si="4"/>
        <v>2400</v>
      </c>
      <c r="F72" s="45"/>
      <c r="G72" s="40"/>
      <c r="H72" s="45"/>
      <c r="I72" s="39"/>
      <c r="J72" s="45"/>
      <c r="K72" s="39"/>
      <c r="L72" s="40"/>
      <c r="M72" s="40"/>
    </row>
    <row r="73" spans="1:13" ht="18" hidden="1" customHeight="1" outlineLevel="1" x14ac:dyDescent="0.25">
      <c r="A73" s="152"/>
      <c r="B73" s="46">
        <v>42212</v>
      </c>
      <c r="C73" s="40">
        <v>300</v>
      </c>
      <c r="D73" s="45">
        <v>4.76</v>
      </c>
      <c r="E73" s="39">
        <f t="shared" si="4"/>
        <v>1428</v>
      </c>
      <c r="F73" s="45"/>
      <c r="G73" s="40"/>
      <c r="H73" s="45"/>
      <c r="I73" s="39"/>
      <c r="J73" s="45"/>
      <c r="K73" s="39"/>
      <c r="L73" s="40"/>
      <c r="M73" s="40"/>
    </row>
    <row r="74" spans="1:13" ht="18" hidden="1" customHeight="1" outlineLevel="1" x14ac:dyDescent="0.25">
      <c r="A74" s="152"/>
      <c r="B74" s="46">
        <v>42212</v>
      </c>
      <c r="C74" s="40">
        <v>1700</v>
      </c>
      <c r="D74" s="45">
        <v>4.76</v>
      </c>
      <c r="E74" s="39">
        <f t="shared" si="4"/>
        <v>8092</v>
      </c>
      <c r="F74" s="45"/>
      <c r="G74" s="40"/>
      <c r="H74" s="45"/>
      <c r="I74" s="39"/>
      <c r="J74" s="45"/>
      <c r="K74" s="39"/>
      <c r="L74" s="40"/>
      <c r="M74" s="40"/>
    </row>
    <row r="75" spans="1:13" ht="18" hidden="1" customHeight="1" outlineLevel="1" x14ac:dyDescent="0.25">
      <c r="A75" s="152"/>
      <c r="B75" s="46">
        <v>42214</v>
      </c>
      <c r="C75" s="40">
        <v>500</v>
      </c>
      <c r="D75" s="45">
        <v>4.68</v>
      </c>
      <c r="E75" s="39">
        <f t="shared" si="4"/>
        <v>2340</v>
      </c>
      <c r="F75" s="45"/>
      <c r="G75" s="40"/>
      <c r="H75" s="45"/>
      <c r="I75" s="39"/>
      <c r="J75" s="45"/>
      <c r="K75" s="39"/>
      <c r="L75" s="40"/>
      <c r="M75" s="40"/>
    </row>
    <row r="76" spans="1:13" ht="18" hidden="1" customHeight="1" outlineLevel="1" x14ac:dyDescent="0.25">
      <c r="A76" s="152"/>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52"/>
      <c r="B77" s="46">
        <v>42214</v>
      </c>
      <c r="C77" s="40">
        <v>200</v>
      </c>
      <c r="D77" s="45">
        <v>4.63</v>
      </c>
      <c r="E77" s="39">
        <f t="shared" si="4"/>
        <v>926</v>
      </c>
      <c r="F77" s="45"/>
      <c r="G77" s="40"/>
      <c r="H77" s="45"/>
      <c r="I77" s="39"/>
      <c r="J77" s="45"/>
      <c r="K77" s="39"/>
      <c r="L77" s="40"/>
      <c r="M77" s="40"/>
    </row>
    <row r="78" spans="1:13" ht="18" hidden="1" customHeight="1" outlineLevel="1" x14ac:dyDescent="0.25">
      <c r="A78" s="152"/>
      <c r="B78" s="46">
        <v>42214</v>
      </c>
      <c r="C78" s="40">
        <v>300</v>
      </c>
      <c r="D78" s="45">
        <v>4.59</v>
      </c>
      <c r="E78" s="39">
        <f t="shared" si="4"/>
        <v>1377</v>
      </c>
      <c r="F78" s="45"/>
      <c r="G78" s="40"/>
      <c r="H78" s="45"/>
      <c r="I78" s="39"/>
      <c r="J78" s="45"/>
      <c r="K78" s="39"/>
      <c r="L78" s="40"/>
      <c r="M78" s="40"/>
    </row>
    <row r="79" spans="1:13" ht="18" hidden="1" customHeight="1" outlineLevel="1" x14ac:dyDescent="0.25">
      <c r="A79" s="152"/>
      <c r="B79" s="46">
        <v>42214</v>
      </c>
      <c r="C79" s="40">
        <v>500</v>
      </c>
      <c r="D79" s="45">
        <v>4.54</v>
      </c>
      <c r="E79" s="39">
        <f t="shared" si="4"/>
        <v>2270</v>
      </c>
      <c r="F79" s="45"/>
      <c r="G79" s="40"/>
      <c r="H79" s="45"/>
      <c r="I79" s="39"/>
      <c r="J79" s="45"/>
      <c r="K79" s="39"/>
      <c r="L79" s="40"/>
      <c r="M79" s="40"/>
    </row>
    <row r="80" spans="1:13" ht="18" customHeight="1" collapsed="1" x14ac:dyDescent="0.25">
      <c r="A80" s="152"/>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51" t="s">
        <v>25</v>
      </c>
      <c r="B81" s="43"/>
      <c r="C81" s="41"/>
      <c r="D81" s="43"/>
      <c r="E81" s="38"/>
      <c r="F81" s="43"/>
      <c r="G81" s="41"/>
      <c r="H81" s="43"/>
      <c r="I81" s="38"/>
      <c r="J81" s="43"/>
      <c r="K81" s="38"/>
      <c r="L81" s="38"/>
      <c r="M81" s="52"/>
    </row>
    <row r="82" spans="1:13" ht="18" hidden="1" customHeight="1" outlineLevel="1" x14ac:dyDescent="0.25">
      <c r="A82" s="151"/>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51"/>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52" t="s">
        <v>36</v>
      </c>
      <c r="B84" s="45"/>
      <c r="C84" s="40"/>
      <c r="D84" s="45"/>
      <c r="E84" s="39"/>
      <c r="F84" s="45"/>
      <c r="G84" s="40"/>
      <c r="H84" s="45"/>
      <c r="I84" s="39"/>
      <c r="J84" s="45"/>
      <c r="K84" s="39"/>
      <c r="L84" s="39"/>
      <c r="M84" s="53"/>
    </row>
    <row r="85" spans="1:13" ht="18" hidden="1" customHeight="1" outlineLevel="1" x14ac:dyDescent="0.25">
      <c r="A85" s="152"/>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52"/>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52"/>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51" t="s">
        <v>14</v>
      </c>
      <c r="B88" s="43"/>
      <c r="C88" s="41"/>
      <c r="D88" s="43"/>
      <c r="E88" s="38"/>
      <c r="F88" s="43"/>
      <c r="G88" s="41"/>
      <c r="H88" s="43"/>
      <c r="I88" s="38"/>
      <c r="J88" s="43"/>
      <c r="K88" s="38"/>
      <c r="L88" s="38"/>
      <c r="M88" s="52"/>
    </row>
    <row r="89" spans="1:13" ht="18" hidden="1" customHeight="1" outlineLevel="1" x14ac:dyDescent="0.25">
      <c r="A89" s="151"/>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51"/>
      <c r="B90" s="42">
        <v>42164</v>
      </c>
      <c r="C90" s="41">
        <v>48</v>
      </c>
      <c r="D90" s="43">
        <v>49.9</v>
      </c>
      <c r="E90" s="38">
        <f>C90*D90</f>
        <v>2395.1999999999998</v>
      </c>
      <c r="F90" s="43"/>
      <c r="G90" s="41"/>
      <c r="H90" s="43"/>
      <c r="I90" s="38"/>
      <c r="J90" s="43"/>
      <c r="K90" s="38"/>
      <c r="L90" s="38"/>
      <c r="M90" s="52"/>
    </row>
    <row r="91" spans="1:13" ht="18" hidden="1" customHeight="1" outlineLevel="1" x14ac:dyDescent="0.25">
      <c r="A91" s="151"/>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51"/>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51"/>
      <c r="B93" s="42">
        <v>42173</v>
      </c>
      <c r="C93" s="41">
        <v>25</v>
      </c>
      <c r="D93" s="43">
        <v>47.54</v>
      </c>
      <c r="E93" s="38">
        <f>C93*D93</f>
        <v>1188.5</v>
      </c>
      <c r="F93" s="43"/>
      <c r="G93" s="41"/>
      <c r="H93" s="43"/>
      <c r="I93" s="38">
        <f>G93*H93</f>
        <v>0</v>
      </c>
      <c r="J93" s="43"/>
      <c r="K93" s="38"/>
      <c r="L93" s="38"/>
      <c r="M93" s="52"/>
    </row>
    <row r="94" spans="1:13" ht="18" customHeight="1" collapsed="1" x14ac:dyDescent="0.25">
      <c r="A94" s="151"/>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52" t="s">
        <v>41</v>
      </c>
      <c r="B95" s="45"/>
      <c r="C95" s="40"/>
      <c r="D95" s="45"/>
      <c r="E95" s="39"/>
      <c r="F95" s="45"/>
      <c r="G95" s="40"/>
      <c r="H95" s="45"/>
      <c r="I95" s="39"/>
      <c r="J95" s="45"/>
      <c r="K95" s="39"/>
      <c r="L95" s="39"/>
      <c r="M95" s="53"/>
    </row>
    <row r="96" spans="1:13" ht="18" hidden="1" customHeight="1" outlineLevel="1" x14ac:dyDescent="0.25">
      <c r="A96" s="152"/>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52"/>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51" t="s">
        <v>46</v>
      </c>
      <c r="B98" s="43"/>
      <c r="C98" s="41"/>
      <c r="D98" s="43"/>
      <c r="E98" s="38"/>
      <c r="F98" s="43"/>
      <c r="G98" s="41"/>
      <c r="H98" s="43"/>
      <c r="I98" s="38"/>
      <c r="J98" s="43"/>
      <c r="K98" s="38"/>
      <c r="L98" s="38"/>
      <c r="M98" s="52"/>
    </row>
    <row r="99" spans="1:13" ht="18" hidden="1" customHeight="1" outlineLevel="1" x14ac:dyDescent="0.25">
      <c r="A99" s="151"/>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51"/>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52" t="s">
        <v>28</v>
      </c>
      <c r="B101" s="45"/>
      <c r="C101" s="40"/>
      <c r="D101" s="45"/>
      <c r="E101" s="39"/>
      <c r="F101" s="45"/>
      <c r="G101" s="40"/>
      <c r="H101" s="45"/>
      <c r="I101" s="39"/>
      <c r="J101" s="45"/>
      <c r="K101" s="39"/>
      <c r="L101" s="39"/>
      <c r="M101" s="53"/>
    </row>
    <row r="102" spans="1:13" ht="18" hidden="1" customHeight="1" outlineLevel="1" x14ac:dyDescent="0.25">
      <c r="A102" s="152"/>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52"/>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52"/>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51" t="s">
        <v>0</v>
      </c>
      <c r="B105" s="43"/>
      <c r="C105" s="41"/>
      <c r="D105" s="43"/>
      <c r="E105" s="38"/>
      <c r="F105" s="43"/>
      <c r="G105" s="41"/>
      <c r="H105" s="43"/>
      <c r="I105" s="38"/>
      <c r="J105" s="43"/>
      <c r="K105" s="38"/>
      <c r="L105" s="38"/>
      <c r="M105" s="52"/>
    </row>
    <row r="106" spans="1:13" ht="18" hidden="1" customHeight="1" outlineLevel="1" x14ac:dyDescent="0.25">
      <c r="A106" s="151"/>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51"/>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52" t="s">
        <v>49</v>
      </c>
      <c r="B108" s="45"/>
      <c r="C108" s="40"/>
      <c r="D108" s="45"/>
      <c r="E108" s="39"/>
      <c r="F108" s="45"/>
      <c r="G108" s="40"/>
      <c r="H108" s="45"/>
      <c r="I108" s="39"/>
      <c r="J108" s="45"/>
      <c r="K108" s="39"/>
      <c r="L108" s="39"/>
      <c r="M108" s="53"/>
    </row>
    <row r="109" spans="1:13" ht="18" hidden="1" customHeight="1" outlineLevel="1" x14ac:dyDescent="0.25">
      <c r="A109" s="152"/>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52"/>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51" t="s">
        <v>13</v>
      </c>
      <c r="B111" s="43"/>
      <c r="C111" s="41"/>
      <c r="D111" s="43"/>
      <c r="E111" s="38"/>
      <c r="F111" s="43"/>
      <c r="G111" s="41"/>
      <c r="H111" s="43"/>
      <c r="I111" s="38"/>
      <c r="J111" s="43"/>
      <c r="K111" s="38"/>
      <c r="L111" s="38"/>
      <c r="M111" s="41"/>
    </row>
    <row r="112" spans="1:13" ht="18" hidden="1" customHeight="1" outlineLevel="1" x14ac:dyDescent="0.25">
      <c r="A112" s="151"/>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51"/>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51"/>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51"/>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51"/>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51"/>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51"/>
      <c r="B118" s="42">
        <v>42166</v>
      </c>
      <c r="C118" s="41">
        <v>100</v>
      </c>
      <c r="D118" s="43">
        <v>51.35</v>
      </c>
      <c r="E118" s="38">
        <f t="shared" si="7"/>
        <v>5135</v>
      </c>
      <c r="F118" s="43"/>
      <c r="G118" s="41"/>
      <c r="H118" s="43"/>
      <c r="I118" s="38"/>
      <c r="J118" s="43"/>
      <c r="K118" s="38"/>
      <c r="L118" s="38"/>
      <c r="M118" s="52"/>
    </row>
    <row r="119" spans="1:13" ht="18" customHeight="1" collapsed="1" x14ac:dyDescent="0.25">
      <c r="A119" s="151"/>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52" t="s">
        <v>20</v>
      </c>
      <c r="B120" s="45"/>
      <c r="C120" s="40"/>
      <c r="D120" s="45"/>
      <c r="E120" s="39"/>
      <c r="F120" s="45"/>
      <c r="G120" s="40"/>
      <c r="H120" s="45"/>
      <c r="I120" s="39"/>
      <c r="J120" s="45"/>
      <c r="K120" s="39"/>
      <c r="L120" s="39"/>
      <c r="M120" s="53"/>
    </row>
    <row r="121" spans="1:13" ht="18" hidden="1" customHeight="1" outlineLevel="1" x14ac:dyDescent="0.25">
      <c r="A121" s="152"/>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52"/>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52"/>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52"/>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52"/>
      <c r="B125" s="46">
        <v>42186</v>
      </c>
      <c r="C125" s="40">
        <v>297</v>
      </c>
      <c r="D125" s="45">
        <v>19.13</v>
      </c>
      <c r="E125" s="39">
        <f>C125*D125</f>
        <v>5681.61</v>
      </c>
      <c r="F125" s="45"/>
      <c r="G125" s="40"/>
      <c r="H125" s="45"/>
      <c r="I125" s="39"/>
      <c r="J125" s="45"/>
      <c r="K125" s="39"/>
      <c r="L125" s="39"/>
      <c r="M125" s="53"/>
    </row>
    <row r="126" spans="1:13" ht="18" customHeight="1" collapsed="1" x14ac:dyDescent="0.25">
      <c r="A126" s="152"/>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51" t="s">
        <v>31</v>
      </c>
      <c r="B127" s="43"/>
      <c r="C127" s="41"/>
      <c r="D127" s="43"/>
      <c r="E127" s="38"/>
      <c r="F127" s="43"/>
      <c r="G127" s="41"/>
      <c r="H127" s="43"/>
      <c r="I127" s="38"/>
      <c r="J127" s="43"/>
      <c r="K127" s="38"/>
      <c r="L127" s="38"/>
      <c r="M127" s="52"/>
    </row>
    <row r="128" spans="1:13" ht="18" hidden="1" customHeight="1" outlineLevel="1" x14ac:dyDescent="0.25">
      <c r="A128" s="151"/>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51"/>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49" t="s">
        <v>149</v>
      </c>
      <c r="B136" s="149"/>
      <c r="C136" s="149"/>
      <c r="D136" s="149"/>
      <c r="E136" s="149"/>
      <c r="F136" s="149"/>
    </row>
    <row r="137" spans="1:14" ht="18" customHeight="1" x14ac:dyDescent="0.25">
      <c r="A137" s="150"/>
      <c r="B137" s="150"/>
      <c r="C137" s="150"/>
      <c r="D137" s="150"/>
      <c r="E137" s="150"/>
      <c r="F137" s="150"/>
    </row>
    <row r="138" spans="1:14" ht="18" customHeight="1" x14ac:dyDescent="0.25">
      <c r="A138" s="86"/>
      <c r="B138" s="86"/>
      <c r="C138" s="86"/>
      <c r="D138" s="86"/>
      <c r="E138" s="86"/>
      <c r="F138" s="86"/>
    </row>
    <row r="139" spans="1:14" ht="18" customHeight="1" x14ac:dyDescent="0.25">
      <c r="A139" s="86"/>
      <c r="B139" s="37" t="s">
        <v>151</v>
      </c>
      <c r="C139" s="87" t="s">
        <v>150</v>
      </c>
      <c r="D139" s="37" t="s">
        <v>152</v>
      </c>
      <c r="E139" s="51" t="s">
        <v>228</v>
      </c>
      <c r="F139" s="51" t="s">
        <v>87</v>
      </c>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2"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144"/>
      <c r="B146" s="145">
        <v>42238</v>
      </c>
      <c r="C146" s="146">
        <v>295093.56</v>
      </c>
      <c r="D146" s="147">
        <v>360000</v>
      </c>
      <c r="E146" s="147">
        <f t="shared" si="8"/>
        <v>-64906.44</v>
      </c>
      <c r="F146" s="148">
        <f t="shared" si="9"/>
        <v>-0.18029566666666666</v>
      </c>
    </row>
    <row r="147" spans="1:6" ht="18" customHeight="1" x14ac:dyDescent="0.25">
      <c r="A147" s="144"/>
      <c r="B147" s="145">
        <v>42239</v>
      </c>
      <c r="C147" s="146">
        <v>295093.56</v>
      </c>
      <c r="D147" s="147">
        <v>360000</v>
      </c>
      <c r="E147" s="147">
        <f t="shared" si="8"/>
        <v>-64906.44</v>
      </c>
      <c r="F147" s="148">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144"/>
      <c r="B153" s="145">
        <v>42245</v>
      </c>
      <c r="C153" s="146">
        <v>307941.06</v>
      </c>
      <c r="D153" s="147">
        <v>360000</v>
      </c>
      <c r="E153" s="147">
        <f t="shared" ref="E153:E154" si="10">C153-D153</f>
        <v>-52058.94</v>
      </c>
      <c r="F153" s="148">
        <f t="shared" ref="F153:F154" si="11">E153/D153</f>
        <v>-0.14460816666666668</v>
      </c>
    </row>
    <row r="154" spans="1:6" ht="18" customHeight="1" x14ac:dyDescent="0.25">
      <c r="A154" s="144"/>
      <c r="B154" s="145">
        <v>42246</v>
      </c>
      <c r="C154" s="146">
        <v>307941.06</v>
      </c>
      <c r="D154" s="147">
        <v>360000</v>
      </c>
      <c r="E154" s="147">
        <f t="shared" si="10"/>
        <v>-52058.94</v>
      </c>
      <c r="F154" s="148">
        <f t="shared" si="11"/>
        <v>-0.14460816666666668</v>
      </c>
    </row>
    <row r="155" spans="1:6" ht="18" customHeight="1" x14ac:dyDescent="0.25">
      <c r="A155" s="44"/>
      <c r="B155" s="85">
        <v>42247</v>
      </c>
      <c r="C155" s="92">
        <v>311200.71000000002</v>
      </c>
      <c r="D155" s="48">
        <v>360000</v>
      </c>
      <c r="E155" s="48">
        <f t="shared" ref="E155:E158" si="12">C155-D155</f>
        <v>-48799.289999999979</v>
      </c>
      <c r="F155" s="119">
        <f t="shared" ref="F155:F158" si="13">E155/D155</f>
        <v>-0.13555358333333328</v>
      </c>
    </row>
    <row r="156" spans="1:6" ht="18" customHeight="1" x14ac:dyDescent="0.25">
      <c r="A156" s="44"/>
      <c r="B156" s="85">
        <v>42248</v>
      </c>
      <c r="C156" s="92">
        <v>307440.78999999998</v>
      </c>
      <c r="D156" s="48">
        <v>365000</v>
      </c>
      <c r="E156" s="48">
        <f t="shared" si="12"/>
        <v>-57559.210000000021</v>
      </c>
      <c r="F156" s="119">
        <f t="shared" si="13"/>
        <v>-0.15769646575342472</v>
      </c>
    </row>
    <row r="157" spans="1:6" ht="18" customHeight="1" x14ac:dyDescent="0.25">
      <c r="A157" s="44"/>
      <c r="B157" s="85">
        <v>42249</v>
      </c>
      <c r="C157" s="92">
        <v>326031.94</v>
      </c>
      <c r="D157" s="48">
        <v>380000</v>
      </c>
      <c r="E157" s="48">
        <f t="shared" si="12"/>
        <v>-53968.06</v>
      </c>
      <c r="F157" s="119">
        <f t="shared" si="13"/>
        <v>-0.14202121052631578</v>
      </c>
    </row>
    <row r="158" spans="1:6" ht="18" customHeight="1" x14ac:dyDescent="0.25">
      <c r="A158" s="44"/>
      <c r="B158" s="85">
        <v>42250</v>
      </c>
      <c r="C158" s="92">
        <v>328219.34000000003</v>
      </c>
      <c r="D158" s="48">
        <v>380000</v>
      </c>
      <c r="E158" s="48">
        <f t="shared" si="12"/>
        <v>-51780.659999999974</v>
      </c>
      <c r="F158" s="119">
        <f t="shared" si="13"/>
        <v>-0.13626489473684203</v>
      </c>
    </row>
    <row r="159" spans="1:6" ht="18" customHeight="1" x14ac:dyDescent="0.25">
      <c r="A159" s="44"/>
      <c r="B159" s="85">
        <v>42251</v>
      </c>
      <c r="C159" s="92"/>
      <c r="D159" s="48">
        <v>380000</v>
      </c>
    </row>
    <row r="160" spans="1:6" ht="18" customHeight="1" x14ac:dyDescent="0.25">
      <c r="A160" s="144"/>
      <c r="B160" s="145">
        <v>42252</v>
      </c>
      <c r="C160" s="146"/>
      <c r="D160" s="147">
        <v>380000</v>
      </c>
      <c r="E160" s="147"/>
      <c r="F160" s="144"/>
    </row>
    <row r="161" spans="1:6" ht="18" customHeight="1" x14ac:dyDescent="0.25">
      <c r="A161" s="144"/>
      <c r="B161" s="145">
        <v>42253</v>
      </c>
      <c r="C161" s="146"/>
      <c r="D161" s="147">
        <v>380000</v>
      </c>
      <c r="E161" s="147"/>
      <c r="F161" s="144"/>
    </row>
    <row r="162" spans="1:6" ht="18" customHeight="1" x14ac:dyDescent="0.25">
      <c r="A162" s="144"/>
      <c r="B162" s="145">
        <v>42254</v>
      </c>
      <c r="C162" s="146"/>
      <c r="D162" s="147">
        <v>380000</v>
      </c>
      <c r="E162" s="147"/>
      <c r="F162" s="144"/>
    </row>
    <row r="163" spans="1:6" ht="18" customHeight="1" x14ac:dyDescent="0.25">
      <c r="A163" s="44"/>
      <c r="B163" s="85">
        <v>42255</v>
      </c>
      <c r="C163" s="92"/>
      <c r="D163" s="48">
        <v>380000</v>
      </c>
    </row>
    <row r="164" spans="1:6" ht="18" customHeight="1" x14ac:dyDescent="0.25">
      <c r="A164" s="44"/>
      <c r="B164" s="85">
        <v>42256</v>
      </c>
      <c r="C164" s="92"/>
      <c r="D164" s="48">
        <v>380000</v>
      </c>
    </row>
    <row r="165" spans="1:6" ht="18" customHeight="1" x14ac:dyDescent="0.25">
      <c r="A165" s="44"/>
      <c r="B165" s="85">
        <v>42257</v>
      </c>
      <c r="C165" s="92"/>
      <c r="D165" s="48">
        <v>380000</v>
      </c>
    </row>
    <row r="166" spans="1:6" ht="18" customHeight="1" x14ac:dyDescent="0.25">
      <c r="A166" s="44"/>
      <c r="B166" s="85">
        <v>42258</v>
      </c>
      <c r="C166" s="92"/>
      <c r="D166" s="48">
        <v>380000</v>
      </c>
    </row>
    <row r="167" spans="1:6" ht="18" customHeight="1" x14ac:dyDescent="0.25">
      <c r="A167" s="44"/>
      <c r="B167" s="85">
        <v>42259</v>
      </c>
      <c r="C167" s="92"/>
      <c r="D167" s="48">
        <v>380000</v>
      </c>
    </row>
    <row r="168" spans="1:6" ht="18" customHeight="1" x14ac:dyDescent="0.25">
      <c r="A168" s="44"/>
      <c r="B168" s="85">
        <v>42260</v>
      </c>
      <c r="C168" s="92"/>
      <c r="D168" s="48">
        <v>380000</v>
      </c>
    </row>
    <row r="169" spans="1:6" ht="18" customHeight="1" x14ac:dyDescent="0.25">
      <c r="A169" s="44"/>
      <c r="B169" s="85">
        <v>42261</v>
      </c>
      <c r="C169" s="92"/>
      <c r="D169" s="48">
        <v>380000</v>
      </c>
    </row>
    <row r="170" spans="1:6" ht="18" customHeight="1" x14ac:dyDescent="0.25">
      <c r="A170" s="44"/>
      <c r="B170" s="85">
        <v>42262</v>
      </c>
      <c r="C170" s="92"/>
      <c r="D170" s="48"/>
    </row>
  </sheetData>
  <mergeCells count="22">
    <mergeCell ref="A43:A48"/>
    <mergeCell ref="A2:A6"/>
    <mergeCell ref="A7:A9"/>
    <mergeCell ref="A10:A14"/>
    <mergeCell ref="A15:A17"/>
    <mergeCell ref="A18:A30"/>
    <mergeCell ref="A31:A35"/>
    <mergeCell ref="A36:A39"/>
    <mergeCell ref="A40:A4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tabSelected="1" workbookViewId="0">
      <pane ySplit="1" topLeftCell="A2" activePane="bottomLeft" state="frozen"/>
      <selection pane="bottomLeft" activeCell="P12" sqref="P12"/>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156</v>
      </c>
      <c r="C1" s="112"/>
      <c r="D1" s="108"/>
      <c r="E1" s="108" t="s">
        <v>82</v>
      </c>
      <c r="F1" s="109" t="s">
        <v>85</v>
      </c>
      <c r="G1" s="109" t="s">
        <v>83</v>
      </c>
      <c r="H1" s="108" t="s">
        <v>57</v>
      </c>
      <c r="I1" s="109" t="s">
        <v>84</v>
      </c>
      <c r="J1" s="109" t="s">
        <v>65</v>
      </c>
      <c r="K1" s="110" t="s">
        <v>153</v>
      </c>
      <c r="L1" s="110" t="s">
        <v>164</v>
      </c>
    </row>
    <row r="2" spans="1:15" ht="18.95" customHeight="1" x14ac:dyDescent="0.25">
      <c r="A2" s="101"/>
      <c r="B2" s="101"/>
      <c r="C2" s="102"/>
      <c r="D2" s="103"/>
      <c r="E2" s="36" t="s">
        <v>10</v>
      </c>
      <c r="F2" s="99">
        <v>9.57</v>
      </c>
      <c r="G2" s="99">
        <v>12.124425</v>
      </c>
      <c r="H2" s="100">
        <v>400</v>
      </c>
      <c r="I2" s="99">
        <v>4849.7700000000004</v>
      </c>
      <c r="J2" s="99">
        <v>-1009.7700000000004</v>
      </c>
      <c r="K2" s="116">
        <v>-0.21068421801446255</v>
      </c>
      <c r="L2" s="117" t="str">
        <f>HYPERLINK("http://finance.yahoo.com/q?s=" &amp; E2, "Link")</f>
        <v>Link</v>
      </c>
      <c r="O2" s="115"/>
    </row>
    <row r="3" spans="1:15" ht="18.95" customHeight="1" x14ac:dyDescent="0.25">
      <c r="A3" s="101"/>
      <c r="B3" s="101"/>
      <c r="C3" s="102"/>
      <c r="D3" s="103"/>
      <c r="E3" s="36" t="s">
        <v>18</v>
      </c>
      <c r="F3" s="99">
        <v>10.15</v>
      </c>
      <c r="G3" s="99">
        <v>29.640625</v>
      </c>
      <c r="H3" s="100">
        <v>80</v>
      </c>
      <c r="I3" s="99">
        <v>2371.25</v>
      </c>
      <c r="J3" s="99">
        <v>-1559.25</v>
      </c>
      <c r="K3" s="116">
        <v>-0.65756457564575654</v>
      </c>
      <c r="L3" s="117" t="str">
        <f>HYPERLINK("http://finance.yahoo.com/q?s=" &amp; E3, "Link")</f>
        <v>Link</v>
      </c>
    </row>
    <row r="4" spans="1:15" ht="18.95" customHeight="1" x14ac:dyDescent="0.25">
      <c r="A4" s="101"/>
      <c r="B4" s="101"/>
      <c r="C4" s="102"/>
      <c r="D4" s="103"/>
      <c r="E4" s="36" t="s">
        <v>45</v>
      </c>
      <c r="F4" s="99">
        <v>57.98</v>
      </c>
      <c r="G4" s="99">
        <v>62.165999999999997</v>
      </c>
      <c r="H4" s="100">
        <v>100</v>
      </c>
      <c r="I4" s="99">
        <v>6216.5999999999995</v>
      </c>
      <c r="J4" s="99">
        <v>-418.59999999999945</v>
      </c>
      <c r="K4" s="116">
        <v>-6.7335842743621921E-2</v>
      </c>
      <c r="L4" s="117" t="str">
        <f>HYPERLINK("http://finance.yahoo.com/q?s=" &amp; E4, "Link")</f>
        <v>Link</v>
      </c>
      <c r="O4" s="36"/>
    </row>
    <row r="5" spans="1:15" ht="18.95" customHeight="1" x14ac:dyDescent="0.25">
      <c r="A5" s="101"/>
      <c r="B5" s="101"/>
      <c r="C5" s="102"/>
      <c r="D5" s="103"/>
      <c r="E5" s="36" t="s">
        <v>68</v>
      </c>
      <c r="F5" s="99">
        <v>7.83</v>
      </c>
      <c r="G5" s="99">
        <v>10.082500000000001</v>
      </c>
      <c r="H5" s="100">
        <v>120</v>
      </c>
      <c r="I5" s="99">
        <v>1209.9000000000001</v>
      </c>
      <c r="J5" s="99">
        <v>-270.30000000000007</v>
      </c>
      <c r="K5" s="116">
        <v>-0.22340689313166387</v>
      </c>
      <c r="L5" s="117" t="str">
        <f>HYPERLINK("http://finance.yahoo.com/q?s=" &amp; E5, "Link")</f>
        <v>Link</v>
      </c>
    </row>
    <row r="6" spans="1:15" ht="18.95" customHeight="1" x14ac:dyDescent="0.25">
      <c r="A6" s="101"/>
      <c r="B6" s="101"/>
      <c r="C6" s="102"/>
      <c r="D6" s="103"/>
      <c r="E6" s="36" t="s">
        <v>33</v>
      </c>
      <c r="F6" s="99">
        <v>123.77</v>
      </c>
      <c r="G6" s="99">
        <v>124.15200000000002</v>
      </c>
      <c r="H6" s="100">
        <v>60</v>
      </c>
      <c r="I6" s="99">
        <v>7449.1200000000008</v>
      </c>
      <c r="J6" s="99">
        <v>-18.920000000000982</v>
      </c>
      <c r="K6" s="116">
        <v>-3.0768735098912555E-3</v>
      </c>
      <c r="L6" s="117" t="str">
        <f>HYPERLINK("http://finance.yahoo.com/q?s=" &amp; E6, "Link")</f>
        <v>Link</v>
      </c>
    </row>
    <row r="7" spans="1:15" ht="18.95" customHeight="1" x14ac:dyDescent="0.25">
      <c r="A7" s="101"/>
      <c r="B7" s="101"/>
      <c r="C7" s="102"/>
      <c r="D7" s="103"/>
      <c r="E7" s="36" t="s">
        <v>62</v>
      </c>
      <c r="F7" s="99">
        <v>301.63</v>
      </c>
      <c r="G7" s="99">
        <v>309.35000000000002</v>
      </c>
      <c r="H7" s="100">
        <v>10</v>
      </c>
      <c r="I7" s="99">
        <v>3093.5</v>
      </c>
      <c r="J7" s="99">
        <v>-77.199999999999818</v>
      </c>
      <c r="K7" s="116">
        <v>-2.495555196379514E-2</v>
      </c>
      <c r="L7" s="117" t="str">
        <f>HYPERLINK("http://finance.yahoo.com/q?s=" &amp; E7, "Link")</f>
        <v>Link</v>
      </c>
      <c r="N7" s="115"/>
      <c r="O7" s="115"/>
    </row>
    <row r="8" spans="1:15" ht="18.95" customHeight="1" x14ac:dyDescent="0.25">
      <c r="A8" s="101"/>
      <c r="B8" s="101"/>
      <c r="C8" s="102"/>
      <c r="D8" s="103"/>
      <c r="E8" s="36" t="s">
        <v>11</v>
      </c>
      <c r="F8" s="99">
        <v>128.08000000000001</v>
      </c>
      <c r="G8" s="99">
        <v>150.67140000000001</v>
      </c>
      <c r="H8" s="100">
        <v>50</v>
      </c>
      <c r="I8" s="99">
        <v>7533.5700000000006</v>
      </c>
      <c r="J8" s="99">
        <v>-1129.5699999999997</v>
      </c>
      <c r="K8" s="116">
        <v>-0.14993820990579496</v>
      </c>
      <c r="L8" s="117" t="str">
        <f>HYPERLINK("http://finance.yahoo.com/q?s=" &amp; E8, "Link")</f>
        <v>Link</v>
      </c>
    </row>
    <row r="9" spans="1:15" ht="18.95" customHeight="1" x14ac:dyDescent="0.25">
      <c r="A9" s="101"/>
      <c r="B9" s="101"/>
      <c r="C9" s="102"/>
      <c r="D9" s="103"/>
      <c r="E9" s="36" t="s">
        <v>52</v>
      </c>
      <c r="F9" s="99">
        <v>81.150000000000006</v>
      </c>
      <c r="G9" s="99">
        <v>82.314999999999998</v>
      </c>
      <c r="H9" s="100">
        <v>40</v>
      </c>
      <c r="I9" s="99">
        <v>3292.6</v>
      </c>
      <c r="J9" s="99">
        <v>-46.599999999999909</v>
      </c>
      <c r="K9" s="116">
        <v>-1.4152949037234916E-2</v>
      </c>
      <c r="L9" s="117" t="str">
        <f>HYPERLINK("http://finance.yahoo.com/q?s=" &amp; E9, "Link")</f>
        <v>Link</v>
      </c>
      <c r="N9" s="115"/>
      <c r="O9" s="115"/>
    </row>
    <row r="10" spans="1:15" ht="18.95" customHeight="1" x14ac:dyDescent="0.25">
      <c r="A10" s="101"/>
      <c r="B10" s="101"/>
      <c r="C10" s="102"/>
      <c r="D10" s="103"/>
      <c r="E10" s="36" t="s">
        <v>17</v>
      </c>
      <c r="F10" s="99">
        <v>15.43</v>
      </c>
      <c r="G10" s="99">
        <v>18.047226190476191</v>
      </c>
      <c r="H10" s="100">
        <v>4200</v>
      </c>
      <c r="I10" s="99">
        <v>64806</v>
      </c>
      <c r="J10" s="99">
        <v>-10992.350000000006</v>
      </c>
      <c r="K10" s="116">
        <v>-0.14502096681524076</v>
      </c>
      <c r="L10" s="117" t="str">
        <f>HYPERLINK("http://finance.yahoo.com/q?s=" &amp; E10, "Link")</f>
        <v>Link</v>
      </c>
    </row>
    <row r="11" spans="1:15" ht="18.95" customHeight="1" x14ac:dyDescent="0.25">
      <c r="A11" s="113"/>
      <c r="B11" s="114"/>
      <c r="C11" s="113"/>
      <c r="D11" s="103"/>
      <c r="E11" s="36" t="s">
        <v>19</v>
      </c>
      <c r="F11" s="99">
        <v>34.81</v>
      </c>
      <c r="G11" s="99">
        <v>32.507843137254902</v>
      </c>
      <c r="H11" s="100">
        <v>51</v>
      </c>
      <c r="I11" s="99">
        <v>1657.9</v>
      </c>
      <c r="J11" s="99">
        <v>125.14000000000009</v>
      </c>
      <c r="K11" s="116">
        <v>7.0818505338078361E-2</v>
      </c>
      <c r="L11" s="117" t="str">
        <f>HYPERLINK("http://finance.yahoo.com/q?s=" &amp; E11, "Link")</f>
        <v>Link</v>
      </c>
    </row>
    <row r="12" spans="1:15" ht="18.95" customHeight="1" x14ac:dyDescent="0.25">
      <c r="A12" s="101"/>
      <c r="B12" s="101"/>
      <c r="C12" s="102"/>
      <c r="D12" s="103"/>
      <c r="E12" s="36" t="s">
        <v>63</v>
      </c>
      <c r="F12" s="99">
        <v>101.99</v>
      </c>
      <c r="G12" s="99">
        <v>110.09500000000001</v>
      </c>
      <c r="H12" s="100">
        <v>30</v>
      </c>
      <c r="I12" s="99">
        <v>3302.8500000000004</v>
      </c>
      <c r="J12" s="99">
        <v>-243.15000000000055</v>
      </c>
      <c r="K12" s="116">
        <v>-7.3618238793769178E-2</v>
      </c>
      <c r="L12" s="117" t="str">
        <f>HYPERLINK("http://finance.yahoo.com/q?s=" &amp; E12, "Link")</f>
        <v>Link</v>
      </c>
    </row>
    <row r="13" spans="1:15" ht="18.95" customHeight="1" x14ac:dyDescent="0.25">
      <c r="A13" s="102"/>
      <c r="B13" s="102"/>
      <c r="C13" s="102"/>
      <c r="D13" s="103"/>
      <c r="E13" s="36" t="s">
        <v>55</v>
      </c>
      <c r="F13" s="99">
        <v>101.91</v>
      </c>
      <c r="G13" s="99">
        <v>108.71400000000001</v>
      </c>
      <c r="H13" s="100">
        <v>25</v>
      </c>
      <c r="I13" s="99">
        <v>2717.8500000000004</v>
      </c>
      <c r="J13" s="99">
        <v>-170.10000000000036</v>
      </c>
      <c r="K13" s="116">
        <v>-6.2586235443457289E-2</v>
      </c>
      <c r="L13" s="117" t="str">
        <f>HYPERLINK("http://finance.yahoo.com/q?s=" &amp; E13, "Link")</f>
        <v>Link</v>
      </c>
    </row>
    <row r="14" spans="1:15" ht="18.95" customHeight="1" x14ac:dyDescent="0.25">
      <c r="A14" s="101"/>
      <c r="B14" s="102"/>
      <c r="C14" s="102"/>
      <c r="D14" s="103"/>
      <c r="E14" s="36" t="s">
        <v>56</v>
      </c>
      <c r="F14" s="99">
        <v>29.11</v>
      </c>
      <c r="G14" s="99">
        <v>30.987500000000001</v>
      </c>
      <c r="H14" s="100">
        <v>40</v>
      </c>
      <c r="I14" s="99">
        <v>1239.5</v>
      </c>
      <c r="J14" s="99">
        <v>-75.099999999999909</v>
      </c>
      <c r="K14" s="116">
        <v>-6.0588947156111378E-2</v>
      </c>
      <c r="L14" s="117" t="str">
        <f>HYPERLINK("http://finance.yahoo.com/q?s=" &amp; E14, "Link")</f>
        <v>Link</v>
      </c>
      <c r="N14" s="115"/>
      <c r="O14" s="115"/>
    </row>
    <row r="15" spans="1:15" ht="18.95" customHeight="1" x14ac:dyDescent="0.25">
      <c r="A15" s="101"/>
      <c r="B15" s="101"/>
      <c r="C15" s="102"/>
      <c r="D15" s="103"/>
      <c r="E15" s="36" t="s">
        <v>22</v>
      </c>
      <c r="F15" s="99">
        <v>57.4</v>
      </c>
      <c r="G15" s="99">
        <v>60.66750000000004</v>
      </c>
      <c r="H15" s="100">
        <v>80</v>
      </c>
      <c r="I15" s="99">
        <v>4853.4000000000033</v>
      </c>
      <c r="J15" s="99">
        <v>-256.40000000000327</v>
      </c>
      <c r="K15" s="116">
        <v>-5.3859150286397803E-2</v>
      </c>
      <c r="L15" s="117" t="str">
        <f>HYPERLINK("http://finance.yahoo.com/q?s=" &amp; E15, "Link")</f>
        <v>Link</v>
      </c>
    </row>
    <row r="16" spans="1:15" ht="18.95" customHeight="1" x14ac:dyDescent="0.25">
      <c r="A16" s="101"/>
      <c r="B16" s="101"/>
      <c r="C16" s="102"/>
      <c r="D16" s="103"/>
      <c r="E16" s="36" t="s">
        <v>27</v>
      </c>
      <c r="F16" s="99">
        <v>29.08</v>
      </c>
      <c r="G16" s="99">
        <v>30.121812500000001</v>
      </c>
      <c r="H16" s="100">
        <v>800</v>
      </c>
      <c r="I16" s="99">
        <v>24097.45</v>
      </c>
      <c r="J16" s="99">
        <v>-833.45000000000073</v>
      </c>
      <c r="K16" s="116">
        <v>-3.4586647134862897E-2</v>
      </c>
      <c r="L16" s="117" t="str">
        <f>HYPERLINK("http://finance.yahoo.com/q?s=" &amp; E16, "Link")</f>
        <v>Link</v>
      </c>
      <c r="N16" s="115"/>
      <c r="O16" s="115"/>
    </row>
    <row r="17" spans="1:15" ht="18.95" customHeight="1" x14ac:dyDescent="0.25">
      <c r="A17" s="101"/>
      <c r="B17" s="101"/>
      <c r="C17" s="102"/>
      <c r="D17" s="103"/>
      <c r="E17" s="36" t="s">
        <v>15</v>
      </c>
      <c r="F17" s="99">
        <v>19.41</v>
      </c>
      <c r="G17" s="99">
        <v>21.353833333333331</v>
      </c>
      <c r="H17" s="100">
        <v>120</v>
      </c>
      <c r="I17" s="99">
        <v>2562.4599999999996</v>
      </c>
      <c r="J17" s="99">
        <v>-233.25999999999976</v>
      </c>
      <c r="K17" s="116">
        <v>-9.1029713634554171E-2</v>
      </c>
      <c r="L17" s="117" t="str">
        <f>HYPERLINK("http://finance.yahoo.com/q?s=" &amp; E17, "Link")</f>
        <v>Link</v>
      </c>
    </row>
    <row r="18" spans="1:15" ht="18.95" customHeight="1" x14ac:dyDescent="0.25">
      <c r="A18" s="101"/>
      <c r="B18" s="101"/>
      <c r="C18" s="102"/>
      <c r="D18" s="103"/>
      <c r="E18" s="36" t="s">
        <v>24</v>
      </c>
      <c r="F18" s="99">
        <v>44.92</v>
      </c>
      <c r="G18" s="99">
        <v>48.684999999999988</v>
      </c>
      <c r="H18" s="100">
        <v>40</v>
      </c>
      <c r="I18" s="99">
        <v>1947.3999999999996</v>
      </c>
      <c r="J18" s="99">
        <v>-150.59999999999945</v>
      </c>
      <c r="K18" s="116">
        <v>-7.7333881072198574E-2</v>
      </c>
      <c r="L18" s="117" t="str">
        <f>HYPERLINK("http://finance.yahoo.com/q?s=" &amp; E18, "Link")</f>
        <v>Link</v>
      </c>
    </row>
    <row r="19" spans="1:15" ht="18.95" customHeight="1" x14ac:dyDescent="0.25">
      <c r="A19" s="101"/>
      <c r="B19" s="101"/>
      <c r="C19" s="102"/>
      <c r="D19" s="103"/>
      <c r="E19" s="36" t="s">
        <v>50</v>
      </c>
      <c r="F19" s="99">
        <v>16.87</v>
      </c>
      <c r="G19" s="99">
        <v>24.810221176470588</v>
      </c>
      <c r="H19" s="100">
        <v>4250</v>
      </c>
      <c r="I19" s="99">
        <v>105443.44</v>
      </c>
      <c r="J19" s="99">
        <v>-33745.94</v>
      </c>
      <c r="K19" s="116">
        <v>-0.32003830679272216</v>
      </c>
      <c r="L19" s="117" t="str">
        <f>HYPERLINK("http://finance.yahoo.com/q?s=" &amp; E19, "Link")</f>
        <v>Link</v>
      </c>
      <c r="N19" s="115"/>
      <c r="O19" s="115"/>
    </row>
    <row r="20" spans="1:15" ht="18.95" customHeight="1" x14ac:dyDescent="0.25">
      <c r="A20" s="101"/>
      <c r="B20" s="101"/>
      <c r="C20" s="102"/>
      <c r="D20" s="103"/>
      <c r="E20" s="36" t="s">
        <v>34</v>
      </c>
      <c r="F20" s="99">
        <v>16.59</v>
      </c>
      <c r="G20" s="99">
        <v>18.088346253229975</v>
      </c>
      <c r="H20" s="100">
        <v>3870</v>
      </c>
      <c r="I20" s="99">
        <v>70001.900000000009</v>
      </c>
      <c r="J20" s="99">
        <v>-5798.6000000000058</v>
      </c>
      <c r="K20" s="116">
        <v>-8.2834894481435564E-2</v>
      </c>
      <c r="L20" s="117" t="str">
        <f>HYPERLINK("http://finance.yahoo.com/q?s=" &amp; E20, "Link")</f>
        <v>Link</v>
      </c>
      <c r="N20" s="115"/>
      <c r="O20" s="115"/>
    </row>
    <row r="21" spans="1:15" ht="18.95" customHeight="1" x14ac:dyDescent="0.25">
      <c r="A21" s="101"/>
      <c r="B21" s="101"/>
      <c r="C21" s="102"/>
      <c r="D21" s="103"/>
      <c r="E21" s="36" t="s">
        <v>47</v>
      </c>
      <c r="F21" s="99">
        <v>77.16</v>
      </c>
      <c r="G21" s="99">
        <v>84.788333333333341</v>
      </c>
      <c r="H21" s="100">
        <v>60</v>
      </c>
      <c r="I21" s="99">
        <v>5087.3</v>
      </c>
      <c r="J21" s="99">
        <v>-457.70000000000073</v>
      </c>
      <c r="K21" s="116">
        <v>-8.9969138835924875E-2</v>
      </c>
      <c r="L21" s="117" t="str">
        <f>HYPERLINK("http://finance.yahoo.com/q?s=" &amp; E21, "Link")</f>
        <v>Link</v>
      </c>
    </row>
    <row r="22" spans="1:15" ht="18.95" customHeight="1" x14ac:dyDescent="0.25">
      <c r="A22" s="101"/>
      <c r="B22" s="101"/>
      <c r="C22" s="102"/>
      <c r="D22" s="103"/>
      <c r="E22" s="36" t="s">
        <v>26</v>
      </c>
      <c r="F22" s="99">
        <v>5.81</v>
      </c>
      <c r="G22" s="99">
        <v>5.8967111111111112</v>
      </c>
      <c r="H22" s="100">
        <v>450</v>
      </c>
      <c r="I22" s="99">
        <v>2653.52</v>
      </c>
      <c r="J22" s="99">
        <v>-39.019999999999982</v>
      </c>
      <c r="K22" s="116">
        <v>-1.4704995628448337E-2</v>
      </c>
      <c r="L22" s="117" t="str">
        <f>HYPERLINK("http://finance.yahoo.com/q?s=" &amp; E22, "Link")</f>
        <v>Link</v>
      </c>
    </row>
    <row r="23" spans="1:15" ht="18.95" customHeight="1" x14ac:dyDescent="0.25">
      <c r="A23" s="101"/>
      <c r="B23" s="101"/>
      <c r="C23" s="102"/>
      <c r="D23" s="103"/>
      <c r="E23" s="36" t="s">
        <v>23</v>
      </c>
      <c r="F23" s="99">
        <v>36.08</v>
      </c>
      <c r="G23" s="99">
        <v>33.880000000000017</v>
      </c>
      <c r="H23" s="100">
        <v>40</v>
      </c>
      <c r="I23" s="99">
        <v>1355.2000000000007</v>
      </c>
      <c r="J23" s="99">
        <v>87.999999999999091</v>
      </c>
      <c r="K23" s="116">
        <v>6.493506493506436E-2</v>
      </c>
      <c r="L23" s="117" t="str">
        <f>HYPERLINK("http://finance.yahoo.com/q?s=" &amp; E23, "Link")</f>
        <v>Link</v>
      </c>
    </row>
    <row r="24" spans="1:15" ht="18.95" customHeight="1" x14ac:dyDescent="0.25">
      <c r="A24" s="101"/>
      <c r="B24" s="102"/>
      <c r="C24" s="102"/>
      <c r="D24" s="103"/>
      <c r="E24" s="36" t="s">
        <v>35</v>
      </c>
      <c r="F24" s="99">
        <v>49.79</v>
      </c>
      <c r="G24" s="99">
        <v>47.585714285714289</v>
      </c>
      <c r="H24" s="100">
        <v>35</v>
      </c>
      <c r="I24" s="99">
        <v>1665.5</v>
      </c>
      <c r="J24" s="99">
        <v>77.149999999999864</v>
      </c>
      <c r="K24" s="116">
        <v>4.6322425697988501E-2</v>
      </c>
      <c r="L24" s="117" t="str">
        <f>HYPERLINK("http://finance.yahoo.com/q?s=" &amp; E24, "Link")</f>
        <v>Link</v>
      </c>
      <c r="N24" s="115"/>
      <c r="O24" s="115"/>
    </row>
    <row r="25" spans="1:15" ht="18.95" customHeight="1" x14ac:dyDescent="0.25">
      <c r="A25" s="101"/>
      <c r="B25" s="101"/>
      <c r="C25" s="102"/>
      <c r="D25" s="103"/>
      <c r="E25" s="36" t="s">
        <v>44</v>
      </c>
      <c r="F25" s="99">
        <v>68.680000000000007</v>
      </c>
      <c r="G25" s="99">
        <v>62.05</v>
      </c>
      <c r="H25" s="100">
        <v>5</v>
      </c>
      <c r="I25" s="99">
        <v>310.25</v>
      </c>
      <c r="J25" s="99">
        <v>33.150000000000034</v>
      </c>
      <c r="K25" s="116">
        <v>0.10684931506849331</v>
      </c>
      <c r="L25" s="117" t="str">
        <f>HYPERLINK("http://finance.yahoo.com/q?s=" &amp; E25, "Link")</f>
        <v>Link</v>
      </c>
    </row>
    <row r="26" spans="1:15" ht="18.95" customHeight="1" x14ac:dyDescent="0.25">
      <c r="A26" s="101"/>
      <c r="B26" s="101"/>
      <c r="C26" s="102"/>
      <c r="D26" s="103"/>
      <c r="E26" s="36" t="s">
        <v>39</v>
      </c>
      <c r="F26" s="99">
        <v>30.88</v>
      </c>
      <c r="G26" s="99">
        <v>33.587499999999999</v>
      </c>
      <c r="H26" s="100">
        <v>80</v>
      </c>
      <c r="I26" s="99">
        <v>2687</v>
      </c>
      <c r="J26" s="99">
        <v>-216.59999999999991</v>
      </c>
      <c r="K26" s="116">
        <v>-8.0610346110904341E-2</v>
      </c>
      <c r="L26" s="117" t="str">
        <f>HYPERLINK("http://finance.yahoo.com/q?s=" &amp; E26, "Link")</f>
        <v>Link</v>
      </c>
    </row>
    <row r="27" spans="1:15" ht="18.95" customHeight="1" x14ac:dyDescent="0.25">
      <c r="A27" s="101"/>
      <c r="B27" s="101"/>
      <c r="C27" s="102"/>
      <c r="D27" s="103"/>
      <c r="E27" s="36" t="s">
        <v>51</v>
      </c>
      <c r="F27" s="99">
        <v>113.99</v>
      </c>
      <c r="G27" s="99">
        <v>119.52666666666667</v>
      </c>
      <c r="H27" s="100">
        <v>15</v>
      </c>
      <c r="I27" s="99">
        <v>1792.9</v>
      </c>
      <c r="J27" s="99">
        <v>-83.050000000000182</v>
      </c>
      <c r="K27" s="116">
        <v>-4.6321601874058864E-2</v>
      </c>
      <c r="L27" s="117" t="str">
        <f>HYPERLINK("http://finance.yahoo.com/q?s=" &amp; E27, "Link")</f>
        <v>Link</v>
      </c>
      <c r="N27" s="115"/>
      <c r="O27" s="115"/>
    </row>
    <row r="28" spans="1:15" ht="18.95" customHeight="1" x14ac:dyDescent="0.25">
      <c r="A28" s="101"/>
      <c r="B28" s="101"/>
      <c r="C28" s="102"/>
      <c r="D28" s="103"/>
      <c r="E28" s="36" t="s">
        <v>42</v>
      </c>
      <c r="F28" s="99">
        <v>85.7</v>
      </c>
      <c r="G28" s="99">
        <v>96.710833333333326</v>
      </c>
      <c r="H28" s="100">
        <v>60</v>
      </c>
      <c r="I28" s="99">
        <v>5802.65</v>
      </c>
      <c r="J28" s="99">
        <v>-660.64999999999964</v>
      </c>
      <c r="K28" s="116">
        <v>-0.11385315330064702</v>
      </c>
      <c r="L28" s="117" t="str">
        <f>HYPERLINK("http://finance.yahoo.com/q?s=" &amp; E28, "Link")</f>
        <v>Link</v>
      </c>
    </row>
    <row r="29" spans="1:15" ht="18.95" customHeight="1" x14ac:dyDescent="0.25">
      <c r="A29" s="101"/>
      <c r="B29" s="101"/>
      <c r="C29" s="102"/>
      <c r="D29" s="103"/>
      <c r="E29" s="36" t="s">
        <v>54</v>
      </c>
      <c r="F29" s="99">
        <v>91.91</v>
      </c>
      <c r="G29" s="99">
        <v>97.993999999999986</v>
      </c>
      <c r="H29" s="100">
        <v>5</v>
      </c>
      <c r="I29" s="99">
        <v>489.96999999999991</v>
      </c>
      <c r="J29" s="99">
        <v>-30.419999999999959</v>
      </c>
      <c r="K29" s="116">
        <v>-6.2085433802069413E-2</v>
      </c>
      <c r="L29" s="117" t="str">
        <f>HYPERLINK("http://finance.yahoo.com/q?s=" &amp; E29, "Link")</f>
        <v>Link</v>
      </c>
    </row>
    <row r="30" spans="1:15" ht="18.95" customHeight="1" x14ac:dyDescent="0.25">
      <c r="A30" s="102"/>
      <c r="B30" s="101"/>
      <c r="C30" s="102"/>
      <c r="D30" s="103"/>
      <c r="E30" s="36" t="s">
        <v>53</v>
      </c>
      <c r="F30" s="99">
        <v>45.43</v>
      </c>
      <c r="G30" s="99">
        <v>47.528571428571432</v>
      </c>
      <c r="H30" s="100">
        <v>35</v>
      </c>
      <c r="I30" s="99">
        <v>1663.5000000000002</v>
      </c>
      <c r="J30" s="99">
        <v>-73.450000000000273</v>
      </c>
      <c r="K30" s="116">
        <v>-4.4153892395551626E-2</v>
      </c>
      <c r="L30" s="117" t="str">
        <f>HYPERLINK("http://finance.yahoo.com/q?s=" &amp; E30, "Link")</f>
        <v>Link</v>
      </c>
      <c r="N30" s="115"/>
      <c r="O30" s="115"/>
    </row>
    <row r="31" spans="1:15" ht="18.95" customHeight="1" x14ac:dyDescent="0.25">
      <c r="A31" s="101"/>
      <c r="B31" s="101"/>
      <c r="C31" s="102"/>
      <c r="D31" s="103"/>
      <c r="E31" s="36"/>
      <c r="K31" s="116"/>
      <c r="L31" s="117"/>
      <c r="N31" s="115"/>
      <c r="O31" s="115"/>
    </row>
    <row r="32" spans="1:15" ht="18.95" customHeight="1" x14ac:dyDescent="0.25">
      <c r="A32" s="104"/>
      <c r="D32" s="103"/>
    </row>
    <row r="33" spans="1:4" ht="18.95" customHeight="1" x14ac:dyDescent="0.25">
      <c r="A33" s="104"/>
      <c r="D33" s="103"/>
    </row>
    <row r="34" spans="1:4" ht="18.95" customHeight="1" x14ac:dyDescent="0.25">
      <c r="A34" s="104"/>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155</v>
      </c>
      <c r="F1" s="34" t="s">
        <v>60</v>
      </c>
      <c r="G1" s="20" t="s">
        <v>3</v>
      </c>
      <c r="H1" s="34" t="s">
        <v>6</v>
      </c>
      <c r="I1" s="20" t="s">
        <v>154</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L2" t="s">
        <v>130</v>
      </c>
      <c r="O2" s="20" t="s">
        <v>57</v>
      </c>
      <c r="Q2">
        <f>C29-H29</f>
        <v>4250</v>
      </c>
      <c r="T2" s="72">
        <v>42233</v>
      </c>
      <c r="U2" t="s">
        <v>141</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(F29-K29)/Q2</f>
        <v>24.810221176470588</v>
      </c>
      <c r="T3" s="72">
        <v>42257</v>
      </c>
      <c r="U3" t="s">
        <v>142</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16.87</v>
      </c>
    </row>
    <row r="5" spans="1:21" x14ac:dyDescent="0.25">
      <c r="B5" s="1">
        <v>42187</v>
      </c>
      <c r="C5">
        <v>3000</v>
      </c>
      <c r="D5" s="2">
        <v>27.04</v>
      </c>
      <c r="F5" s="2">
        <f t="shared" si="0"/>
        <v>81120</v>
      </c>
      <c r="G5" s="1">
        <v>42227</v>
      </c>
      <c r="H5" s="80">
        <v>200</v>
      </c>
      <c r="I5" s="11"/>
      <c r="J5" s="80">
        <v>18.7</v>
      </c>
      <c r="K5" s="2">
        <f>H5*J5</f>
        <v>3740</v>
      </c>
      <c r="O5" s="20" t="s">
        <v>67</v>
      </c>
      <c r="Q5" s="5">
        <f>Q4*Q2</f>
        <v>71697.5</v>
      </c>
      <c r="T5" s="133">
        <v>42256</v>
      </c>
      <c r="U5" t="s">
        <v>208</v>
      </c>
    </row>
    <row r="6" spans="1:21" x14ac:dyDescent="0.25">
      <c r="B6" s="1">
        <v>42198</v>
      </c>
      <c r="C6">
        <v>100</v>
      </c>
      <c r="D6" s="2">
        <v>24.77</v>
      </c>
      <c r="F6" s="2">
        <f t="shared" si="0"/>
        <v>2477</v>
      </c>
      <c r="O6" s="20" t="s">
        <v>64</v>
      </c>
      <c r="Q6" s="2">
        <f>Q3*Q2</f>
        <v>105443.44</v>
      </c>
      <c r="U6" t="s">
        <v>212</v>
      </c>
    </row>
    <row r="7" spans="1:21" x14ac:dyDescent="0.25">
      <c r="B7" s="1">
        <v>42205</v>
      </c>
      <c r="C7" s="10">
        <v>50</v>
      </c>
      <c r="D7" s="25">
        <v>24.35</v>
      </c>
      <c r="E7" s="25"/>
      <c r="F7" s="2">
        <f t="shared" si="0"/>
        <v>1217.5</v>
      </c>
      <c r="O7" s="20" t="s">
        <v>65</v>
      </c>
      <c r="Q7" s="2">
        <f>Q5-Q6+M29</f>
        <v>-33745.94</v>
      </c>
      <c r="T7" s="72">
        <v>42311</v>
      </c>
      <c r="U7" t="s">
        <v>221</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16.87</v>
      </c>
      <c r="P18">
        <v>1.1000000000000001</v>
      </c>
      <c r="Q18" s="2">
        <f>P18*O18</f>
        <v>18.557000000000002</v>
      </c>
    </row>
    <row r="19" spans="1:17" x14ac:dyDescent="0.25">
      <c r="B19" s="1">
        <v>42227</v>
      </c>
      <c r="C19" s="11">
        <v>200</v>
      </c>
      <c r="D19" s="80">
        <v>19.55</v>
      </c>
      <c r="E19" s="80"/>
      <c r="F19" s="2">
        <f t="shared" si="0"/>
        <v>3910</v>
      </c>
      <c r="O19" s="2">
        <f t="shared" si="1"/>
        <v>16.87</v>
      </c>
      <c r="P19">
        <v>1.05</v>
      </c>
      <c r="Q19" s="2">
        <f t="shared" ref="Q19:Q30" si="2">P19*O19</f>
        <v>17.713500000000003</v>
      </c>
    </row>
    <row r="20" spans="1:17" x14ac:dyDescent="0.25">
      <c r="B20" s="1">
        <v>42234</v>
      </c>
      <c r="C20">
        <v>40</v>
      </c>
      <c r="D20" s="2">
        <v>18.149999999999999</v>
      </c>
      <c r="F20" s="2">
        <f t="shared" si="0"/>
        <v>726</v>
      </c>
      <c r="O20" s="2">
        <f t="shared" si="1"/>
        <v>16.87</v>
      </c>
      <c r="P20">
        <v>1.04</v>
      </c>
      <c r="Q20" s="2">
        <f t="shared" si="2"/>
        <v>17.544800000000002</v>
      </c>
    </row>
    <row r="21" spans="1:17" x14ac:dyDescent="0.25">
      <c r="B21" s="1">
        <v>42234</v>
      </c>
      <c r="C21">
        <v>100</v>
      </c>
      <c r="D21" s="2">
        <v>18</v>
      </c>
      <c r="F21" s="2">
        <f t="shared" si="0"/>
        <v>1800</v>
      </c>
      <c r="O21" s="2">
        <f t="shared" si="1"/>
        <v>16.87</v>
      </c>
      <c r="P21" s="2">
        <v>1.03</v>
      </c>
      <c r="Q21" s="2">
        <f t="shared" si="2"/>
        <v>17.376100000000001</v>
      </c>
    </row>
    <row r="22" spans="1:17" x14ac:dyDescent="0.25">
      <c r="B22" s="1">
        <v>42235</v>
      </c>
      <c r="C22">
        <v>100</v>
      </c>
      <c r="D22" s="2">
        <v>17.78</v>
      </c>
      <c r="F22" s="2">
        <f t="shared" si="0"/>
        <v>1778</v>
      </c>
      <c r="O22" s="2">
        <f t="shared" si="1"/>
        <v>16.87</v>
      </c>
      <c r="P22" s="2">
        <v>1.02</v>
      </c>
      <c r="Q22" s="2">
        <f t="shared" si="2"/>
        <v>17.2074</v>
      </c>
    </row>
    <row r="23" spans="1:17" x14ac:dyDescent="0.25">
      <c r="B23" s="1">
        <v>42235</v>
      </c>
      <c r="C23">
        <v>100</v>
      </c>
      <c r="D23" s="2">
        <v>17.68</v>
      </c>
      <c r="F23" s="2">
        <f t="shared" si="0"/>
        <v>1768</v>
      </c>
      <c r="O23" s="2">
        <f t="shared" si="1"/>
        <v>16.87</v>
      </c>
      <c r="P23" s="2">
        <v>1.01</v>
      </c>
      <c r="Q23" s="2">
        <f t="shared" si="2"/>
        <v>17.038700000000002</v>
      </c>
    </row>
    <row r="24" spans="1:17" x14ac:dyDescent="0.25">
      <c r="B24" s="1">
        <v>42240</v>
      </c>
      <c r="C24">
        <v>100</v>
      </c>
      <c r="D24" s="2">
        <v>16.649999999999999</v>
      </c>
      <c r="F24" s="2">
        <f t="shared" si="0"/>
        <v>1664.9999999999998</v>
      </c>
      <c r="O24" s="2">
        <f t="shared" si="1"/>
        <v>16.87</v>
      </c>
      <c r="P24" s="2">
        <v>1</v>
      </c>
      <c r="Q24" s="2">
        <f t="shared" si="2"/>
        <v>16.87</v>
      </c>
    </row>
    <row r="25" spans="1:17" x14ac:dyDescent="0.25">
      <c r="B25" s="1">
        <v>42240</v>
      </c>
      <c r="C25">
        <v>100</v>
      </c>
      <c r="D25" s="2">
        <v>16.100000000000001</v>
      </c>
      <c r="F25" s="2">
        <f t="shared" si="0"/>
        <v>1610.0000000000002</v>
      </c>
      <c r="O25" s="2">
        <f t="shared" si="1"/>
        <v>16.87</v>
      </c>
      <c r="P25" s="2">
        <v>0.99</v>
      </c>
      <c r="Q25" s="2">
        <f t="shared" si="2"/>
        <v>16.7013</v>
      </c>
    </row>
    <row r="26" spans="1:17" x14ac:dyDescent="0.25">
      <c r="O26" s="2">
        <f t="shared" si="1"/>
        <v>16.87</v>
      </c>
      <c r="P26" s="2">
        <v>0.98</v>
      </c>
      <c r="Q26" s="2">
        <f t="shared" si="2"/>
        <v>16.532600000000002</v>
      </c>
    </row>
    <row r="27" spans="1:17" x14ac:dyDescent="0.25">
      <c r="O27" s="2">
        <f t="shared" si="1"/>
        <v>16.87</v>
      </c>
      <c r="P27" s="2">
        <v>0.97</v>
      </c>
      <c r="Q27" s="2">
        <f t="shared" si="2"/>
        <v>16.363900000000001</v>
      </c>
    </row>
    <row r="28" spans="1:17" x14ac:dyDescent="0.25">
      <c r="O28" s="2">
        <f t="shared" si="1"/>
        <v>16.87</v>
      </c>
      <c r="P28" s="2">
        <v>0.96</v>
      </c>
      <c r="Q28" s="2">
        <f t="shared" si="2"/>
        <v>16.1952</v>
      </c>
    </row>
    <row r="29" spans="1:17" x14ac:dyDescent="0.25">
      <c r="A29" s="57" t="s">
        <v>114</v>
      </c>
      <c r="B29" s="24"/>
      <c r="C29" s="24">
        <f>SUM(C2:C26)</f>
        <v>6752</v>
      </c>
      <c r="D29" s="24"/>
      <c r="E29" s="24"/>
      <c r="F29" s="24">
        <f>SUM(F2:F26)</f>
        <v>170372</v>
      </c>
      <c r="G29" s="24"/>
      <c r="H29" s="31">
        <f>SUM(H2:H25)</f>
        <v>2502</v>
      </c>
      <c r="I29" s="24"/>
      <c r="J29" s="24"/>
      <c r="K29" s="24">
        <f>SUM(K2:K25)</f>
        <v>64928.56</v>
      </c>
      <c r="L29" s="24"/>
      <c r="M29" s="24">
        <f>SUM(M2:M12)</f>
        <v>0</v>
      </c>
      <c r="O29" s="2">
        <f t="shared" si="1"/>
        <v>16.87</v>
      </c>
      <c r="P29" s="2">
        <v>0.95</v>
      </c>
      <c r="Q29" s="2">
        <f t="shared" si="2"/>
        <v>16.026499999999999</v>
      </c>
    </row>
    <row r="30" spans="1:17" x14ac:dyDescent="0.25">
      <c r="O30" s="2">
        <f t="shared" si="1"/>
        <v>16.87</v>
      </c>
      <c r="P30" s="2">
        <v>0.9</v>
      </c>
      <c r="Q30" s="2">
        <f t="shared" si="2"/>
        <v>15.183000000000002</v>
      </c>
    </row>
    <row r="31" spans="1:17" x14ac:dyDescent="0.25">
      <c r="Q31" s="2"/>
    </row>
    <row r="32" spans="1:17" x14ac:dyDescent="0.25">
      <c r="Q32" s="2"/>
    </row>
    <row r="45" spans="1:1" x14ac:dyDescent="0.25">
      <c r="A45" t="s">
        <v>90</v>
      </c>
    </row>
    <row r="46" spans="1:1" x14ac:dyDescent="0.25">
      <c r="A46" t="s">
        <v>91</v>
      </c>
    </row>
    <row r="47" spans="1:1" x14ac:dyDescent="0.25">
      <c r="A47" t="s">
        <v>92</v>
      </c>
    </row>
    <row r="48" spans="1:1" x14ac:dyDescent="0.25">
      <c r="A48" t="s">
        <v>93</v>
      </c>
    </row>
    <row r="49" spans="1:1" x14ac:dyDescent="0.25">
      <c r="A49" t="s">
        <v>94</v>
      </c>
    </row>
    <row r="50" spans="1:1" x14ac:dyDescent="0.25">
      <c r="A50" t="s">
        <v>95</v>
      </c>
    </row>
    <row r="51" spans="1:1" x14ac:dyDescent="0.25">
      <c r="A51" t="s">
        <v>96</v>
      </c>
    </row>
    <row r="52" spans="1:1" x14ac:dyDescent="0.25">
      <c r="A52" t="s">
        <v>97</v>
      </c>
    </row>
    <row r="53" spans="1:1" x14ac:dyDescent="0.25">
      <c r="A53" t="s">
        <v>98</v>
      </c>
    </row>
    <row r="55" spans="1:1" x14ac:dyDescent="0.25">
      <c r="A55" t="s">
        <v>99</v>
      </c>
    </row>
    <row r="56" spans="1:1" x14ac:dyDescent="0.25">
      <c r="A56" t="s">
        <v>100</v>
      </c>
    </row>
    <row r="57" spans="1:1" x14ac:dyDescent="0.25">
      <c r="A57" t="s">
        <v>101</v>
      </c>
    </row>
    <row r="58" spans="1:1" x14ac:dyDescent="0.25">
      <c r="A58" t="s">
        <v>102</v>
      </c>
    </row>
    <row r="59" spans="1:1" x14ac:dyDescent="0.25">
      <c r="A59" t="s">
        <v>103</v>
      </c>
    </row>
    <row r="60" spans="1:1" x14ac:dyDescent="0.25">
      <c r="A60" t="s">
        <v>104</v>
      </c>
    </row>
    <row r="61" spans="1:1" x14ac:dyDescent="0.25">
      <c r="A61" t="s">
        <v>105</v>
      </c>
    </row>
    <row r="62" spans="1:1" x14ac:dyDescent="0.25">
      <c r="A62" t="s">
        <v>106</v>
      </c>
    </row>
    <row r="63" spans="1:1" x14ac:dyDescent="0.25">
      <c r="A63" t="s">
        <v>107</v>
      </c>
    </row>
    <row r="64" spans="1:1" x14ac:dyDescent="0.25">
      <c r="A64" t="s">
        <v>38</v>
      </c>
    </row>
    <row r="65" spans="1:1" x14ac:dyDescent="0.25">
      <c r="A65" t="s">
        <v>108</v>
      </c>
    </row>
    <row r="66" spans="1:1" x14ac:dyDescent="0.25">
      <c r="A66" t="s">
        <v>109</v>
      </c>
    </row>
    <row r="67" spans="1:1" x14ac:dyDescent="0.25">
      <c r="A67"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c r="U1" s="20" t="s">
        <v>167</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15.43</v>
      </c>
      <c r="U4" s="1">
        <v>42263</v>
      </c>
      <c r="V4" t="s">
        <v>222</v>
      </c>
    </row>
    <row r="5" spans="1:23" x14ac:dyDescent="0.25">
      <c r="B5" s="1">
        <v>42166</v>
      </c>
      <c r="C5">
        <v>39</v>
      </c>
      <c r="D5" s="2">
        <v>19.25</v>
      </c>
      <c r="F5" s="2">
        <f t="shared" si="0"/>
        <v>750.75</v>
      </c>
      <c r="O5" s="20" t="s">
        <v>67</v>
      </c>
      <c r="Q5" s="2">
        <f>F26-K26</f>
        <v>75798.350000000006</v>
      </c>
      <c r="U5" s="1">
        <v>42313</v>
      </c>
      <c r="V5" t="s">
        <v>223</v>
      </c>
    </row>
    <row r="6" spans="1:23" x14ac:dyDescent="0.25">
      <c r="B6" s="1">
        <v>42174</v>
      </c>
      <c r="C6">
        <v>20</v>
      </c>
      <c r="D6" s="2">
        <v>19.059999999999999</v>
      </c>
      <c r="F6" s="2">
        <f t="shared" si="0"/>
        <v>381.2</v>
      </c>
      <c r="O6" s="20" t="s">
        <v>64</v>
      </c>
      <c r="Q6" s="2">
        <f>Q4*Q2</f>
        <v>64806</v>
      </c>
    </row>
    <row r="7" spans="1:23" x14ac:dyDescent="0.25">
      <c r="B7" s="1">
        <v>42177</v>
      </c>
      <c r="C7">
        <v>20</v>
      </c>
      <c r="D7" s="2">
        <v>18.899999999999999</v>
      </c>
      <c r="F7" s="2">
        <f t="shared" si="0"/>
        <v>378</v>
      </c>
      <c r="O7" s="20" t="s">
        <v>65</v>
      </c>
      <c r="Q7" s="82">
        <f>Q6-Q5</f>
        <v>-10992.350000000006</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15.43</v>
      </c>
      <c r="P18">
        <v>1.1000000000000001</v>
      </c>
      <c r="Q18" s="2">
        <f t="shared" ref="Q18:Q30" si="1">P18*O18</f>
        <v>16.973000000000003</v>
      </c>
      <c r="W18" s="2"/>
    </row>
    <row r="19" spans="1:23" x14ac:dyDescent="0.25">
      <c r="B19" s="1">
        <v>42223</v>
      </c>
      <c r="C19" s="10">
        <v>200</v>
      </c>
      <c r="D19" s="25">
        <v>17.170000000000002</v>
      </c>
      <c r="E19" s="25"/>
      <c r="F19" s="25">
        <f t="shared" si="0"/>
        <v>3434.0000000000005</v>
      </c>
      <c r="O19" s="2">
        <f>$Q$4</f>
        <v>15.43</v>
      </c>
      <c r="P19">
        <v>1.05</v>
      </c>
      <c r="Q19" s="2">
        <f t="shared" si="1"/>
        <v>16.201499999999999</v>
      </c>
    </row>
    <row r="20" spans="1:23" x14ac:dyDescent="0.25">
      <c r="B20" s="1">
        <v>42223</v>
      </c>
      <c r="C20" s="10">
        <v>100</v>
      </c>
      <c r="D20" s="25">
        <v>17.37</v>
      </c>
      <c r="E20" s="25"/>
      <c r="F20" s="25">
        <f t="shared" si="0"/>
        <v>1737</v>
      </c>
      <c r="O20" s="2">
        <f t="shared" ref="O20:O30" si="2">$Q$4</f>
        <v>15.43</v>
      </c>
      <c r="P20">
        <v>1.04</v>
      </c>
      <c r="Q20" s="2">
        <f t="shared" si="1"/>
        <v>16.0472</v>
      </c>
    </row>
    <row r="21" spans="1:23" x14ac:dyDescent="0.25">
      <c r="B21" s="1">
        <v>42227</v>
      </c>
      <c r="C21" s="10">
        <v>100</v>
      </c>
      <c r="D21" s="25">
        <v>17.100000000000001</v>
      </c>
      <c r="E21" s="25"/>
      <c r="F21" s="25">
        <f t="shared" si="0"/>
        <v>1710.0000000000002</v>
      </c>
      <c r="O21" s="2">
        <f t="shared" si="2"/>
        <v>15.43</v>
      </c>
      <c r="P21" s="2">
        <v>1.03</v>
      </c>
      <c r="Q21" s="2">
        <f t="shared" si="1"/>
        <v>15.892900000000001</v>
      </c>
    </row>
    <row r="22" spans="1:23" x14ac:dyDescent="0.25">
      <c r="B22" s="1">
        <v>42229</v>
      </c>
      <c r="C22" s="10">
        <v>100</v>
      </c>
      <c r="D22" s="25">
        <v>16.89</v>
      </c>
      <c r="E22" s="25"/>
      <c r="F22" s="25">
        <f t="shared" si="0"/>
        <v>1689</v>
      </c>
      <c r="O22" s="2">
        <f t="shared" si="2"/>
        <v>15.43</v>
      </c>
      <c r="P22" s="2">
        <v>1.02</v>
      </c>
      <c r="Q22" s="2">
        <f t="shared" si="1"/>
        <v>15.7386</v>
      </c>
    </row>
    <row r="23" spans="1:23" x14ac:dyDescent="0.25">
      <c r="B23" s="1">
        <v>42233</v>
      </c>
      <c r="C23" s="6">
        <v>100</v>
      </c>
      <c r="D23" s="5">
        <v>16.5</v>
      </c>
      <c r="E23" s="5"/>
      <c r="F23" s="5">
        <f t="shared" si="0"/>
        <v>1650</v>
      </c>
      <c r="O23" s="2">
        <f t="shared" si="2"/>
        <v>15.43</v>
      </c>
      <c r="P23" s="2">
        <v>1.01</v>
      </c>
      <c r="Q23" s="2">
        <f t="shared" si="1"/>
        <v>15.584300000000001</v>
      </c>
    </row>
    <row r="24" spans="1:23" x14ac:dyDescent="0.25">
      <c r="B24" s="1">
        <v>42234</v>
      </c>
      <c r="C24" s="6">
        <v>100</v>
      </c>
      <c r="D24" s="5">
        <v>16.600000000000001</v>
      </c>
      <c r="E24" s="5"/>
      <c r="F24" s="5">
        <f t="shared" si="0"/>
        <v>1660.0000000000002</v>
      </c>
      <c r="O24" s="2">
        <f t="shared" si="2"/>
        <v>15.43</v>
      </c>
      <c r="P24" s="2">
        <v>1</v>
      </c>
      <c r="Q24" s="2">
        <f t="shared" si="1"/>
        <v>15.43</v>
      </c>
    </row>
    <row r="25" spans="1:23" x14ac:dyDescent="0.25">
      <c r="B25" s="1">
        <v>42244</v>
      </c>
      <c r="C25" s="6">
        <v>200</v>
      </c>
      <c r="D25" s="5">
        <v>15.4</v>
      </c>
      <c r="E25" s="5"/>
      <c r="F25" s="5">
        <f t="shared" ref="F25" si="3">C25*D25</f>
        <v>3080</v>
      </c>
      <c r="O25" s="2">
        <f t="shared" si="2"/>
        <v>15.43</v>
      </c>
      <c r="P25" s="2">
        <v>0.99</v>
      </c>
      <c r="Q25" s="2">
        <f t="shared" si="1"/>
        <v>15.275699999999999</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15.43</v>
      </c>
      <c r="P26" s="2">
        <v>0.98</v>
      </c>
      <c r="Q26" s="2">
        <f t="shared" si="1"/>
        <v>15.1214</v>
      </c>
    </row>
    <row r="27" spans="1:23" x14ac:dyDescent="0.25">
      <c r="O27" s="2">
        <f t="shared" si="2"/>
        <v>15.43</v>
      </c>
      <c r="P27" s="2">
        <v>0.97</v>
      </c>
      <c r="Q27" s="2">
        <f t="shared" si="1"/>
        <v>14.967099999999999</v>
      </c>
    </row>
    <row r="28" spans="1:23" x14ac:dyDescent="0.25">
      <c r="O28" s="2">
        <f t="shared" si="2"/>
        <v>15.43</v>
      </c>
      <c r="P28" s="2">
        <v>0.96</v>
      </c>
      <c r="Q28" s="2">
        <f t="shared" si="1"/>
        <v>14.812799999999999</v>
      </c>
    </row>
    <row r="29" spans="1:23" x14ac:dyDescent="0.25">
      <c r="O29" s="2">
        <f t="shared" si="2"/>
        <v>15.43</v>
      </c>
      <c r="P29" s="2">
        <v>0.95</v>
      </c>
      <c r="Q29" s="2">
        <f t="shared" si="1"/>
        <v>14.658499999999998</v>
      </c>
    </row>
    <row r="30" spans="1:23" x14ac:dyDescent="0.25">
      <c r="O30" s="2">
        <f t="shared" si="2"/>
        <v>15.43</v>
      </c>
      <c r="P30" s="2">
        <v>0.9</v>
      </c>
      <c r="Q30" s="2">
        <f t="shared" si="1"/>
        <v>13.887</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145</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16.59</v>
      </c>
      <c r="T4" s="1">
        <v>42233</v>
      </c>
      <c r="U4" t="s">
        <v>143</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64203.3</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-5798.6000000000058</v>
      </c>
    </row>
    <row r="8" spans="1:25" x14ac:dyDescent="0.25">
      <c r="B8" s="1">
        <v>42186</v>
      </c>
      <c r="C8" s="6">
        <v>170</v>
      </c>
      <c r="D8" s="5">
        <v>19.600000000000001</v>
      </c>
      <c r="E8" s="5"/>
      <c r="F8" s="5">
        <f t="shared" si="0"/>
        <v>3332.0000000000005</v>
      </c>
    </row>
    <row r="9" spans="1:25" x14ac:dyDescent="0.25">
      <c r="B9" s="1">
        <v>42187</v>
      </c>
      <c r="C9" s="6">
        <v>1000</v>
      </c>
      <c r="D9" s="5">
        <v>19.2</v>
      </c>
      <c r="E9" s="5"/>
      <c r="F9" s="5">
        <f t="shared" si="0"/>
        <v>19200</v>
      </c>
    </row>
    <row r="10" spans="1:25" x14ac:dyDescent="0.25">
      <c r="B10" s="1">
        <v>42199</v>
      </c>
      <c r="C10">
        <v>100</v>
      </c>
      <c r="D10" s="2">
        <v>17.25</v>
      </c>
      <c r="E10" s="2"/>
      <c r="F10" s="2">
        <f t="shared" si="0"/>
        <v>1725</v>
      </c>
      <c r="T10" s="20" t="s">
        <v>144</v>
      </c>
    </row>
    <row r="11" spans="1:25" x14ac:dyDescent="0.25">
      <c r="B11" s="1">
        <v>42205</v>
      </c>
      <c r="C11" s="6">
        <v>20</v>
      </c>
      <c r="D11" s="5">
        <v>18.850000000000001</v>
      </c>
      <c r="E11" s="5"/>
      <c r="F11" s="5">
        <f t="shared" si="0"/>
        <v>377</v>
      </c>
      <c r="T11" s="1">
        <v>42255</v>
      </c>
      <c r="U11" t="s">
        <v>219</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220</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16.59</v>
      </c>
      <c r="P16" s="2">
        <v>1.1000000000000001</v>
      </c>
      <c r="Q16" s="2">
        <f t="shared" ref="Q16:Q28" si="2">P16*O16</f>
        <v>18.249000000000002</v>
      </c>
    </row>
    <row r="17" spans="2:21" x14ac:dyDescent="0.25">
      <c r="B17" s="1">
        <v>42223</v>
      </c>
      <c r="C17">
        <v>50</v>
      </c>
      <c r="D17" s="2">
        <v>18.75</v>
      </c>
      <c r="E17" s="2"/>
      <c r="F17" s="2">
        <f t="shared" si="0"/>
        <v>937.5</v>
      </c>
      <c r="O17" s="2">
        <f>$Q$4</f>
        <v>16.59</v>
      </c>
      <c r="P17" s="2">
        <v>1.05</v>
      </c>
      <c r="Q17" s="2">
        <f t="shared" si="2"/>
        <v>17.419499999999999</v>
      </c>
    </row>
    <row r="18" spans="2:21" x14ac:dyDescent="0.25">
      <c r="B18" s="1">
        <v>42227</v>
      </c>
      <c r="C18">
        <v>50</v>
      </c>
      <c r="D18" s="2">
        <v>18.45</v>
      </c>
      <c r="E18" s="2"/>
      <c r="F18" s="2">
        <f t="shared" si="0"/>
        <v>922.5</v>
      </c>
      <c r="O18" s="2">
        <f t="shared" ref="O18:O28" si="3">$Q$4</f>
        <v>16.59</v>
      </c>
      <c r="P18" s="2">
        <v>1.04</v>
      </c>
      <c r="Q18" s="2">
        <f t="shared" si="2"/>
        <v>17.253599999999999</v>
      </c>
    </row>
    <row r="19" spans="2:21" x14ac:dyDescent="0.25">
      <c r="B19" s="1">
        <v>42228</v>
      </c>
      <c r="C19" s="13">
        <v>100</v>
      </c>
      <c r="D19" s="26">
        <v>18.45</v>
      </c>
      <c r="E19" s="26"/>
      <c r="F19" s="26">
        <f t="shared" si="0"/>
        <v>1845</v>
      </c>
      <c r="O19" s="2">
        <f t="shared" si="3"/>
        <v>16.59</v>
      </c>
      <c r="P19" s="2">
        <v>1.03</v>
      </c>
      <c r="Q19" s="2">
        <f t="shared" si="2"/>
        <v>17.087700000000002</v>
      </c>
      <c r="T19" s="136">
        <v>42272</v>
      </c>
      <c r="U19" t="s">
        <v>209</v>
      </c>
    </row>
    <row r="20" spans="2:21" x14ac:dyDescent="0.25">
      <c r="B20" s="1">
        <v>42228</v>
      </c>
      <c r="C20">
        <v>200</v>
      </c>
      <c r="D20" s="2">
        <v>18.190000000000001</v>
      </c>
      <c r="E20" s="2"/>
      <c r="F20" s="2">
        <f t="shared" si="0"/>
        <v>3638.0000000000005</v>
      </c>
      <c r="O20" s="2">
        <f t="shared" si="3"/>
        <v>16.59</v>
      </c>
      <c r="P20" s="2">
        <v>1.02</v>
      </c>
      <c r="Q20" s="2">
        <f t="shared" si="2"/>
        <v>16.921800000000001</v>
      </c>
      <c r="T20" t="s">
        <v>157</v>
      </c>
    </row>
    <row r="21" spans="2:21" x14ac:dyDescent="0.25">
      <c r="B21" s="1">
        <v>42228</v>
      </c>
      <c r="C21">
        <v>200</v>
      </c>
      <c r="D21" s="2">
        <v>18.100000000000001</v>
      </c>
      <c r="E21" s="2"/>
      <c r="F21" s="2">
        <f t="shared" si="0"/>
        <v>3620.0000000000005</v>
      </c>
      <c r="O21" s="2">
        <f t="shared" si="3"/>
        <v>16.59</v>
      </c>
      <c r="P21" s="2">
        <v>1.01</v>
      </c>
      <c r="Q21" s="2">
        <f t="shared" si="2"/>
        <v>16.7559</v>
      </c>
      <c r="T21" t="s">
        <v>158</v>
      </c>
    </row>
    <row r="22" spans="2:21" x14ac:dyDescent="0.25">
      <c r="B22" s="1">
        <v>42229</v>
      </c>
      <c r="C22">
        <v>100</v>
      </c>
      <c r="D22" s="2">
        <v>18.329999999999998</v>
      </c>
      <c r="E22" s="2"/>
      <c r="F22" s="2">
        <f t="shared" si="0"/>
        <v>1832.9999999999998</v>
      </c>
      <c r="O22" s="2">
        <f t="shared" si="3"/>
        <v>16.59</v>
      </c>
      <c r="P22" s="2">
        <v>1</v>
      </c>
      <c r="Q22" s="2">
        <f t="shared" si="2"/>
        <v>16.59</v>
      </c>
      <c r="T22" t="s">
        <v>159</v>
      </c>
    </row>
    <row r="23" spans="2:21" x14ac:dyDescent="0.25">
      <c r="B23" s="1">
        <v>42230</v>
      </c>
      <c r="C23">
        <v>100</v>
      </c>
      <c r="D23" s="2">
        <v>18</v>
      </c>
      <c r="E23" s="2"/>
      <c r="F23" s="2">
        <f>C23*D23</f>
        <v>1800</v>
      </c>
      <c r="O23" s="2">
        <f t="shared" si="3"/>
        <v>16.59</v>
      </c>
      <c r="P23" s="2">
        <v>0.99</v>
      </c>
      <c r="Q23" s="2">
        <f t="shared" si="2"/>
        <v>16.424099999999999</v>
      </c>
      <c r="T23" t="s">
        <v>160</v>
      </c>
    </row>
    <row r="24" spans="2:21" x14ac:dyDescent="0.25">
      <c r="B24" s="1">
        <v>42230</v>
      </c>
      <c r="C24">
        <v>200</v>
      </c>
      <c r="D24" s="2">
        <v>17.78</v>
      </c>
      <c r="E24" s="2"/>
      <c r="F24" s="2">
        <f t="shared" si="0"/>
        <v>3556</v>
      </c>
      <c r="O24" s="2">
        <f t="shared" si="3"/>
        <v>16.59</v>
      </c>
      <c r="P24" s="2">
        <v>0.98</v>
      </c>
      <c r="Q24" s="2">
        <f t="shared" si="2"/>
        <v>16.258199999999999</v>
      </c>
      <c r="T24" t="s">
        <v>161</v>
      </c>
    </row>
    <row r="25" spans="2:21" x14ac:dyDescent="0.25">
      <c r="B25" s="1">
        <v>42234</v>
      </c>
      <c r="C25" s="6">
        <v>100</v>
      </c>
      <c r="D25" s="5">
        <v>17.75</v>
      </c>
      <c r="E25" s="5"/>
      <c r="F25" s="5">
        <f t="shared" ref="F25:F30" si="4">C25*D25</f>
        <v>1775</v>
      </c>
      <c r="O25" s="2">
        <f t="shared" si="3"/>
        <v>16.59</v>
      </c>
      <c r="P25" s="2">
        <v>0.97</v>
      </c>
      <c r="Q25" s="2">
        <f t="shared" si="2"/>
        <v>16.092299999999998</v>
      </c>
    </row>
    <row r="26" spans="2:21" x14ac:dyDescent="0.25">
      <c r="B26" s="1">
        <v>42235</v>
      </c>
      <c r="C26" s="6">
        <v>100</v>
      </c>
      <c r="D26" s="5">
        <v>17.350000000000001</v>
      </c>
      <c r="E26" s="5"/>
      <c r="F26" s="5">
        <f t="shared" si="4"/>
        <v>1735.0000000000002</v>
      </c>
      <c r="O26" s="2">
        <f t="shared" si="3"/>
        <v>16.59</v>
      </c>
      <c r="P26" s="2">
        <v>0.96</v>
      </c>
      <c r="Q26" s="2">
        <f t="shared" si="2"/>
        <v>15.926399999999999</v>
      </c>
    </row>
    <row r="27" spans="2:21" x14ac:dyDescent="0.25">
      <c r="B27" s="1">
        <v>42235</v>
      </c>
      <c r="C27" s="9">
        <v>100</v>
      </c>
      <c r="D27" s="79">
        <v>17.55</v>
      </c>
      <c r="E27" s="79"/>
      <c r="F27" s="79">
        <f t="shared" si="4"/>
        <v>1755</v>
      </c>
      <c r="O27" s="2">
        <f t="shared" si="3"/>
        <v>16.59</v>
      </c>
      <c r="P27" s="2">
        <v>0.95</v>
      </c>
      <c r="Q27" s="2">
        <f t="shared" si="2"/>
        <v>15.760499999999999</v>
      </c>
    </row>
    <row r="28" spans="2:21" x14ac:dyDescent="0.25">
      <c r="B28" s="1">
        <v>42235</v>
      </c>
      <c r="C28" s="9">
        <v>100</v>
      </c>
      <c r="D28" s="79">
        <v>17.170000000000002</v>
      </c>
      <c r="E28" s="79"/>
      <c r="F28" s="79">
        <f t="shared" si="4"/>
        <v>1717.0000000000002</v>
      </c>
      <c r="O28" s="2">
        <f t="shared" si="3"/>
        <v>16.59</v>
      </c>
      <c r="P28" s="2">
        <v>0.9</v>
      </c>
      <c r="Q28" s="2">
        <f t="shared" si="2"/>
        <v>14.931000000000001</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139"/>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155</v>
      </c>
      <c r="F1" s="20" t="s">
        <v>60</v>
      </c>
      <c r="G1" s="20" t="s">
        <v>3</v>
      </c>
      <c r="H1" s="156" t="s">
        <v>6</v>
      </c>
      <c r="I1" s="20" t="s">
        <v>7</v>
      </c>
      <c r="J1" s="20" t="s">
        <v>154</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57">
        <v>100</v>
      </c>
      <c r="I2" s="121">
        <v>27.15</v>
      </c>
      <c r="J2" s="121">
        <v>6.95</v>
      </c>
      <c r="K2" s="122">
        <f>H2*I2-J2</f>
        <v>2708.05</v>
      </c>
      <c r="L2" s="1">
        <v>42248</v>
      </c>
      <c r="M2" s="155">
        <v>156</v>
      </c>
      <c r="O2" s="20" t="s">
        <v>57</v>
      </c>
      <c r="Q2">
        <f>C13-H13</f>
        <v>800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(F13-K13+M13)/Q2</f>
        <v>30.121812500000001</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29.08</v>
      </c>
    </row>
    <row r="5" spans="1:24" x14ac:dyDescent="0.25">
      <c r="B5" s="1">
        <v>42186</v>
      </c>
      <c r="C5">
        <v>200</v>
      </c>
      <c r="D5" s="2">
        <v>30.9</v>
      </c>
      <c r="E5" s="2"/>
      <c r="F5" s="2">
        <f t="shared" si="0"/>
        <v>6180</v>
      </c>
      <c r="O5" s="20" t="s">
        <v>67</v>
      </c>
      <c r="Q5" s="5">
        <f>Q4*Q2</f>
        <v>23264</v>
      </c>
      <c r="S5" s="1">
        <v>42242</v>
      </c>
      <c r="U5" t="s">
        <v>207</v>
      </c>
    </row>
    <row r="6" spans="1:24" x14ac:dyDescent="0.25">
      <c r="B6" s="1">
        <v>42194</v>
      </c>
      <c r="C6">
        <v>100</v>
      </c>
      <c r="D6" s="2">
        <v>29.8</v>
      </c>
      <c r="E6" s="2"/>
      <c r="F6" s="2">
        <f t="shared" si="0"/>
        <v>2980</v>
      </c>
      <c r="O6" s="20" t="s">
        <v>64</v>
      </c>
      <c r="Q6" s="2">
        <f>Q3*Q2</f>
        <v>24097.45</v>
      </c>
      <c r="S6" s="1">
        <v>42255</v>
      </c>
      <c r="T6" t="s">
        <v>227</v>
      </c>
    </row>
    <row r="7" spans="1:24" x14ac:dyDescent="0.25">
      <c r="B7" s="1">
        <v>42207</v>
      </c>
      <c r="C7">
        <v>50</v>
      </c>
      <c r="D7" s="2">
        <v>29.32</v>
      </c>
      <c r="E7" s="2"/>
      <c r="F7" s="2">
        <f t="shared" si="0"/>
        <v>1466</v>
      </c>
      <c r="O7" s="20" t="s">
        <v>65</v>
      </c>
      <c r="Q7" s="2">
        <f>Q5-Q6</f>
        <v>-833.45000000000073</v>
      </c>
    </row>
    <row r="8" spans="1:24" x14ac:dyDescent="0.25">
      <c r="B8" s="1">
        <v>42209</v>
      </c>
      <c r="C8">
        <v>50</v>
      </c>
      <c r="D8" s="2">
        <v>28.6</v>
      </c>
      <c r="E8" s="2"/>
      <c r="F8" s="2">
        <f t="shared" si="0"/>
        <v>1430</v>
      </c>
      <c r="S8" s="135" t="s">
        <v>226</v>
      </c>
      <c r="T8" t="s">
        <v>225</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2"/>
      <c r="H13" s="158">
        <f t="shared" ref="G13:M13" si="2">SUM(H2:H12)</f>
        <v>100</v>
      </c>
      <c r="I13" s="22"/>
      <c r="J13" s="22"/>
      <c r="K13" s="22">
        <f t="shared" si="2"/>
        <v>2708.05</v>
      </c>
      <c r="L13" s="22"/>
      <c r="M13" s="22">
        <f t="shared" si="2"/>
        <v>156</v>
      </c>
    </row>
    <row r="21" spans="15:17" x14ac:dyDescent="0.25">
      <c r="P21" t="s">
        <v>89</v>
      </c>
    </row>
    <row r="22" spans="15:17" x14ac:dyDescent="0.25">
      <c r="O22" s="2">
        <f>$Q$4</f>
        <v>29.08</v>
      </c>
      <c r="P22">
        <v>1.1000000000000001</v>
      </c>
      <c r="Q22" s="2">
        <f t="shared" ref="Q22:Q34" si="3">P22*O22</f>
        <v>31.988</v>
      </c>
    </row>
    <row r="23" spans="15:17" x14ac:dyDescent="0.25">
      <c r="O23" s="2">
        <f>$Q$4</f>
        <v>29.08</v>
      </c>
      <c r="P23">
        <v>1.05</v>
      </c>
      <c r="Q23" s="2">
        <f t="shared" si="3"/>
        <v>30.533999999999999</v>
      </c>
    </row>
    <row r="24" spans="15:17" x14ac:dyDescent="0.25">
      <c r="O24" s="2">
        <f t="shared" ref="O24:O34" si="4">$Q$4</f>
        <v>29.08</v>
      </c>
      <c r="P24">
        <v>1.04</v>
      </c>
      <c r="Q24" s="2">
        <f t="shared" si="3"/>
        <v>30.243199999999998</v>
      </c>
    </row>
    <row r="25" spans="15:17" x14ac:dyDescent="0.25">
      <c r="O25" s="2">
        <f t="shared" si="4"/>
        <v>29.08</v>
      </c>
      <c r="P25" s="2">
        <v>1.03</v>
      </c>
      <c r="Q25" s="2">
        <f t="shared" si="3"/>
        <v>29.952399999999997</v>
      </c>
    </row>
    <row r="26" spans="15:17" x14ac:dyDescent="0.25">
      <c r="O26" s="2">
        <f t="shared" si="4"/>
        <v>29.08</v>
      </c>
      <c r="P26" s="2">
        <v>1.02</v>
      </c>
      <c r="Q26" s="2">
        <f t="shared" si="3"/>
        <v>29.6616</v>
      </c>
    </row>
    <row r="27" spans="15:17" x14ac:dyDescent="0.25">
      <c r="O27" s="2">
        <f t="shared" si="4"/>
        <v>29.08</v>
      </c>
      <c r="P27" s="2">
        <v>1.01</v>
      </c>
      <c r="Q27" s="2">
        <f t="shared" si="3"/>
        <v>29.370799999999999</v>
      </c>
    </row>
    <row r="28" spans="15:17" x14ac:dyDescent="0.25">
      <c r="O28" s="2">
        <f t="shared" si="4"/>
        <v>29.08</v>
      </c>
      <c r="P28" s="2">
        <v>1</v>
      </c>
      <c r="Q28" s="2">
        <f t="shared" si="3"/>
        <v>29.08</v>
      </c>
    </row>
    <row r="29" spans="15:17" x14ac:dyDescent="0.25">
      <c r="O29" s="2">
        <f t="shared" si="4"/>
        <v>29.08</v>
      </c>
      <c r="P29" s="2">
        <v>0.99</v>
      </c>
      <c r="Q29" s="2">
        <f t="shared" si="3"/>
        <v>28.789199999999997</v>
      </c>
    </row>
    <row r="30" spans="15:17" x14ac:dyDescent="0.25">
      <c r="O30" s="2">
        <f t="shared" si="4"/>
        <v>29.08</v>
      </c>
      <c r="P30" s="2">
        <v>0.98</v>
      </c>
      <c r="Q30" s="2">
        <f t="shared" si="3"/>
        <v>28.498399999999997</v>
      </c>
    </row>
    <row r="31" spans="15:17" x14ac:dyDescent="0.25">
      <c r="O31" s="2">
        <f t="shared" si="4"/>
        <v>29.08</v>
      </c>
      <c r="P31" s="2">
        <v>0.97</v>
      </c>
      <c r="Q31" s="2">
        <f t="shared" si="3"/>
        <v>28.207599999999999</v>
      </c>
    </row>
    <row r="32" spans="15:17" x14ac:dyDescent="0.25">
      <c r="O32" s="2">
        <f t="shared" si="4"/>
        <v>29.08</v>
      </c>
      <c r="P32" s="2">
        <v>0.96</v>
      </c>
      <c r="Q32" s="2">
        <f t="shared" si="3"/>
        <v>27.916799999999999</v>
      </c>
    </row>
    <row r="33" spans="15:17" x14ac:dyDescent="0.25">
      <c r="O33" s="2">
        <f t="shared" si="4"/>
        <v>29.08</v>
      </c>
      <c r="P33" s="2">
        <v>0.95</v>
      </c>
      <c r="Q33" s="2">
        <f t="shared" si="3"/>
        <v>27.625999999999998</v>
      </c>
    </row>
    <row r="34" spans="15:17" x14ac:dyDescent="0.25">
      <c r="O34" s="2">
        <f t="shared" si="4"/>
        <v>29.08</v>
      </c>
      <c r="P34" s="2">
        <v>0.9</v>
      </c>
      <c r="Q34" s="2">
        <f t="shared" si="3"/>
        <v>26.172000000000001</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8" max="8" width="9.140625" style="139"/>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155</v>
      </c>
      <c r="F1" s="97" t="s">
        <v>60</v>
      </c>
      <c r="G1" s="96" t="s">
        <v>3</v>
      </c>
      <c r="H1" s="137" t="s">
        <v>6</v>
      </c>
      <c r="I1" s="97" t="s">
        <v>7</v>
      </c>
      <c r="J1" s="97" t="s">
        <v>154</v>
      </c>
      <c r="K1" s="97" t="s">
        <v>61</v>
      </c>
      <c r="L1" s="96" t="s">
        <v>43</v>
      </c>
      <c r="M1" s="96" t="s">
        <v>38</v>
      </c>
      <c r="T1" s="96" t="s">
        <v>74</v>
      </c>
    </row>
    <row r="2" spans="1:24" x14ac:dyDescent="0.25">
      <c r="A2" s="8" t="s">
        <v>22</v>
      </c>
      <c r="B2" s="123">
        <v>42153</v>
      </c>
      <c r="C2" s="10">
        <v>20</v>
      </c>
      <c r="D2" s="25">
        <v>67.3</v>
      </c>
      <c r="E2" s="25">
        <v>0</v>
      </c>
      <c r="F2" s="25">
        <f t="shared" ref="F2:F15" si="0">D2*C2+E2</f>
        <v>1346</v>
      </c>
      <c r="G2" s="141">
        <v>42219</v>
      </c>
      <c r="H2" s="138">
        <v>25</v>
      </c>
      <c r="I2" s="84">
        <v>60.05</v>
      </c>
      <c r="J2" s="84">
        <v>0.03</v>
      </c>
      <c r="K2" s="84">
        <f>H2*I2-J2</f>
        <v>1501.22</v>
      </c>
      <c r="L2" s="1">
        <v>42185</v>
      </c>
      <c r="M2" s="2">
        <v>5</v>
      </c>
      <c r="O2" s="20" t="s">
        <v>57</v>
      </c>
      <c r="Q2">
        <f>C16-H16</f>
        <v>80</v>
      </c>
      <c r="T2" t="s">
        <v>116</v>
      </c>
    </row>
    <row r="3" spans="1:24" x14ac:dyDescent="0.25">
      <c r="A3" s="36" t="s">
        <v>81</v>
      </c>
      <c r="B3" s="1">
        <v>42205</v>
      </c>
      <c r="C3">
        <v>20</v>
      </c>
      <c r="D3" s="2">
        <v>63.4</v>
      </c>
      <c r="E3" s="2">
        <v>0</v>
      </c>
      <c r="F3" s="2">
        <f t="shared" si="0"/>
        <v>1268</v>
      </c>
      <c r="G3" s="141">
        <v>42219</v>
      </c>
      <c r="H3" s="138">
        <v>55</v>
      </c>
      <c r="I3" s="84">
        <v>59.75</v>
      </c>
      <c r="J3" s="84">
        <v>0.06</v>
      </c>
      <c r="K3" s="84">
        <f>H3*I3-J3</f>
        <v>3286.19</v>
      </c>
      <c r="L3" t="s">
        <v>120</v>
      </c>
      <c r="M3" s="2"/>
      <c r="O3" s="20" t="s">
        <v>58</v>
      </c>
      <c r="Q3" s="2">
        <f>(F16-K16)/Q2</f>
        <v>60.66750000000004</v>
      </c>
      <c r="T3" t="s">
        <v>117</v>
      </c>
      <c r="U3" t="s">
        <v>71</v>
      </c>
      <c r="V3" t="s">
        <v>72</v>
      </c>
      <c r="W3" t="s">
        <v>119</v>
      </c>
      <c r="X3" t="s">
        <v>118</v>
      </c>
    </row>
    <row r="4" spans="1:24" x14ac:dyDescent="0.25">
      <c r="B4" s="1">
        <v>42205</v>
      </c>
      <c r="C4">
        <v>20</v>
      </c>
      <c r="D4" s="2">
        <v>63.15</v>
      </c>
      <c r="E4" s="2">
        <v>0</v>
      </c>
      <c r="F4" s="2">
        <f t="shared" si="0"/>
        <v>1263</v>
      </c>
      <c r="G4" s="123">
        <v>42250</v>
      </c>
      <c r="H4" s="142">
        <v>100</v>
      </c>
      <c r="I4" s="25">
        <v>59.4</v>
      </c>
      <c r="J4" s="25">
        <v>0.06</v>
      </c>
      <c r="K4" s="121">
        <f>H4*I4-J4</f>
        <v>5939.94</v>
      </c>
      <c r="M4" s="2"/>
      <c r="O4" s="20" t="s">
        <v>66</v>
      </c>
      <c r="Q4" s="106">
        <v>57.4</v>
      </c>
      <c r="T4" s="55">
        <v>42249</v>
      </c>
      <c r="U4" s="55">
        <v>42264</v>
      </c>
      <c r="V4" s="61">
        <v>42276</v>
      </c>
      <c r="W4">
        <v>0.25</v>
      </c>
    </row>
    <row r="5" spans="1:24" x14ac:dyDescent="0.25">
      <c r="B5" s="143">
        <v>42207</v>
      </c>
      <c r="C5" s="6">
        <v>10</v>
      </c>
      <c r="D5" s="5">
        <v>62</v>
      </c>
      <c r="E5" s="5">
        <v>0</v>
      </c>
      <c r="F5" s="5">
        <f t="shared" si="0"/>
        <v>620</v>
      </c>
      <c r="M5" s="2"/>
      <c r="O5" s="20" t="s">
        <v>67</v>
      </c>
      <c r="Q5" s="5">
        <f>Q4*Q2</f>
        <v>4592</v>
      </c>
      <c r="T5" t="s">
        <v>121</v>
      </c>
    </row>
    <row r="6" spans="1:24" x14ac:dyDescent="0.25">
      <c r="B6" s="143">
        <v>42207</v>
      </c>
      <c r="C6" s="6">
        <v>5</v>
      </c>
      <c r="D6" s="5">
        <v>61.6</v>
      </c>
      <c r="E6" s="5">
        <v>0</v>
      </c>
      <c r="F6" s="5">
        <f t="shared" si="0"/>
        <v>308</v>
      </c>
      <c r="M6" s="2"/>
      <c r="O6" s="20" t="s">
        <v>64</v>
      </c>
      <c r="Q6" s="2">
        <f>Q3*Q2</f>
        <v>4853.4000000000033</v>
      </c>
    </row>
    <row r="7" spans="1:24" x14ac:dyDescent="0.25">
      <c r="B7" s="143">
        <v>42207</v>
      </c>
      <c r="C7" s="6">
        <v>20</v>
      </c>
      <c r="D7" s="5">
        <v>59.85</v>
      </c>
      <c r="E7" s="5">
        <v>0</v>
      </c>
      <c r="F7" s="5">
        <f t="shared" si="0"/>
        <v>1197</v>
      </c>
      <c r="M7" s="2"/>
      <c r="O7" s="20" t="s">
        <v>65</v>
      </c>
      <c r="Q7" s="2">
        <f>Q5-Q6+M16</f>
        <v>-256.40000000000327</v>
      </c>
    </row>
    <row r="8" spans="1:24" x14ac:dyDescent="0.25">
      <c r="B8" s="141">
        <v>42208</v>
      </c>
      <c r="C8" s="9">
        <v>5</v>
      </c>
      <c r="D8" s="79">
        <v>61.3</v>
      </c>
      <c r="E8" s="79">
        <v>0</v>
      </c>
      <c r="F8" s="79">
        <f t="shared" si="0"/>
        <v>306.5</v>
      </c>
      <c r="M8" s="2"/>
    </row>
    <row r="9" spans="1:24" x14ac:dyDescent="0.25">
      <c r="B9" s="141">
        <v>42219</v>
      </c>
      <c r="C9" s="12">
        <v>25</v>
      </c>
      <c r="D9" s="79">
        <v>59.4</v>
      </c>
      <c r="E9" s="79">
        <v>0</v>
      </c>
      <c r="F9" s="79">
        <f t="shared" si="0"/>
        <v>1485</v>
      </c>
      <c r="M9" s="2"/>
    </row>
    <row r="10" spans="1:24" x14ac:dyDescent="0.25">
      <c r="B10" s="141">
        <v>42219</v>
      </c>
      <c r="C10" s="12">
        <v>50</v>
      </c>
      <c r="D10" s="79">
        <v>59.2</v>
      </c>
      <c r="E10" s="79">
        <v>0</v>
      </c>
      <c r="F10" s="79">
        <f t="shared" si="0"/>
        <v>2960</v>
      </c>
      <c r="M10" s="2"/>
    </row>
    <row r="11" spans="1:24" x14ac:dyDescent="0.25">
      <c r="B11" s="141">
        <v>42226</v>
      </c>
      <c r="C11" s="12">
        <v>5</v>
      </c>
      <c r="D11" s="79">
        <v>56.2</v>
      </c>
      <c r="E11" s="79">
        <v>0</v>
      </c>
      <c r="F11" s="79">
        <f t="shared" si="0"/>
        <v>281</v>
      </c>
      <c r="M11" s="2"/>
    </row>
    <row r="12" spans="1:24" x14ac:dyDescent="0.25">
      <c r="B12" s="123">
        <v>42226</v>
      </c>
      <c r="C12" s="10">
        <v>15</v>
      </c>
      <c r="D12" s="25">
        <v>56.5</v>
      </c>
      <c r="E12" s="25">
        <v>0</v>
      </c>
      <c r="F12" s="25">
        <f t="shared" si="0"/>
        <v>847.5</v>
      </c>
      <c r="M12" s="2"/>
    </row>
    <row r="13" spans="1:24" x14ac:dyDescent="0.25">
      <c r="B13" s="123">
        <v>42240</v>
      </c>
      <c r="C13" s="122">
        <v>15</v>
      </c>
      <c r="D13" s="25">
        <v>57.19</v>
      </c>
      <c r="E13" s="25">
        <v>0</v>
      </c>
      <c r="F13" s="25">
        <f t="shared" si="0"/>
        <v>857.84999999999991</v>
      </c>
      <c r="M13" s="2"/>
    </row>
    <row r="14" spans="1:24" x14ac:dyDescent="0.25">
      <c r="B14" s="123">
        <v>42240</v>
      </c>
      <c r="C14" s="10">
        <v>20</v>
      </c>
      <c r="D14" s="25">
        <v>56.6</v>
      </c>
      <c r="E14" s="25">
        <v>6.95</v>
      </c>
      <c r="F14" s="25">
        <f t="shared" si="0"/>
        <v>1138.95</v>
      </c>
      <c r="M14" s="2"/>
    </row>
    <row r="15" spans="1:24" x14ac:dyDescent="0.25">
      <c r="B15" s="123">
        <v>42240</v>
      </c>
      <c r="C15" s="10">
        <v>30</v>
      </c>
      <c r="D15" s="25">
        <v>56.5</v>
      </c>
      <c r="E15" s="25">
        <v>6.95</v>
      </c>
      <c r="F15" s="25">
        <f t="shared" si="0"/>
        <v>1701.95</v>
      </c>
      <c r="M15" s="2"/>
    </row>
    <row r="16" spans="1:24" x14ac:dyDescent="0.25">
      <c r="A16" s="57" t="s">
        <v>114</v>
      </c>
      <c r="B16" s="24"/>
      <c r="C16" s="24">
        <f>SUM(C2:C15)</f>
        <v>260</v>
      </c>
      <c r="D16" s="31"/>
      <c r="E16" s="31"/>
      <c r="F16" s="31">
        <f>SUM(F2:F15)</f>
        <v>15580.750000000002</v>
      </c>
      <c r="G16" s="24"/>
      <c r="H16" s="140">
        <f>SUM(H2:H10)</f>
        <v>180</v>
      </c>
      <c r="I16" s="31"/>
      <c r="J16" s="31"/>
      <c r="K16" s="31">
        <f>SUM(K2:K10)</f>
        <v>10727.349999999999</v>
      </c>
      <c r="L16" s="24"/>
      <c r="M16" s="31">
        <f t="shared" ref="M16" si="1">SUM(M2:M10)</f>
        <v>5</v>
      </c>
    </row>
    <row r="20" spans="7:21" x14ac:dyDescent="0.25">
      <c r="G20" s="2"/>
    </row>
    <row r="21" spans="7:21" x14ac:dyDescent="0.25">
      <c r="U21" s="2"/>
    </row>
    <row r="22" spans="7:21" x14ac:dyDescent="0.25">
      <c r="G22" s="2"/>
      <c r="P22" t="s">
        <v>89</v>
      </c>
      <c r="R22" s="59"/>
    </row>
    <row r="23" spans="7:21" x14ac:dyDescent="0.25">
      <c r="O23" s="2">
        <f>$Q$4</f>
        <v>57.4</v>
      </c>
      <c r="P23">
        <v>1.1000000000000001</v>
      </c>
      <c r="Q23" s="2">
        <f t="shared" ref="Q23:Q35" si="2">P23*O23</f>
        <v>63.14</v>
      </c>
      <c r="R23" s="59"/>
    </row>
    <row r="24" spans="7:21" x14ac:dyDescent="0.25">
      <c r="O24" s="2">
        <f>$Q$4</f>
        <v>57.4</v>
      </c>
      <c r="P24">
        <v>1.05</v>
      </c>
      <c r="Q24" s="2">
        <f t="shared" si="2"/>
        <v>60.27</v>
      </c>
      <c r="R24" s="59"/>
    </row>
    <row r="25" spans="7:21" x14ac:dyDescent="0.25">
      <c r="O25" s="2">
        <f t="shared" ref="O25:O35" si="3">$Q$4</f>
        <v>57.4</v>
      </c>
      <c r="P25">
        <v>1.04</v>
      </c>
      <c r="Q25" s="2">
        <f t="shared" si="2"/>
        <v>59.695999999999998</v>
      </c>
      <c r="R25" s="59"/>
    </row>
    <row r="26" spans="7:21" x14ac:dyDescent="0.25">
      <c r="O26" s="2">
        <f t="shared" si="3"/>
        <v>57.4</v>
      </c>
      <c r="P26" s="2">
        <v>1.03</v>
      </c>
      <c r="Q26" s="2">
        <f t="shared" si="2"/>
        <v>59.122</v>
      </c>
      <c r="R26" s="59"/>
    </row>
    <row r="27" spans="7:21" x14ac:dyDescent="0.25">
      <c r="O27" s="2">
        <f t="shared" si="3"/>
        <v>57.4</v>
      </c>
      <c r="P27" s="2">
        <v>1.02</v>
      </c>
      <c r="Q27" s="2">
        <f t="shared" si="2"/>
        <v>58.548000000000002</v>
      </c>
      <c r="R27" s="59"/>
    </row>
    <row r="28" spans="7:21" x14ac:dyDescent="0.25">
      <c r="O28" s="2">
        <f t="shared" si="3"/>
        <v>57.4</v>
      </c>
      <c r="P28" s="2">
        <v>1.01</v>
      </c>
      <c r="Q28" s="2">
        <f t="shared" si="2"/>
        <v>57.973999999999997</v>
      </c>
      <c r="R28" s="59"/>
    </row>
    <row r="29" spans="7:21" x14ac:dyDescent="0.25">
      <c r="O29" s="2">
        <f t="shared" si="3"/>
        <v>57.4</v>
      </c>
      <c r="P29" s="2">
        <v>1</v>
      </c>
      <c r="Q29" s="2">
        <f t="shared" si="2"/>
        <v>57.4</v>
      </c>
      <c r="R29" s="59"/>
    </row>
    <row r="30" spans="7:21" x14ac:dyDescent="0.25">
      <c r="O30" s="2">
        <f t="shared" si="3"/>
        <v>57.4</v>
      </c>
      <c r="P30" s="2">
        <v>0.99</v>
      </c>
      <c r="Q30" s="2">
        <f t="shared" si="2"/>
        <v>56.826000000000001</v>
      </c>
      <c r="R30" s="59"/>
    </row>
    <row r="31" spans="7:21" x14ac:dyDescent="0.25">
      <c r="O31" s="2">
        <f t="shared" si="3"/>
        <v>57.4</v>
      </c>
      <c r="P31" s="2">
        <v>0.98</v>
      </c>
      <c r="Q31" s="2">
        <f t="shared" si="2"/>
        <v>56.251999999999995</v>
      </c>
      <c r="R31" s="59"/>
    </row>
    <row r="32" spans="7:21" x14ac:dyDescent="0.25">
      <c r="O32" s="2">
        <f t="shared" si="3"/>
        <v>57.4</v>
      </c>
      <c r="P32" s="2">
        <v>0.97</v>
      </c>
      <c r="Q32" s="2">
        <f t="shared" si="2"/>
        <v>55.677999999999997</v>
      </c>
      <c r="R32" s="59"/>
    </row>
    <row r="33" spans="15:18" x14ac:dyDescent="0.25">
      <c r="O33" s="2">
        <f t="shared" si="3"/>
        <v>57.4</v>
      </c>
      <c r="P33" s="2">
        <v>0.96</v>
      </c>
      <c r="Q33" s="2">
        <f t="shared" si="2"/>
        <v>55.103999999999999</v>
      </c>
      <c r="R33" s="59"/>
    </row>
    <row r="34" spans="15:18" x14ac:dyDescent="0.25">
      <c r="O34" s="2">
        <f t="shared" si="3"/>
        <v>57.4</v>
      </c>
      <c r="P34" s="2">
        <v>0.95</v>
      </c>
      <c r="Q34" s="2">
        <f t="shared" si="2"/>
        <v>54.529999999999994</v>
      </c>
      <c r="R34" s="59"/>
    </row>
    <row r="35" spans="15:18" x14ac:dyDescent="0.25">
      <c r="O35" s="2">
        <f t="shared" si="3"/>
        <v>57.4</v>
      </c>
      <c r="P35" s="2">
        <v>0.9</v>
      </c>
      <c r="Q35" s="2">
        <f t="shared" si="2"/>
        <v>51.66</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123</v>
      </c>
      <c r="O2" s="20" t="s">
        <v>57</v>
      </c>
      <c r="Q2">
        <f>C11-H11</f>
        <v>60</v>
      </c>
      <c r="T2" s="73" t="s">
        <v>147</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124</v>
      </c>
    </row>
    <row r="4" spans="1:23" x14ac:dyDescent="0.25">
      <c r="B4" s="1">
        <v>42184</v>
      </c>
      <c r="C4" s="6">
        <v>10</v>
      </c>
      <c r="D4" s="5">
        <v>98.35</v>
      </c>
      <c r="E4" s="5"/>
      <c r="F4" s="5">
        <f t="shared" si="0"/>
        <v>983.5</v>
      </c>
      <c r="O4" s="20" t="s">
        <v>66</v>
      </c>
      <c r="Q4" s="106">
        <v>85.7</v>
      </c>
    </row>
    <row r="5" spans="1:23" x14ac:dyDescent="0.25">
      <c r="B5" s="1">
        <v>42184</v>
      </c>
      <c r="C5" s="10">
        <v>20</v>
      </c>
      <c r="D5" s="25">
        <v>98.1</v>
      </c>
      <c r="E5" s="25"/>
      <c r="F5" s="25">
        <f t="shared" si="0"/>
        <v>1962</v>
      </c>
      <c r="O5" s="20" t="s">
        <v>67</v>
      </c>
      <c r="Q5" s="5">
        <f>Q4*Q2</f>
        <v>5142</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-660.64999999999964</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144</v>
      </c>
      <c r="U11" s="20"/>
      <c r="V11" s="20"/>
      <c r="W11" s="20"/>
    </row>
    <row r="12" spans="1:23" x14ac:dyDescent="0.25">
      <c r="T12" s="72">
        <v>42338</v>
      </c>
      <c r="U12" s="62" t="s">
        <v>146</v>
      </c>
    </row>
    <row r="13" spans="1:23" x14ac:dyDescent="0.25">
      <c r="T13" s="72">
        <v>42300</v>
      </c>
      <c r="U13" t="s">
        <v>125</v>
      </c>
    </row>
    <row r="14" spans="1:23" x14ac:dyDescent="0.25">
      <c r="T14" s="72">
        <v>42370</v>
      </c>
      <c r="U14" t="s">
        <v>148</v>
      </c>
    </row>
    <row r="16" spans="1:23" x14ac:dyDescent="0.25">
      <c r="P16" t="s">
        <v>89</v>
      </c>
    </row>
    <row r="17" spans="15:23" x14ac:dyDescent="0.25">
      <c r="O17" s="2">
        <f>$Q$4</f>
        <v>85.7</v>
      </c>
      <c r="P17">
        <v>1.1000000000000001</v>
      </c>
      <c r="Q17" s="2">
        <f t="shared" ref="Q17:Q29" si="1">P17*O17</f>
        <v>94.27000000000001</v>
      </c>
    </row>
    <row r="18" spans="15:23" x14ac:dyDescent="0.25">
      <c r="O18" s="2">
        <f>$Q$4</f>
        <v>85.7</v>
      </c>
      <c r="P18">
        <v>1.05</v>
      </c>
      <c r="Q18" s="2">
        <f t="shared" si="1"/>
        <v>89.985000000000014</v>
      </c>
    </row>
    <row r="19" spans="15:23" x14ac:dyDescent="0.25">
      <c r="O19" s="2">
        <f t="shared" ref="O19:O29" si="2">$Q$4</f>
        <v>85.7</v>
      </c>
      <c r="P19">
        <v>1.04</v>
      </c>
      <c r="Q19" s="2">
        <f t="shared" si="1"/>
        <v>89.128</v>
      </c>
    </row>
    <row r="20" spans="15:23" x14ac:dyDescent="0.25">
      <c r="O20" s="2">
        <f t="shared" si="2"/>
        <v>85.7</v>
      </c>
      <c r="P20" s="2">
        <v>1.03</v>
      </c>
      <c r="Q20" s="2">
        <f t="shared" si="1"/>
        <v>88.271000000000001</v>
      </c>
    </row>
    <row r="21" spans="15:23" x14ac:dyDescent="0.25">
      <c r="O21" s="2">
        <f t="shared" si="2"/>
        <v>85.7</v>
      </c>
      <c r="P21" s="2">
        <v>1.02</v>
      </c>
      <c r="Q21" s="2">
        <f t="shared" si="1"/>
        <v>87.414000000000001</v>
      </c>
      <c r="W21" s="2"/>
    </row>
    <row r="22" spans="15:23" x14ac:dyDescent="0.25">
      <c r="O22" s="2">
        <f t="shared" si="2"/>
        <v>85.7</v>
      </c>
      <c r="P22" s="2">
        <v>1.01</v>
      </c>
      <c r="Q22" s="2">
        <f t="shared" si="1"/>
        <v>86.557000000000002</v>
      </c>
    </row>
    <row r="23" spans="15:23" x14ac:dyDescent="0.25">
      <c r="O23" s="2">
        <f t="shared" si="2"/>
        <v>85.7</v>
      </c>
      <c r="P23" s="2">
        <v>1</v>
      </c>
      <c r="Q23" s="2">
        <f t="shared" si="1"/>
        <v>85.7</v>
      </c>
    </row>
    <row r="24" spans="15:23" x14ac:dyDescent="0.25">
      <c r="O24" s="2">
        <f t="shared" si="2"/>
        <v>85.7</v>
      </c>
      <c r="P24" s="2">
        <v>0.99</v>
      </c>
      <c r="Q24" s="2">
        <f t="shared" si="1"/>
        <v>84.843000000000004</v>
      </c>
    </row>
    <row r="25" spans="15:23" x14ac:dyDescent="0.25">
      <c r="O25" s="2">
        <f t="shared" si="2"/>
        <v>85.7</v>
      </c>
      <c r="P25" s="2">
        <v>0.98</v>
      </c>
      <c r="Q25" s="2">
        <f t="shared" si="1"/>
        <v>83.986000000000004</v>
      </c>
    </row>
    <row r="26" spans="15:23" x14ac:dyDescent="0.25">
      <c r="O26" s="2">
        <f t="shared" si="2"/>
        <v>85.7</v>
      </c>
      <c r="P26" s="2">
        <v>0.97</v>
      </c>
      <c r="Q26" s="2">
        <f t="shared" si="1"/>
        <v>83.129000000000005</v>
      </c>
    </row>
    <row r="27" spans="15:23" x14ac:dyDescent="0.25">
      <c r="O27" s="2">
        <f t="shared" si="2"/>
        <v>85.7</v>
      </c>
      <c r="P27" s="2">
        <v>0.96</v>
      </c>
      <c r="Q27" s="2">
        <f t="shared" si="1"/>
        <v>82.272000000000006</v>
      </c>
    </row>
    <row r="28" spans="15:23" x14ac:dyDescent="0.25">
      <c r="O28" s="2">
        <f t="shared" si="2"/>
        <v>85.7</v>
      </c>
      <c r="P28" s="2">
        <v>0.95</v>
      </c>
      <c r="Q28" s="2">
        <f t="shared" si="1"/>
        <v>81.414999999999992</v>
      </c>
    </row>
    <row r="29" spans="15:23" x14ac:dyDescent="0.25">
      <c r="O29" s="2">
        <f t="shared" si="2"/>
        <v>85.7</v>
      </c>
      <c r="P29" s="2">
        <v>0.9</v>
      </c>
      <c r="Q29" s="2">
        <f t="shared" si="1"/>
        <v>77.13000000000001</v>
      </c>
    </row>
    <row r="38" spans="2:4" x14ac:dyDescent="0.25">
      <c r="B38" t="s">
        <v>210</v>
      </c>
      <c r="D38" s="134" t="s">
        <v>211</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140</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139</v>
      </c>
      <c r="V3" s="75"/>
      <c r="W3" s="75"/>
      <c r="X3" s="75"/>
      <c r="Y3" s="75"/>
      <c r="Z3" s="75"/>
    </row>
    <row r="4" spans="1:26" x14ac:dyDescent="0.25">
      <c r="B4" s="1">
        <v>42209</v>
      </c>
      <c r="C4">
        <v>20</v>
      </c>
      <c r="D4" s="2">
        <v>35.479999999999997</v>
      </c>
      <c r="F4" s="2">
        <f>C4*D4</f>
        <v>709.59999999999991</v>
      </c>
      <c r="O4" t="s">
        <v>66</v>
      </c>
      <c r="Q4" s="106">
        <v>36.08</v>
      </c>
    </row>
    <row r="5" spans="1:26" x14ac:dyDescent="0.25">
      <c r="B5" s="1">
        <v>42209</v>
      </c>
      <c r="C5">
        <v>20</v>
      </c>
      <c r="D5" s="2">
        <v>35.03</v>
      </c>
      <c r="F5" s="2">
        <f>C5*D5</f>
        <v>700.6</v>
      </c>
      <c r="O5" t="s">
        <v>67</v>
      </c>
      <c r="Q5" s="5">
        <f>Q4*Q2</f>
        <v>1443.1999999999998</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87.999999999999091</v>
      </c>
    </row>
    <row r="18" spans="15:17" x14ac:dyDescent="0.25">
      <c r="P18" t="s">
        <v>89</v>
      </c>
    </row>
    <row r="19" spans="15:17" x14ac:dyDescent="0.25">
      <c r="O19" s="2">
        <f>$Q$4</f>
        <v>36.08</v>
      </c>
      <c r="P19">
        <v>1.1000000000000001</v>
      </c>
      <c r="Q19" s="2">
        <f t="shared" ref="Q19:Q31" si="0">P19*O19</f>
        <v>39.688000000000002</v>
      </c>
    </row>
    <row r="20" spans="15:17" x14ac:dyDescent="0.25">
      <c r="O20" s="2">
        <f>$Q$4</f>
        <v>36.08</v>
      </c>
      <c r="P20">
        <v>1.05</v>
      </c>
      <c r="Q20" s="2">
        <f t="shared" si="0"/>
        <v>37.884</v>
      </c>
    </row>
    <row r="21" spans="15:17" x14ac:dyDescent="0.25">
      <c r="O21" s="2">
        <f t="shared" ref="O21:O31" si="1">$Q$4</f>
        <v>36.08</v>
      </c>
      <c r="P21">
        <v>1.04</v>
      </c>
      <c r="Q21" s="2">
        <f t="shared" si="0"/>
        <v>37.523200000000003</v>
      </c>
    </row>
    <row r="22" spans="15:17" x14ac:dyDescent="0.25">
      <c r="O22" s="2">
        <f t="shared" si="1"/>
        <v>36.08</v>
      </c>
      <c r="P22" s="2">
        <v>1.03</v>
      </c>
      <c r="Q22" s="2">
        <f t="shared" si="0"/>
        <v>37.162399999999998</v>
      </c>
    </row>
    <row r="23" spans="15:17" x14ac:dyDescent="0.25">
      <c r="O23" s="2">
        <f t="shared" si="1"/>
        <v>36.08</v>
      </c>
      <c r="P23" s="2">
        <v>1.02</v>
      </c>
      <c r="Q23" s="2">
        <f t="shared" si="0"/>
        <v>36.801600000000001</v>
      </c>
    </row>
    <row r="24" spans="15:17" x14ac:dyDescent="0.25">
      <c r="O24" s="2">
        <f t="shared" si="1"/>
        <v>36.08</v>
      </c>
      <c r="P24" s="2">
        <v>1.01</v>
      </c>
      <c r="Q24" s="2">
        <f t="shared" si="0"/>
        <v>36.440799999999996</v>
      </c>
    </row>
    <row r="25" spans="15:17" x14ac:dyDescent="0.25">
      <c r="O25" s="2">
        <f t="shared" si="1"/>
        <v>36.08</v>
      </c>
      <c r="P25" s="2">
        <v>1</v>
      </c>
      <c r="Q25" s="2">
        <f t="shared" si="0"/>
        <v>36.08</v>
      </c>
    </row>
    <row r="26" spans="15:17" x14ac:dyDescent="0.25">
      <c r="O26" s="2">
        <f t="shared" si="1"/>
        <v>36.08</v>
      </c>
      <c r="P26" s="2">
        <v>0.99</v>
      </c>
      <c r="Q26" s="2">
        <f t="shared" si="0"/>
        <v>35.719200000000001</v>
      </c>
    </row>
    <row r="27" spans="15:17" x14ac:dyDescent="0.25">
      <c r="O27" s="2">
        <f t="shared" si="1"/>
        <v>36.08</v>
      </c>
      <c r="P27" s="2">
        <v>0.98</v>
      </c>
      <c r="Q27" s="2">
        <f t="shared" si="0"/>
        <v>35.358399999999996</v>
      </c>
    </row>
    <row r="28" spans="15:17" x14ac:dyDescent="0.25">
      <c r="O28" s="2">
        <f t="shared" si="1"/>
        <v>36.08</v>
      </c>
      <c r="P28" s="2">
        <v>0.97</v>
      </c>
      <c r="Q28" s="2">
        <f t="shared" si="0"/>
        <v>34.997599999999998</v>
      </c>
    </row>
    <row r="29" spans="15:17" x14ac:dyDescent="0.25">
      <c r="O29" s="2">
        <f t="shared" si="1"/>
        <v>36.08</v>
      </c>
      <c r="P29" s="2">
        <v>0.96</v>
      </c>
      <c r="Q29" s="2">
        <f t="shared" si="0"/>
        <v>34.636799999999994</v>
      </c>
    </row>
    <row r="30" spans="15:17" x14ac:dyDescent="0.25">
      <c r="O30" s="2">
        <f t="shared" si="1"/>
        <v>36.08</v>
      </c>
      <c r="P30" s="2">
        <v>0.95</v>
      </c>
      <c r="Q30" s="2">
        <f t="shared" si="0"/>
        <v>34.275999999999996</v>
      </c>
    </row>
    <row r="31" spans="15:17" x14ac:dyDescent="0.25">
      <c r="O31" s="2">
        <f t="shared" si="1"/>
        <v>36.08</v>
      </c>
      <c r="P31" s="2">
        <v>0.9</v>
      </c>
      <c r="Q31" s="2">
        <f t="shared" si="0"/>
        <v>32.472000000000001</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c r="P1"/>
      <c r="Q1"/>
      <c r="T1" s="20" t="s">
        <v>167</v>
      </c>
    </row>
    <row r="2" spans="1:21" x14ac:dyDescent="0.25">
      <c r="A2" s="8" t="s">
        <v>10</v>
      </c>
      <c r="B2" s="1">
        <v>42146</v>
      </c>
      <c r="C2">
        <v>100</v>
      </c>
      <c r="D2" s="2">
        <v>13.1</v>
      </c>
      <c r="E2" s="2">
        <v>0</v>
      </c>
      <c r="F2" s="2">
        <f>C2*D2</f>
        <v>1310</v>
      </c>
      <c r="G2" s="154">
        <v>42199</v>
      </c>
      <c r="H2" s="11">
        <v>52</v>
      </c>
      <c r="I2" s="80">
        <v>10.7</v>
      </c>
      <c r="J2" s="80">
        <v>0</v>
      </c>
      <c r="K2" s="80">
        <f>H2*I2-J2</f>
        <v>556.4</v>
      </c>
      <c r="L2" s="1">
        <v>42241</v>
      </c>
      <c r="M2" s="5">
        <v>12</v>
      </c>
      <c r="O2" s="20" t="s">
        <v>57</v>
      </c>
      <c r="Q2">
        <f>C13-H13</f>
        <v>400</v>
      </c>
      <c r="T2" s="1">
        <v>42285</v>
      </c>
      <c r="U2" t="s">
        <v>224</v>
      </c>
    </row>
    <row r="3" spans="1:21" x14ac:dyDescent="0.25">
      <c r="A3" s="36" t="s">
        <v>81</v>
      </c>
      <c r="B3" s="1">
        <v>42151</v>
      </c>
      <c r="C3">
        <v>102</v>
      </c>
      <c r="D3" s="2">
        <v>12.99</v>
      </c>
      <c r="E3" s="2">
        <v>0</v>
      </c>
      <c r="F3" s="2">
        <f t="shared" ref="F3:F12" si="0">C3*D3</f>
        <v>1324.98</v>
      </c>
      <c r="G3" s="123">
        <v>42235</v>
      </c>
      <c r="H3" s="10">
        <v>150</v>
      </c>
      <c r="I3" s="25">
        <v>9.41</v>
      </c>
      <c r="J3" s="25">
        <v>0</v>
      </c>
      <c r="K3" s="25">
        <f t="shared" ref="K3:K4" si="1">H3*I3-J3</f>
        <v>1411.5</v>
      </c>
      <c r="O3" s="20" t="s">
        <v>58</v>
      </c>
      <c r="Q3" s="2">
        <f>(F13-K13+M13)/Q2</f>
        <v>12.124425</v>
      </c>
      <c r="T3" s="1"/>
    </row>
    <row r="4" spans="1:21" x14ac:dyDescent="0.25">
      <c r="B4" s="1">
        <v>42152</v>
      </c>
      <c r="C4">
        <v>50</v>
      </c>
      <c r="D4" s="2">
        <v>12.94</v>
      </c>
      <c r="E4" s="2">
        <v>0</v>
      </c>
      <c r="F4" s="2">
        <f t="shared" si="0"/>
        <v>647</v>
      </c>
      <c r="G4" s="141">
        <v>42256</v>
      </c>
      <c r="H4" s="79">
        <v>300</v>
      </c>
      <c r="I4" s="79">
        <v>9.6999999999999993</v>
      </c>
      <c r="J4" s="79">
        <v>0.05</v>
      </c>
      <c r="K4" s="79">
        <f t="shared" si="1"/>
        <v>2909.95</v>
      </c>
      <c r="O4" s="20" t="s">
        <v>66</v>
      </c>
      <c r="Q4" s="106">
        <v>9.57</v>
      </c>
    </row>
    <row r="5" spans="1:21" x14ac:dyDescent="0.25">
      <c r="B5" s="1">
        <v>42166</v>
      </c>
      <c r="C5">
        <v>48</v>
      </c>
      <c r="D5" s="2">
        <v>12.3</v>
      </c>
      <c r="E5" s="2">
        <v>0</v>
      </c>
      <c r="F5" s="2">
        <f t="shared" si="0"/>
        <v>590.40000000000009</v>
      </c>
      <c r="O5" s="20" t="s">
        <v>67</v>
      </c>
      <c r="Q5" s="5">
        <f>Q4*Q2</f>
        <v>3828</v>
      </c>
    </row>
    <row r="6" spans="1:21" x14ac:dyDescent="0.25">
      <c r="B6" s="1">
        <v>42180</v>
      </c>
      <c r="C6">
        <v>50</v>
      </c>
      <c r="D6" s="2">
        <v>11.7</v>
      </c>
      <c r="E6" s="2">
        <v>0</v>
      </c>
      <c r="F6" s="2">
        <f t="shared" si="0"/>
        <v>585</v>
      </c>
      <c r="O6" s="20" t="s">
        <v>64</v>
      </c>
      <c r="Q6" s="2">
        <f>Q3*Q2</f>
        <v>4849.7700000000004</v>
      </c>
    </row>
    <row r="7" spans="1:21" x14ac:dyDescent="0.25">
      <c r="B7" s="1">
        <v>42198</v>
      </c>
      <c r="C7">
        <v>50</v>
      </c>
      <c r="D7" s="2">
        <v>10.5</v>
      </c>
      <c r="E7" s="2">
        <v>0</v>
      </c>
      <c r="F7" s="2">
        <f t="shared" si="0"/>
        <v>525</v>
      </c>
      <c r="O7" s="20" t="s">
        <v>65</v>
      </c>
      <c r="Q7" s="2">
        <f>Q5-Q6+M13</f>
        <v>-1009.7700000000004</v>
      </c>
    </row>
    <row r="8" spans="1:21" x14ac:dyDescent="0.25">
      <c r="B8" s="154">
        <v>42205</v>
      </c>
      <c r="C8" s="11">
        <v>20</v>
      </c>
      <c r="D8" s="80">
        <v>10.56</v>
      </c>
      <c r="E8" s="80">
        <v>0</v>
      </c>
      <c r="F8" s="80">
        <f t="shared" si="0"/>
        <v>211.20000000000002</v>
      </c>
    </row>
    <row r="9" spans="1:21" x14ac:dyDescent="0.25">
      <c r="B9" s="154">
        <v>42208</v>
      </c>
      <c r="C9" s="11">
        <v>32</v>
      </c>
      <c r="D9" s="80">
        <v>10.220000000000001</v>
      </c>
      <c r="E9" s="80">
        <v>0</v>
      </c>
      <c r="F9" s="80">
        <f t="shared" si="0"/>
        <v>327.04000000000002</v>
      </c>
    </row>
    <row r="10" spans="1:21" x14ac:dyDescent="0.25">
      <c r="B10" s="141">
        <v>42230</v>
      </c>
      <c r="C10" s="9">
        <v>100</v>
      </c>
      <c r="D10" s="79">
        <v>9.58</v>
      </c>
      <c r="E10" s="79">
        <v>0</v>
      </c>
      <c r="F10" s="79">
        <f t="shared" si="0"/>
        <v>958</v>
      </c>
    </row>
    <row r="11" spans="1:21" x14ac:dyDescent="0.25">
      <c r="B11" s="123">
        <v>42233</v>
      </c>
      <c r="C11" s="10">
        <v>150</v>
      </c>
      <c r="D11" s="25">
        <v>9.3000000000000007</v>
      </c>
      <c r="E11" s="25">
        <v>0</v>
      </c>
      <c r="F11" s="25">
        <f t="shared" si="0"/>
        <v>1395</v>
      </c>
    </row>
    <row r="12" spans="1:21" x14ac:dyDescent="0.25">
      <c r="B12" s="141">
        <v>42240</v>
      </c>
      <c r="C12" s="9">
        <v>200</v>
      </c>
      <c r="D12" s="79">
        <v>9.2100000000000009</v>
      </c>
      <c r="E12" s="79">
        <v>0</v>
      </c>
      <c r="F12" s="79">
        <f t="shared" si="0"/>
        <v>1842.0000000000002</v>
      </c>
    </row>
    <row r="13" spans="1:21" x14ac:dyDescent="0.25">
      <c r="A13" s="57" t="s">
        <v>114</v>
      </c>
      <c r="B13" s="24"/>
      <c r="C13" s="24">
        <f>SUM(C2:C12)</f>
        <v>902</v>
      </c>
      <c r="D13" s="31"/>
      <c r="E13" s="31"/>
      <c r="F13" s="31">
        <f>SUM(F2:F12)</f>
        <v>9715.6200000000008</v>
      </c>
      <c r="G13" s="24"/>
      <c r="H13" s="24">
        <f>SUM(H2:H9)</f>
        <v>502</v>
      </c>
      <c r="I13" s="31"/>
      <c r="J13" s="31"/>
      <c r="K13" s="31">
        <f>SUM(K2:K9)</f>
        <v>4877.8500000000004</v>
      </c>
      <c r="L13" s="31"/>
      <c r="M13" s="31">
        <f t="shared" ref="M13" si="2">SUM(M2:M9)</f>
        <v>12</v>
      </c>
    </row>
    <row r="14" spans="1:21" x14ac:dyDescent="0.25">
      <c r="T14" s="20"/>
      <c r="U14" s="20"/>
    </row>
    <row r="16" spans="1:21" x14ac:dyDescent="0.25">
      <c r="G16" s="2"/>
    </row>
    <row r="20" spans="15:18" x14ac:dyDescent="0.25">
      <c r="P20" t="s">
        <v>89</v>
      </c>
      <c r="R20" s="59"/>
    </row>
    <row r="21" spans="15:18" x14ac:dyDescent="0.25">
      <c r="O21" s="2">
        <f>$Q$4</f>
        <v>9.57</v>
      </c>
      <c r="P21">
        <v>1.1000000000000001</v>
      </c>
      <c r="Q21" s="2">
        <f t="shared" ref="Q21:Q33" si="3">P21*O21</f>
        <v>10.527000000000001</v>
      </c>
      <c r="R21" s="59"/>
    </row>
    <row r="22" spans="15:18" x14ac:dyDescent="0.25">
      <c r="O22" s="2">
        <f>$Q$4</f>
        <v>9.57</v>
      </c>
      <c r="P22">
        <v>1.05</v>
      </c>
      <c r="Q22" s="2">
        <f t="shared" si="3"/>
        <v>10.048500000000001</v>
      </c>
      <c r="R22" s="59"/>
    </row>
    <row r="23" spans="15:18" x14ac:dyDescent="0.25">
      <c r="O23" s="2">
        <f t="shared" ref="O23:O33" si="4">$Q$4</f>
        <v>9.57</v>
      </c>
      <c r="P23">
        <v>1.04</v>
      </c>
      <c r="Q23" s="2">
        <f t="shared" si="3"/>
        <v>9.9527999999999999</v>
      </c>
      <c r="R23" s="59"/>
    </row>
    <row r="24" spans="15:18" x14ac:dyDescent="0.25">
      <c r="O24" s="2">
        <f t="shared" si="4"/>
        <v>9.57</v>
      </c>
      <c r="P24" s="2">
        <v>1.03</v>
      </c>
      <c r="Q24" s="2">
        <f t="shared" si="3"/>
        <v>9.8571000000000009</v>
      </c>
      <c r="R24" s="59"/>
    </row>
    <row r="25" spans="15:18" x14ac:dyDescent="0.25">
      <c r="O25" s="2">
        <f t="shared" si="4"/>
        <v>9.57</v>
      </c>
      <c r="P25" s="2">
        <v>1.02</v>
      </c>
      <c r="Q25" s="2">
        <f t="shared" si="3"/>
        <v>9.7614000000000001</v>
      </c>
      <c r="R25" s="59"/>
    </row>
    <row r="26" spans="15:18" x14ac:dyDescent="0.25">
      <c r="O26" s="2">
        <f t="shared" si="4"/>
        <v>9.57</v>
      </c>
      <c r="P26" s="2">
        <v>1.01</v>
      </c>
      <c r="Q26" s="2">
        <f t="shared" si="3"/>
        <v>9.6657000000000011</v>
      </c>
      <c r="R26" s="59"/>
    </row>
    <row r="27" spans="15:18" x14ac:dyDescent="0.25">
      <c r="O27" s="2">
        <f t="shared" si="4"/>
        <v>9.57</v>
      </c>
      <c r="P27" s="2">
        <v>1</v>
      </c>
      <c r="Q27" s="2">
        <f t="shared" si="3"/>
        <v>9.57</v>
      </c>
      <c r="R27" s="59"/>
    </row>
    <row r="28" spans="15:18" x14ac:dyDescent="0.25">
      <c r="O28" s="2">
        <f t="shared" si="4"/>
        <v>9.57</v>
      </c>
      <c r="P28" s="2">
        <v>0.99</v>
      </c>
      <c r="Q28" s="2">
        <f t="shared" si="3"/>
        <v>9.4742999999999995</v>
      </c>
      <c r="R28" s="59"/>
    </row>
    <row r="29" spans="15:18" x14ac:dyDescent="0.25">
      <c r="O29" s="2">
        <f t="shared" si="4"/>
        <v>9.57</v>
      </c>
      <c r="P29" s="2">
        <v>0.98</v>
      </c>
      <c r="Q29" s="2">
        <f t="shared" si="3"/>
        <v>9.3786000000000005</v>
      </c>
      <c r="R29" s="59"/>
    </row>
    <row r="30" spans="15:18" x14ac:dyDescent="0.25">
      <c r="O30" s="2">
        <f t="shared" si="4"/>
        <v>9.57</v>
      </c>
      <c r="P30" s="2">
        <v>0.97</v>
      </c>
      <c r="Q30" s="2">
        <f t="shared" si="3"/>
        <v>9.2828999999999997</v>
      </c>
      <c r="R30" s="59"/>
    </row>
    <row r="31" spans="15:18" x14ac:dyDescent="0.25">
      <c r="O31" s="2">
        <f t="shared" si="4"/>
        <v>9.57</v>
      </c>
      <c r="P31" s="2">
        <v>0.96</v>
      </c>
      <c r="Q31" s="2">
        <f t="shared" si="3"/>
        <v>9.1872000000000007</v>
      </c>
      <c r="R31" s="59"/>
    </row>
    <row r="32" spans="15:18" x14ac:dyDescent="0.25">
      <c r="O32" s="2">
        <f t="shared" si="4"/>
        <v>9.57</v>
      </c>
      <c r="P32" s="2">
        <v>0.95</v>
      </c>
      <c r="Q32" s="2">
        <f t="shared" si="3"/>
        <v>9.0914999999999999</v>
      </c>
      <c r="R32" s="59"/>
    </row>
    <row r="33" spans="15:18" x14ac:dyDescent="0.25">
      <c r="O33" s="2">
        <f t="shared" si="4"/>
        <v>9.57</v>
      </c>
      <c r="P33" s="2">
        <v>0.9</v>
      </c>
      <c r="Q33" s="2">
        <f t="shared" si="3"/>
        <v>8.6130000000000013</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230</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19.41</v>
      </c>
    </row>
    <row r="5" spans="1:22" x14ac:dyDescent="0.25">
      <c r="B5" s="1">
        <v>42185</v>
      </c>
      <c r="C5">
        <v>5</v>
      </c>
      <c r="D5" s="2">
        <v>23.82</v>
      </c>
      <c r="F5" s="2">
        <f t="shared" si="0"/>
        <v>119.1</v>
      </c>
      <c r="O5" s="20" t="s">
        <v>67</v>
      </c>
      <c r="Q5" s="5">
        <f>Q4*Q2</f>
        <v>2329.1999999999998</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-233.25999999999976</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6">
        <v>40</v>
      </c>
      <c r="D12" s="5">
        <v>19.93</v>
      </c>
      <c r="E12" s="5"/>
      <c r="F12" s="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19.41</v>
      </c>
      <c r="P20">
        <v>1.1000000000000001</v>
      </c>
      <c r="Q20" s="2">
        <f t="shared" ref="Q20:Q32" si="1">P20*O20</f>
        <v>21.351000000000003</v>
      </c>
    </row>
    <row r="21" spans="15:17" x14ac:dyDescent="0.25">
      <c r="O21" s="2">
        <f>$Q$4</f>
        <v>19.41</v>
      </c>
      <c r="P21">
        <v>1.05</v>
      </c>
      <c r="Q21" s="2">
        <f t="shared" si="1"/>
        <v>20.380500000000001</v>
      </c>
    </row>
    <row r="22" spans="15:17" x14ac:dyDescent="0.25">
      <c r="O22" s="2">
        <f t="shared" ref="O22:O32" si="2">$Q$4</f>
        <v>19.41</v>
      </c>
      <c r="P22">
        <v>1.04</v>
      </c>
      <c r="Q22" s="2">
        <f t="shared" si="1"/>
        <v>20.186400000000003</v>
      </c>
    </row>
    <row r="23" spans="15:17" x14ac:dyDescent="0.25">
      <c r="O23" s="2">
        <f t="shared" si="2"/>
        <v>19.41</v>
      </c>
      <c r="P23" s="2">
        <v>1.03</v>
      </c>
      <c r="Q23" s="2">
        <f t="shared" si="1"/>
        <v>19.9923</v>
      </c>
    </row>
    <row r="24" spans="15:17" x14ac:dyDescent="0.25">
      <c r="O24" s="2">
        <f t="shared" si="2"/>
        <v>19.41</v>
      </c>
      <c r="P24" s="2">
        <v>1.02</v>
      </c>
      <c r="Q24" s="2">
        <f t="shared" si="1"/>
        <v>19.798200000000001</v>
      </c>
    </row>
    <row r="25" spans="15:17" x14ac:dyDescent="0.25">
      <c r="O25" s="2">
        <f t="shared" si="2"/>
        <v>19.41</v>
      </c>
      <c r="P25" s="2">
        <v>1.01</v>
      </c>
      <c r="Q25" s="2">
        <f t="shared" si="1"/>
        <v>19.604099999999999</v>
      </c>
    </row>
    <row r="26" spans="15:17" x14ac:dyDescent="0.25">
      <c r="O26" s="2">
        <f t="shared" si="2"/>
        <v>19.41</v>
      </c>
      <c r="P26" s="2">
        <v>1</v>
      </c>
      <c r="Q26" s="2">
        <f t="shared" si="1"/>
        <v>19.41</v>
      </c>
    </row>
    <row r="27" spans="15:17" x14ac:dyDescent="0.25">
      <c r="O27" s="2">
        <f t="shared" si="2"/>
        <v>19.41</v>
      </c>
      <c r="P27" s="2">
        <v>0.99</v>
      </c>
      <c r="Q27" s="2">
        <f t="shared" si="1"/>
        <v>19.215900000000001</v>
      </c>
    </row>
    <row r="28" spans="15:17" x14ac:dyDescent="0.25">
      <c r="O28" s="2">
        <f t="shared" si="2"/>
        <v>19.41</v>
      </c>
      <c r="P28" s="2">
        <v>0.98</v>
      </c>
      <c r="Q28" s="2">
        <f t="shared" si="1"/>
        <v>19.021799999999999</v>
      </c>
    </row>
    <row r="29" spans="15:17" x14ac:dyDescent="0.25">
      <c r="O29" s="2">
        <f t="shared" si="2"/>
        <v>19.41</v>
      </c>
      <c r="P29" s="2">
        <v>0.97</v>
      </c>
      <c r="Q29" s="2">
        <f t="shared" si="1"/>
        <v>18.8277</v>
      </c>
    </row>
    <row r="30" spans="15:17" x14ac:dyDescent="0.25">
      <c r="O30" s="2">
        <f t="shared" si="2"/>
        <v>19.41</v>
      </c>
      <c r="P30" s="2">
        <v>0.96</v>
      </c>
      <c r="Q30" s="2">
        <f t="shared" si="1"/>
        <v>18.633599999999998</v>
      </c>
    </row>
    <row r="31" spans="15:17" x14ac:dyDescent="0.25">
      <c r="O31" s="2">
        <f t="shared" si="2"/>
        <v>19.41</v>
      </c>
      <c r="P31" s="2">
        <v>0.95</v>
      </c>
      <c r="Q31" s="2">
        <f t="shared" si="1"/>
        <v>18.439499999999999</v>
      </c>
    </row>
    <row r="32" spans="15:17" x14ac:dyDescent="0.25">
      <c r="O32" s="2">
        <f t="shared" si="2"/>
        <v>19.41</v>
      </c>
      <c r="P32" s="2">
        <v>0.9</v>
      </c>
      <c r="Q32" s="2">
        <f t="shared" si="1"/>
        <v>17.469000000000001</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127</v>
      </c>
      <c r="U2" t="s">
        <v>128</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125</v>
      </c>
    </row>
    <row r="4" spans="1:21" x14ac:dyDescent="0.25">
      <c r="B4" s="1">
        <v>42156</v>
      </c>
      <c r="C4">
        <v>10</v>
      </c>
      <c r="D4" s="2">
        <v>46.5</v>
      </c>
      <c r="F4" s="2">
        <f t="shared" si="0"/>
        <v>465</v>
      </c>
      <c r="G4" s="1"/>
      <c r="O4" t="s">
        <v>66</v>
      </c>
      <c r="Q4" s="106">
        <v>44.92</v>
      </c>
    </row>
    <row r="5" spans="1:21" x14ac:dyDescent="0.25">
      <c r="B5" s="1">
        <v>42156</v>
      </c>
      <c r="C5">
        <v>50</v>
      </c>
      <c r="D5" s="2">
        <v>45.95</v>
      </c>
      <c r="F5" s="2">
        <f t="shared" si="0"/>
        <v>2297.5</v>
      </c>
      <c r="O5" t="s">
        <v>67</v>
      </c>
      <c r="Q5" s="5">
        <f>Q4*Q2</f>
        <v>1796.8000000000002</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-150.59999999999945</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44.92</v>
      </c>
      <c r="P22">
        <v>1.1000000000000001</v>
      </c>
      <c r="Q22" s="2">
        <f t="shared" ref="Q22:Q34" si="1">P22*O22</f>
        <v>49.412000000000006</v>
      </c>
      <c r="R22" s="59"/>
    </row>
    <row r="23" spans="15:18" x14ac:dyDescent="0.25">
      <c r="O23" s="2">
        <f>$Q$4</f>
        <v>44.92</v>
      </c>
      <c r="P23">
        <v>1.05</v>
      </c>
      <c r="Q23" s="2">
        <f t="shared" si="1"/>
        <v>47.166000000000004</v>
      </c>
      <c r="R23" s="59"/>
    </row>
    <row r="24" spans="15:18" x14ac:dyDescent="0.25">
      <c r="O24" s="2">
        <f t="shared" ref="O24:O34" si="2">$Q$4</f>
        <v>44.92</v>
      </c>
      <c r="P24">
        <v>1.04</v>
      </c>
      <c r="Q24" s="2">
        <f t="shared" si="1"/>
        <v>46.716800000000006</v>
      </c>
      <c r="R24" s="59"/>
    </row>
    <row r="25" spans="15:18" x14ac:dyDescent="0.25">
      <c r="O25" s="2">
        <f t="shared" si="2"/>
        <v>44.92</v>
      </c>
      <c r="P25" s="2">
        <v>1.03</v>
      </c>
      <c r="Q25" s="2">
        <f t="shared" si="1"/>
        <v>46.267600000000002</v>
      </c>
      <c r="R25" s="59"/>
    </row>
    <row r="26" spans="15:18" x14ac:dyDescent="0.25">
      <c r="O26" s="2">
        <f t="shared" si="2"/>
        <v>44.92</v>
      </c>
      <c r="P26" s="2">
        <v>1.02</v>
      </c>
      <c r="Q26" s="2">
        <f t="shared" si="1"/>
        <v>45.818400000000004</v>
      </c>
      <c r="R26" s="59"/>
    </row>
    <row r="27" spans="15:18" x14ac:dyDescent="0.25">
      <c r="O27" s="2">
        <f t="shared" si="2"/>
        <v>44.92</v>
      </c>
      <c r="P27" s="2">
        <v>1.01</v>
      </c>
      <c r="Q27" s="2">
        <f t="shared" si="1"/>
        <v>45.369199999999999</v>
      </c>
      <c r="R27" s="59"/>
    </row>
    <row r="28" spans="15:18" x14ac:dyDescent="0.25">
      <c r="O28" s="2">
        <f t="shared" si="2"/>
        <v>44.92</v>
      </c>
      <c r="P28" s="2">
        <v>1</v>
      </c>
      <c r="Q28" s="2">
        <f t="shared" si="1"/>
        <v>44.92</v>
      </c>
      <c r="R28" s="59"/>
    </row>
    <row r="29" spans="15:18" x14ac:dyDescent="0.25">
      <c r="O29" s="2">
        <f t="shared" si="2"/>
        <v>44.92</v>
      </c>
      <c r="P29" s="2">
        <v>0.99</v>
      </c>
      <c r="Q29" s="2">
        <f t="shared" si="1"/>
        <v>44.470800000000004</v>
      </c>
      <c r="R29" s="59"/>
    </row>
    <row r="30" spans="15:18" x14ac:dyDescent="0.25">
      <c r="O30" s="2">
        <f t="shared" si="2"/>
        <v>44.92</v>
      </c>
      <c r="P30" s="2">
        <v>0.98</v>
      </c>
      <c r="Q30" s="2">
        <f t="shared" si="1"/>
        <v>44.021599999999999</v>
      </c>
      <c r="R30" s="59"/>
    </row>
    <row r="31" spans="15:18" x14ac:dyDescent="0.25">
      <c r="O31" s="2">
        <f t="shared" si="2"/>
        <v>44.92</v>
      </c>
      <c r="P31" s="2">
        <v>0.97</v>
      </c>
      <c r="Q31" s="2">
        <f t="shared" si="1"/>
        <v>43.572400000000002</v>
      </c>
      <c r="R31" s="59" t="s">
        <v>122</v>
      </c>
    </row>
    <row r="32" spans="15:18" x14ac:dyDescent="0.25">
      <c r="O32" s="2">
        <f t="shared" si="2"/>
        <v>44.92</v>
      </c>
      <c r="P32" s="2">
        <v>0.96</v>
      </c>
      <c r="Q32" s="2">
        <f t="shared" si="1"/>
        <v>43.123199999999997</v>
      </c>
      <c r="R32" s="59"/>
    </row>
    <row r="33" spans="15:18" x14ac:dyDescent="0.25">
      <c r="O33" s="2">
        <f t="shared" si="2"/>
        <v>44.92</v>
      </c>
      <c r="P33" s="2">
        <v>0.95</v>
      </c>
      <c r="Q33" s="2">
        <f t="shared" si="1"/>
        <v>42.673999999999999</v>
      </c>
      <c r="R33" s="59"/>
    </row>
    <row r="34" spans="15:18" x14ac:dyDescent="0.25">
      <c r="O34" s="2">
        <f t="shared" si="2"/>
        <v>44.92</v>
      </c>
      <c r="P34" s="2">
        <v>0.9</v>
      </c>
      <c r="Q34" s="2">
        <f t="shared" si="1"/>
        <v>40.428000000000004</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215</v>
      </c>
      <c r="F1" s="34" t="s">
        <v>60</v>
      </c>
      <c r="G1" s="20" t="s">
        <v>3</v>
      </c>
      <c r="H1" s="20" t="s">
        <v>6</v>
      </c>
      <c r="I1" s="34" t="s">
        <v>7</v>
      </c>
      <c r="J1" s="34" t="s">
        <v>216</v>
      </c>
      <c r="K1" s="34" t="s">
        <v>61</v>
      </c>
      <c r="L1" s="20" t="s">
        <v>88</v>
      </c>
      <c r="M1" s="34" t="s">
        <v>38</v>
      </c>
      <c r="T1" s="20" t="s">
        <v>74</v>
      </c>
    </row>
    <row r="2" spans="1:21" x14ac:dyDescent="0.25">
      <c r="A2" s="8" t="s">
        <v>45</v>
      </c>
      <c r="B2" s="1">
        <v>42185</v>
      </c>
      <c r="C2">
        <v>10</v>
      </c>
      <c r="D2" s="2">
        <v>65.45</v>
      </c>
      <c r="E2" s="2">
        <v>0</v>
      </c>
      <c r="F2" s="2">
        <f t="shared" ref="F2:F7" si="0">C2*D2</f>
        <v>654.5</v>
      </c>
      <c r="G2" s="1">
        <v>42226</v>
      </c>
      <c r="H2" s="10">
        <v>30</v>
      </c>
      <c r="I2" s="25">
        <v>62.9</v>
      </c>
      <c r="J2" s="25">
        <v>0</v>
      </c>
      <c r="K2" s="25">
        <f>H2*I2</f>
        <v>1887</v>
      </c>
      <c r="L2" t="s">
        <v>213</v>
      </c>
      <c r="O2" s="20" t="s">
        <v>57</v>
      </c>
      <c r="Q2">
        <f>C8-H8</f>
        <v>100</v>
      </c>
      <c r="T2" s="1">
        <v>42243</v>
      </c>
      <c r="U2" t="s">
        <v>218</v>
      </c>
    </row>
    <row r="3" spans="1:21" x14ac:dyDescent="0.25">
      <c r="A3" s="36" t="s">
        <v>81</v>
      </c>
      <c r="B3" s="1">
        <v>42223</v>
      </c>
      <c r="C3">
        <v>20</v>
      </c>
      <c r="D3" s="2">
        <v>63.52</v>
      </c>
      <c r="E3" s="2">
        <v>0</v>
      </c>
      <c r="F3" s="2">
        <f t="shared" si="0"/>
        <v>1270.4000000000001</v>
      </c>
      <c r="G3" s="1">
        <v>42235</v>
      </c>
      <c r="H3" s="17">
        <v>30</v>
      </c>
      <c r="I3" s="78">
        <v>63.59</v>
      </c>
      <c r="J3" s="78">
        <v>0</v>
      </c>
      <c r="K3" s="78">
        <f>H3*I3</f>
        <v>1907.7</v>
      </c>
      <c r="O3" s="20" t="s">
        <v>58</v>
      </c>
      <c r="Q3" s="2">
        <f>(F8-K8)/Q2</f>
        <v>62.165999999999997</v>
      </c>
      <c r="T3" s="1"/>
    </row>
    <row r="4" spans="1:21" x14ac:dyDescent="0.25">
      <c r="B4" s="1">
        <v>42223</v>
      </c>
      <c r="C4" s="6">
        <v>40</v>
      </c>
      <c r="D4" s="5">
        <v>62.45</v>
      </c>
      <c r="E4" s="5">
        <v>0</v>
      </c>
      <c r="F4" s="5">
        <f t="shared" si="0"/>
        <v>2498</v>
      </c>
      <c r="O4" s="20" t="s">
        <v>66</v>
      </c>
      <c r="Q4" s="106">
        <v>57.98</v>
      </c>
    </row>
    <row r="5" spans="1:21" x14ac:dyDescent="0.25">
      <c r="B5" s="1">
        <v>42223</v>
      </c>
      <c r="C5" s="10">
        <v>30</v>
      </c>
      <c r="D5" s="25">
        <v>62</v>
      </c>
      <c r="E5" s="25">
        <v>0</v>
      </c>
      <c r="F5" s="25">
        <f t="shared" si="0"/>
        <v>1860</v>
      </c>
      <c r="O5" s="20" t="s">
        <v>67</v>
      </c>
      <c r="Q5" s="5">
        <f>Q4*Q2</f>
        <v>5798</v>
      </c>
      <c r="T5" s="1"/>
      <c r="U5" s="135"/>
    </row>
    <row r="6" spans="1:21" x14ac:dyDescent="0.25">
      <c r="B6" s="1">
        <v>42223</v>
      </c>
      <c r="C6" s="17">
        <v>30</v>
      </c>
      <c r="D6" s="78">
        <v>62.98</v>
      </c>
      <c r="E6" s="78">
        <v>0</v>
      </c>
      <c r="F6" s="78">
        <f t="shared" si="0"/>
        <v>1889.3999999999999</v>
      </c>
      <c r="O6" s="20" t="s">
        <v>64</v>
      </c>
      <c r="Q6" s="2">
        <f>Q3*Q2</f>
        <v>6216.5999999999995</v>
      </c>
    </row>
    <row r="7" spans="1:21" x14ac:dyDescent="0.25">
      <c r="B7" s="1">
        <v>42223</v>
      </c>
      <c r="C7">
        <v>30</v>
      </c>
      <c r="D7" s="2">
        <v>61.3</v>
      </c>
      <c r="E7" s="2">
        <v>0</v>
      </c>
      <c r="F7" s="2">
        <f t="shared" si="0"/>
        <v>1839</v>
      </c>
      <c r="O7" s="20" t="s">
        <v>65</v>
      </c>
      <c r="Q7" s="2">
        <f>Q5-Q6+M8</f>
        <v>-418.59999999999945</v>
      </c>
      <c r="T7" s="1">
        <v>42264</v>
      </c>
      <c r="U7" t="s">
        <v>217</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214</v>
      </c>
    </row>
    <row r="10" spans="1:21" x14ac:dyDescent="0.25">
      <c r="T10" s="1">
        <v>42306</v>
      </c>
      <c r="U10" s="135" t="s">
        <v>125</v>
      </c>
    </row>
    <row r="16" spans="1:21" x14ac:dyDescent="0.25">
      <c r="A16" s="56"/>
      <c r="P16" t="s">
        <v>89</v>
      </c>
      <c r="U16" s="2"/>
    </row>
    <row r="17" spans="1:17" x14ac:dyDescent="0.25">
      <c r="A17" s="56"/>
      <c r="O17" s="2">
        <f>$Q$4</f>
        <v>57.98</v>
      </c>
      <c r="P17">
        <v>1.1000000000000001</v>
      </c>
      <c r="Q17" s="2">
        <f t="shared" ref="Q17:Q29" si="1">P17*O17</f>
        <v>63.777999999999999</v>
      </c>
    </row>
    <row r="18" spans="1:17" x14ac:dyDescent="0.25">
      <c r="A18" s="56"/>
      <c r="O18" s="2">
        <f>$Q$4</f>
        <v>57.98</v>
      </c>
      <c r="P18">
        <v>1.05</v>
      </c>
      <c r="Q18" s="2">
        <f t="shared" si="1"/>
        <v>60.878999999999998</v>
      </c>
    </row>
    <row r="19" spans="1:17" x14ac:dyDescent="0.25">
      <c r="O19" s="2">
        <f t="shared" ref="O19:O29" si="2">$Q$4</f>
        <v>57.98</v>
      </c>
      <c r="P19">
        <v>1.04</v>
      </c>
      <c r="Q19" s="2">
        <f t="shared" si="1"/>
        <v>60.299199999999999</v>
      </c>
    </row>
    <row r="20" spans="1:17" x14ac:dyDescent="0.25">
      <c r="O20" s="2">
        <f t="shared" si="2"/>
        <v>57.98</v>
      </c>
      <c r="P20" s="2">
        <v>1.03</v>
      </c>
      <c r="Q20" s="2">
        <f t="shared" si="1"/>
        <v>59.7194</v>
      </c>
    </row>
    <row r="21" spans="1:17" x14ac:dyDescent="0.25">
      <c r="O21" s="2">
        <f t="shared" si="2"/>
        <v>57.98</v>
      </c>
      <c r="P21" s="2">
        <v>1.02</v>
      </c>
      <c r="Q21" s="2">
        <f t="shared" si="1"/>
        <v>59.139599999999994</v>
      </c>
    </row>
    <row r="22" spans="1:17" x14ac:dyDescent="0.25">
      <c r="O22" s="2">
        <f t="shared" si="2"/>
        <v>57.98</v>
      </c>
      <c r="P22" s="2">
        <v>1.01</v>
      </c>
      <c r="Q22" s="2">
        <f t="shared" si="1"/>
        <v>58.559799999999996</v>
      </c>
    </row>
    <row r="23" spans="1:17" x14ac:dyDescent="0.25">
      <c r="O23" s="2">
        <f t="shared" si="2"/>
        <v>57.98</v>
      </c>
      <c r="P23" s="2">
        <v>1</v>
      </c>
      <c r="Q23" s="2">
        <f t="shared" si="1"/>
        <v>57.98</v>
      </c>
    </row>
    <row r="24" spans="1:17" x14ac:dyDescent="0.25">
      <c r="O24" s="2">
        <f t="shared" si="2"/>
        <v>57.98</v>
      </c>
      <c r="P24" s="2">
        <v>0.99</v>
      </c>
      <c r="Q24" s="2">
        <f t="shared" si="1"/>
        <v>57.400199999999998</v>
      </c>
    </row>
    <row r="25" spans="1:17" x14ac:dyDescent="0.25">
      <c r="O25" s="2">
        <f t="shared" si="2"/>
        <v>57.98</v>
      </c>
      <c r="P25" s="2">
        <v>0.98</v>
      </c>
      <c r="Q25" s="2">
        <f t="shared" si="1"/>
        <v>56.820399999999999</v>
      </c>
    </row>
    <row r="26" spans="1:17" x14ac:dyDescent="0.25">
      <c r="O26" s="2">
        <f t="shared" si="2"/>
        <v>57.98</v>
      </c>
      <c r="P26" s="2">
        <v>0.97</v>
      </c>
      <c r="Q26" s="2">
        <f t="shared" si="1"/>
        <v>56.240599999999993</v>
      </c>
    </row>
    <row r="27" spans="1:17" x14ac:dyDescent="0.25">
      <c r="O27" s="2">
        <f t="shared" si="2"/>
        <v>57.98</v>
      </c>
      <c r="P27" s="2">
        <v>0.96</v>
      </c>
      <c r="Q27" s="2">
        <f t="shared" si="1"/>
        <v>55.660799999999995</v>
      </c>
    </row>
    <row r="28" spans="1:17" x14ac:dyDescent="0.25">
      <c r="O28" s="2">
        <f t="shared" si="2"/>
        <v>57.98</v>
      </c>
      <c r="P28" s="2">
        <v>0.95</v>
      </c>
      <c r="Q28" s="2">
        <f t="shared" si="1"/>
        <v>55.080999999999996</v>
      </c>
    </row>
    <row r="29" spans="1:17" x14ac:dyDescent="0.25">
      <c r="O29" s="2">
        <f t="shared" si="2"/>
        <v>57.98</v>
      </c>
      <c r="P29" s="2">
        <v>0.9</v>
      </c>
      <c r="Q29" s="2">
        <f t="shared" si="1"/>
        <v>52.181999999999995</v>
      </c>
    </row>
    <row r="36" spans="3:5" x14ac:dyDescent="0.25">
      <c r="C36" t="s">
        <v>198</v>
      </c>
      <c r="E36" s="2" t="s">
        <v>199</v>
      </c>
    </row>
    <row r="37" spans="3:5" ht="15" customHeight="1" x14ac:dyDescent="0.25">
      <c r="C37" t="s">
        <v>200</v>
      </c>
      <c r="E37" s="2" t="s">
        <v>201</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155</v>
      </c>
      <c r="F1" s="34" t="s">
        <v>60</v>
      </c>
      <c r="G1" s="20" t="s">
        <v>3</v>
      </c>
      <c r="H1" s="20" t="s">
        <v>6</v>
      </c>
      <c r="I1" s="20" t="s">
        <v>7</v>
      </c>
      <c r="J1" s="20" t="s">
        <v>154</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125</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5.81</v>
      </c>
    </row>
    <row r="5" spans="1:21" x14ac:dyDescent="0.25">
      <c r="B5" s="1">
        <v>42194</v>
      </c>
      <c r="C5">
        <v>150</v>
      </c>
      <c r="D5" s="2">
        <v>6.1</v>
      </c>
      <c r="E5" s="2">
        <v>0</v>
      </c>
      <c r="F5" s="2">
        <f t="shared" si="0"/>
        <v>915</v>
      </c>
      <c r="O5" s="20" t="s">
        <v>67</v>
      </c>
      <c r="Q5" s="5">
        <f>Q4*Q2</f>
        <v>2614.5</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-39.019999999999982</v>
      </c>
    </row>
    <row r="22" spans="15:17" x14ac:dyDescent="0.25">
      <c r="P22" t="s">
        <v>89</v>
      </c>
    </row>
    <row r="23" spans="15:17" x14ac:dyDescent="0.25">
      <c r="O23" s="2">
        <f>$Q$4</f>
        <v>5.81</v>
      </c>
      <c r="P23">
        <v>1.1000000000000001</v>
      </c>
      <c r="Q23" s="2">
        <f t="shared" ref="Q23:Q35" si="1">P23*O23</f>
        <v>6.391</v>
      </c>
    </row>
    <row r="24" spans="15:17" x14ac:dyDescent="0.25">
      <c r="O24" s="2">
        <f>$Q$4</f>
        <v>5.81</v>
      </c>
      <c r="P24">
        <v>1.05</v>
      </c>
      <c r="Q24" s="2">
        <f t="shared" si="1"/>
        <v>6.1005000000000003</v>
      </c>
    </row>
    <row r="25" spans="15:17" x14ac:dyDescent="0.25">
      <c r="O25" s="2">
        <f t="shared" ref="O25:O35" si="2">$Q$4</f>
        <v>5.81</v>
      </c>
      <c r="P25">
        <v>1.04</v>
      </c>
      <c r="Q25" s="2">
        <f t="shared" si="1"/>
        <v>6.0423999999999998</v>
      </c>
    </row>
    <row r="26" spans="15:17" x14ac:dyDescent="0.25">
      <c r="O26" s="2">
        <f t="shared" si="2"/>
        <v>5.81</v>
      </c>
      <c r="P26" s="2">
        <v>1.03</v>
      </c>
      <c r="Q26" s="2">
        <f t="shared" si="1"/>
        <v>5.9843000000000002</v>
      </c>
    </row>
    <row r="27" spans="15:17" x14ac:dyDescent="0.25">
      <c r="O27" s="2">
        <f t="shared" si="2"/>
        <v>5.81</v>
      </c>
      <c r="P27" s="2">
        <v>1.02</v>
      </c>
      <c r="Q27" s="2">
        <f t="shared" si="1"/>
        <v>5.9261999999999997</v>
      </c>
    </row>
    <row r="28" spans="15:17" x14ac:dyDescent="0.25">
      <c r="O28" s="2">
        <f t="shared" si="2"/>
        <v>5.81</v>
      </c>
      <c r="P28" s="2">
        <v>1.01</v>
      </c>
      <c r="Q28" s="2">
        <f t="shared" si="1"/>
        <v>5.8681000000000001</v>
      </c>
    </row>
    <row r="29" spans="15:17" x14ac:dyDescent="0.25">
      <c r="O29" s="2">
        <f t="shared" si="2"/>
        <v>5.81</v>
      </c>
      <c r="P29" s="2">
        <v>1</v>
      </c>
      <c r="Q29" s="2">
        <f t="shared" si="1"/>
        <v>5.81</v>
      </c>
    </row>
    <row r="30" spans="15:17" x14ac:dyDescent="0.25">
      <c r="O30" s="2">
        <f t="shared" si="2"/>
        <v>5.81</v>
      </c>
      <c r="P30" s="2">
        <v>0.99</v>
      </c>
      <c r="Q30" s="2">
        <f t="shared" si="1"/>
        <v>5.7518999999999991</v>
      </c>
    </row>
    <row r="31" spans="15:17" x14ac:dyDescent="0.25">
      <c r="O31" s="2">
        <f t="shared" si="2"/>
        <v>5.81</v>
      </c>
      <c r="P31" s="2">
        <v>0.98</v>
      </c>
      <c r="Q31" s="2">
        <f t="shared" si="1"/>
        <v>5.6937999999999995</v>
      </c>
    </row>
    <row r="32" spans="15:17" x14ac:dyDescent="0.25">
      <c r="O32" s="2">
        <f t="shared" si="2"/>
        <v>5.81</v>
      </c>
      <c r="P32" s="2">
        <v>0.97</v>
      </c>
      <c r="Q32" s="2">
        <f t="shared" si="1"/>
        <v>5.635699999999999</v>
      </c>
    </row>
    <row r="33" spans="15:17" x14ac:dyDescent="0.25">
      <c r="O33" s="2">
        <f t="shared" si="2"/>
        <v>5.81</v>
      </c>
      <c r="P33" s="2">
        <v>0.96</v>
      </c>
      <c r="Q33" s="2">
        <f t="shared" si="1"/>
        <v>5.5775999999999994</v>
      </c>
    </row>
    <row r="34" spans="15:17" x14ac:dyDescent="0.25">
      <c r="O34" s="2">
        <f t="shared" si="2"/>
        <v>5.81</v>
      </c>
      <c r="P34" s="2">
        <v>0.95</v>
      </c>
      <c r="Q34" s="2">
        <f t="shared" si="1"/>
        <v>5.519499999999999</v>
      </c>
    </row>
    <row r="35" spans="15:17" x14ac:dyDescent="0.25">
      <c r="O35" s="2">
        <f t="shared" si="2"/>
        <v>5.81</v>
      </c>
      <c r="P35" s="2">
        <v>0.9</v>
      </c>
      <c r="Q35" s="2">
        <f t="shared" si="1"/>
        <v>5.2290000000000001</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130</v>
      </c>
      <c r="O2" s="20" t="s">
        <v>57</v>
      </c>
      <c r="Q2">
        <f>C6-H6</f>
        <v>60</v>
      </c>
      <c r="T2" s="1">
        <v>42305</v>
      </c>
      <c r="U2" t="s">
        <v>125</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77.16</v>
      </c>
    </row>
    <row r="5" spans="1:21" x14ac:dyDescent="0.25">
      <c r="B5" s="1">
        <v>42222</v>
      </c>
      <c r="C5">
        <v>10</v>
      </c>
      <c r="D5" s="2">
        <v>83.08</v>
      </c>
      <c r="F5" s="2">
        <f t="shared" si="0"/>
        <v>830.8</v>
      </c>
      <c r="O5" s="20" t="s">
        <v>67</v>
      </c>
      <c r="Q5" s="5">
        <f>Q4*Q2</f>
        <v>4629.5999999999995</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-457.70000000000073</v>
      </c>
    </row>
    <row r="17" spans="15:18" x14ac:dyDescent="0.25">
      <c r="P17" t="s">
        <v>89</v>
      </c>
      <c r="R17" s="59"/>
    </row>
    <row r="18" spans="15:18" x14ac:dyDescent="0.25">
      <c r="O18" s="2">
        <f>$Q$4</f>
        <v>77.16</v>
      </c>
      <c r="P18">
        <v>1.1000000000000001</v>
      </c>
      <c r="Q18" s="2">
        <f t="shared" ref="Q18:Q30" si="1">P18*O18</f>
        <v>84.876000000000005</v>
      </c>
      <c r="R18" s="59"/>
    </row>
    <row r="19" spans="15:18" x14ac:dyDescent="0.25">
      <c r="O19" s="2">
        <f>$Q$4</f>
        <v>77.16</v>
      </c>
      <c r="P19">
        <v>1.05</v>
      </c>
      <c r="Q19" s="2">
        <f t="shared" si="1"/>
        <v>81.018000000000001</v>
      </c>
      <c r="R19" s="59"/>
    </row>
    <row r="20" spans="15:18" x14ac:dyDescent="0.25">
      <c r="O20" s="2">
        <f t="shared" ref="O20:O30" si="2">$Q$4</f>
        <v>77.16</v>
      </c>
      <c r="P20">
        <v>1.04</v>
      </c>
      <c r="Q20" s="2">
        <f t="shared" si="1"/>
        <v>80.246399999999994</v>
      </c>
      <c r="R20" s="59"/>
    </row>
    <row r="21" spans="15:18" x14ac:dyDescent="0.25">
      <c r="O21" s="2">
        <f t="shared" si="2"/>
        <v>77.16</v>
      </c>
      <c r="P21" s="2">
        <v>1.03</v>
      </c>
      <c r="Q21" s="2">
        <f t="shared" si="1"/>
        <v>79.474800000000002</v>
      </c>
      <c r="R21" s="59" t="s">
        <v>115</v>
      </c>
    </row>
    <row r="22" spans="15:18" x14ac:dyDescent="0.25">
      <c r="O22" s="2">
        <f t="shared" si="2"/>
        <v>77.16</v>
      </c>
      <c r="P22" s="2">
        <v>1.02</v>
      </c>
      <c r="Q22" s="2">
        <f t="shared" si="1"/>
        <v>78.703199999999995</v>
      </c>
      <c r="R22" s="59"/>
    </row>
    <row r="23" spans="15:18" x14ac:dyDescent="0.25">
      <c r="O23" s="2">
        <f t="shared" si="2"/>
        <v>77.16</v>
      </c>
      <c r="P23" s="2">
        <v>1.01</v>
      </c>
      <c r="Q23" s="2">
        <f t="shared" si="1"/>
        <v>77.931600000000003</v>
      </c>
      <c r="R23" s="59"/>
    </row>
    <row r="24" spans="15:18" x14ac:dyDescent="0.25">
      <c r="O24" s="2">
        <f t="shared" si="2"/>
        <v>77.16</v>
      </c>
      <c r="P24" s="2">
        <v>1</v>
      </c>
      <c r="Q24" s="2">
        <f t="shared" si="1"/>
        <v>77.16</v>
      </c>
      <c r="R24" s="59"/>
    </row>
    <row r="25" spans="15:18" x14ac:dyDescent="0.25">
      <c r="O25" s="2">
        <f t="shared" si="2"/>
        <v>77.16</v>
      </c>
      <c r="P25" s="2">
        <v>0.99</v>
      </c>
      <c r="Q25" s="2">
        <f t="shared" si="1"/>
        <v>76.38839999999999</v>
      </c>
      <c r="R25" s="59"/>
    </row>
    <row r="26" spans="15:18" x14ac:dyDescent="0.25">
      <c r="O26" s="2">
        <f t="shared" si="2"/>
        <v>77.16</v>
      </c>
      <c r="P26" s="2">
        <v>0.98</v>
      </c>
      <c r="Q26" s="2">
        <f t="shared" si="1"/>
        <v>75.616799999999998</v>
      </c>
      <c r="R26" s="59" t="s">
        <v>129</v>
      </c>
    </row>
    <row r="27" spans="15:18" x14ac:dyDescent="0.25">
      <c r="O27" s="2">
        <f t="shared" si="2"/>
        <v>77.16</v>
      </c>
      <c r="P27" s="2">
        <v>0.97</v>
      </c>
      <c r="Q27" s="2">
        <f t="shared" si="1"/>
        <v>74.845199999999991</v>
      </c>
      <c r="R27" s="59"/>
    </row>
    <row r="28" spans="15:18" x14ac:dyDescent="0.25">
      <c r="O28" s="2">
        <f t="shared" si="2"/>
        <v>77.16</v>
      </c>
      <c r="P28" s="2">
        <v>0.96</v>
      </c>
      <c r="Q28" s="2">
        <f t="shared" si="1"/>
        <v>74.073599999999999</v>
      </c>
      <c r="R28" s="59"/>
    </row>
    <row r="29" spans="15:18" x14ac:dyDescent="0.25">
      <c r="O29" s="2">
        <f t="shared" si="2"/>
        <v>77.16</v>
      </c>
      <c r="P29" s="2">
        <v>0.95</v>
      </c>
      <c r="Q29" s="2">
        <f t="shared" si="1"/>
        <v>73.301999999999992</v>
      </c>
      <c r="R29" s="59"/>
    </row>
    <row r="30" spans="15:18" x14ac:dyDescent="0.25">
      <c r="O30" s="2">
        <f t="shared" si="2"/>
        <v>77.16</v>
      </c>
      <c r="P30" s="2">
        <v>0.9</v>
      </c>
      <c r="Q30" s="2">
        <f t="shared" si="1"/>
        <v>69.444000000000003</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167</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204</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81.150000000000006</v>
      </c>
    </row>
    <row r="5" spans="1:23" x14ac:dyDescent="0.25">
      <c r="B5" s="1">
        <v>42215</v>
      </c>
      <c r="C5" s="10">
        <v>5</v>
      </c>
      <c r="D5" s="25">
        <v>82.25</v>
      </c>
      <c r="E5" s="25"/>
      <c r="F5" s="25">
        <f t="shared" si="0"/>
        <v>411.25</v>
      </c>
      <c r="O5" s="20" t="s">
        <v>67</v>
      </c>
      <c r="Q5" s="5">
        <f>Q4*Q2</f>
        <v>3246</v>
      </c>
      <c r="T5" s="1">
        <v>42307</v>
      </c>
      <c r="U5" t="s">
        <v>230</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-46.599999999999909</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81.150000000000006</v>
      </c>
      <c r="P20">
        <v>1.1000000000000001</v>
      </c>
      <c r="Q20" s="2">
        <f t="shared" ref="Q20:Q32" si="1">P20*O20</f>
        <v>89.265000000000015</v>
      </c>
    </row>
    <row r="21" spans="15:23" x14ac:dyDescent="0.25">
      <c r="O21" s="2">
        <f>$Q$4</f>
        <v>81.150000000000006</v>
      </c>
      <c r="P21">
        <v>1.05</v>
      </c>
      <c r="Q21" s="2">
        <f t="shared" si="1"/>
        <v>85.20750000000001</v>
      </c>
    </row>
    <row r="22" spans="15:23" x14ac:dyDescent="0.25">
      <c r="O22" s="2">
        <f t="shared" ref="O22:O32" si="2">$Q$4</f>
        <v>81.150000000000006</v>
      </c>
      <c r="P22">
        <v>1.04</v>
      </c>
      <c r="Q22" s="2">
        <f t="shared" si="1"/>
        <v>84.396000000000015</v>
      </c>
    </row>
    <row r="23" spans="15:23" x14ac:dyDescent="0.25">
      <c r="O23" s="2">
        <f t="shared" si="2"/>
        <v>81.150000000000006</v>
      </c>
      <c r="P23" s="2">
        <v>1.03</v>
      </c>
      <c r="Q23" s="2">
        <f t="shared" si="1"/>
        <v>83.584500000000006</v>
      </c>
    </row>
    <row r="24" spans="15:23" x14ac:dyDescent="0.25">
      <c r="O24" s="2">
        <f t="shared" si="2"/>
        <v>81.150000000000006</v>
      </c>
      <c r="P24" s="2">
        <v>1.02</v>
      </c>
      <c r="Q24" s="2">
        <f t="shared" si="1"/>
        <v>82.77300000000001</v>
      </c>
    </row>
    <row r="25" spans="15:23" x14ac:dyDescent="0.25">
      <c r="O25" s="2">
        <f t="shared" si="2"/>
        <v>81.150000000000006</v>
      </c>
      <c r="P25" s="2">
        <v>1.01</v>
      </c>
      <c r="Q25" s="2">
        <f t="shared" si="1"/>
        <v>81.961500000000001</v>
      </c>
    </row>
    <row r="26" spans="15:23" x14ac:dyDescent="0.25">
      <c r="O26" s="2">
        <f t="shared" si="2"/>
        <v>81.150000000000006</v>
      </c>
      <c r="P26" s="2">
        <v>1</v>
      </c>
      <c r="Q26" s="2">
        <f t="shared" si="1"/>
        <v>81.150000000000006</v>
      </c>
    </row>
    <row r="27" spans="15:23" x14ac:dyDescent="0.25">
      <c r="O27" s="2">
        <f t="shared" si="2"/>
        <v>81.150000000000006</v>
      </c>
      <c r="P27" s="2">
        <v>0.99</v>
      </c>
      <c r="Q27" s="2">
        <f t="shared" si="1"/>
        <v>80.33850000000001</v>
      </c>
    </row>
    <row r="28" spans="15:23" x14ac:dyDescent="0.25">
      <c r="O28" s="2">
        <f t="shared" si="2"/>
        <v>81.150000000000006</v>
      </c>
      <c r="P28" s="2">
        <v>0.98</v>
      </c>
      <c r="Q28" s="2">
        <f t="shared" si="1"/>
        <v>79.527000000000001</v>
      </c>
    </row>
    <row r="29" spans="15:23" x14ac:dyDescent="0.25">
      <c r="O29" s="2">
        <f t="shared" si="2"/>
        <v>81.150000000000006</v>
      </c>
      <c r="P29" s="2">
        <v>0.97</v>
      </c>
      <c r="Q29" s="2">
        <f t="shared" si="1"/>
        <v>78.715500000000006</v>
      </c>
    </row>
    <row r="30" spans="15:23" x14ac:dyDescent="0.25">
      <c r="O30" s="2">
        <f t="shared" si="2"/>
        <v>81.150000000000006</v>
      </c>
      <c r="P30" s="2">
        <v>0.96</v>
      </c>
      <c r="Q30" s="2">
        <f t="shared" si="1"/>
        <v>77.903999999999996</v>
      </c>
    </row>
    <row r="31" spans="15:23" x14ac:dyDescent="0.25">
      <c r="O31" s="2">
        <f t="shared" si="2"/>
        <v>81.150000000000006</v>
      </c>
      <c r="P31" s="2">
        <v>0.95</v>
      </c>
      <c r="Q31" s="2">
        <f t="shared" si="1"/>
        <v>77.092500000000001</v>
      </c>
    </row>
    <row r="32" spans="15:23" x14ac:dyDescent="0.25">
      <c r="O32" s="2">
        <f t="shared" si="2"/>
        <v>81.150000000000006</v>
      </c>
      <c r="P32" s="2">
        <v>0.9</v>
      </c>
      <c r="Q32" s="2">
        <f t="shared" si="1"/>
        <v>73.035000000000011</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125</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49.79</v>
      </c>
    </row>
    <row r="5" spans="1:21" x14ac:dyDescent="0.25">
      <c r="B5" s="1">
        <v>42233</v>
      </c>
      <c r="C5" s="19">
        <v>15</v>
      </c>
      <c r="D5" s="65">
        <v>46.8</v>
      </c>
      <c r="E5" s="65"/>
      <c r="F5" s="65">
        <f>C5*D5</f>
        <v>702</v>
      </c>
      <c r="O5" s="20" t="s">
        <v>67</v>
      </c>
      <c r="Q5" s="5">
        <f>Q4*Q2</f>
        <v>1742.6499999999999</v>
      </c>
    </row>
    <row r="6" spans="1:21" x14ac:dyDescent="0.25">
      <c r="B6" s="1">
        <v>42233</v>
      </c>
      <c r="C6">
        <v>20</v>
      </c>
      <c r="D6" s="2">
        <v>47.45</v>
      </c>
      <c r="F6" s="2">
        <f>C6*D6</f>
        <v>949</v>
      </c>
      <c r="O6" s="20" t="s">
        <v>64</v>
      </c>
      <c r="Q6" s="2">
        <f>Q3*Q2</f>
        <v>1665.5</v>
      </c>
    </row>
    <row r="7" spans="1:21" x14ac:dyDescent="0.25">
      <c r="B7" s="1"/>
      <c r="O7" s="20" t="s">
        <v>65</v>
      </c>
      <c r="Q7" s="2">
        <f>Q5-Q6</f>
        <v>77.149999999999864</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49.79</v>
      </c>
      <c r="P19">
        <v>1.1000000000000001</v>
      </c>
      <c r="Q19" s="2">
        <f t="shared" ref="Q19:Q31" si="1">P19*O19</f>
        <v>54.769000000000005</v>
      </c>
    </row>
    <row r="20" spans="15:17" x14ac:dyDescent="0.25">
      <c r="O20" s="2">
        <f>$Q$4</f>
        <v>49.79</v>
      </c>
      <c r="P20">
        <v>1.05</v>
      </c>
      <c r="Q20" s="2">
        <f t="shared" si="1"/>
        <v>52.279499999999999</v>
      </c>
    </row>
    <row r="21" spans="15:17" x14ac:dyDescent="0.25">
      <c r="O21" s="2">
        <f t="shared" ref="O21:O31" si="2">$Q$4</f>
        <v>49.79</v>
      </c>
      <c r="P21">
        <v>1.04</v>
      </c>
      <c r="Q21" s="2">
        <f t="shared" si="1"/>
        <v>51.781599999999997</v>
      </c>
    </row>
    <row r="22" spans="15:17" x14ac:dyDescent="0.25">
      <c r="O22" s="2">
        <f t="shared" si="2"/>
        <v>49.79</v>
      </c>
      <c r="P22" s="2">
        <v>1.03</v>
      </c>
      <c r="Q22" s="2">
        <f t="shared" si="1"/>
        <v>51.283700000000003</v>
      </c>
    </row>
    <row r="23" spans="15:17" x14ac:dyDescent="0.25">
      <c r="O23" s="2">
        <f t="shared" si="2"/>
        <v>49.79</v>
      </c>
      <c r="P23" s="2">
        <v>1.02</v>
      </c>
      <c r="Q23" s="2">
        <f t="shared" si="1"/>
        <v>50.785800000000002</v>
      </c>
    </row>
    <row r="24" spans="15:17" x14ac:dyDescent="0.25">
      <c r="O24" s="2">
        <f t="shared" si="2"/>
        <v>49.79</v>
      </c>
      <c r="P24" s="2">
        <v>1.01</v>
      </c>
      <c r="Q24" s="2">
        <f t="shared" si="1"/>
        <v>50.2879</v>
      </c>
    </row>
    <row r="25" spans="15:17" x14ac:dyDescent="0.25">
      <c r="O25" s="2">
        <f t="shared" si="2"/>
        <v>49.79</v>
      </c>
      <c r="P25" s="2">
        <v>1</v>
      </c>
      <c r="Q25" s="2">
        <f t="shared" si="1"/>
        <v>49.79</v>
      </c>
    </row>
    <row r="26" spans="15:17" x14ac:dyDescent="0.25">
      <c r="O26" s="2">
        <f t="shared" si="2"/>
        <v>49.79</v>
      </c>
      <c r="P26" s="2">
        <v>0.99</v>
      </c>
      <c r="Q26" s="2">
        <f t="shared" si="1"/>
        <v>49.292099999999998</v>
      </c>
    </row>
    <row r="27" spans="15:17" x14ac:dyDescent="0.25">
      <c r="O27" s="2">
        <f t="shared" si="2"/>
        <v>49.79</v>
      </c>
      <c r="P27" s="2">
        <v>0.98</v>
      </c>
      <c r="Q27" s="2">
        <f t="shared" si="1"/>
        <v>48.794199999999996</v>
      </c>
    </row>
    <row r="28" spans="15:17" x14ac:dyDescent="0.25">
      <c r="O28" s="2">
        <f t="shared" si="2"/>
        <v>49.79</v>
      </c>
      <c r="P28" s="2">
        <v>0.97</v>
      </c>
      <c r="Q28" s="2">
        <f t="shared" si="1"/>
        <v>48.296299999999995</v>
      </c>
    </row>
    <row r="29" spans="15:17" x14ac:dyDescent="0.25">
      <c r="O29" s="2">
        <f t="shared" si="2"/>
        <v>49.79</v>
      </c>
      <c r="P29" s="2">
        <v>0.96</v>
      </c>
      <c r="Q29" s="2">
        <f t="shared" si="1"/>
        <v>47.798400000000001</v>
      </c>
    </row>
    <row r="30" spans="15:17" x14ac:dyDescent="0.25">
      <c r="O30" s="2">
        <f t="shared" si="2"/>
        <v>49.79</v>
      </c>
      <c r="P30" s="2">
        <v>0.95</v>
      </c>
      <c r="Q30" s="2">
        <f t="shared" si="1"/>
        <v>47.3005</v>
      </c>
    </row>
    <row r="31" spans="15:17" x14ac:dyDescent="0.25">
      <c r="O31" s="2">
        <f t="shared" si="2"/>
        <v>49.79</v>
      </c>
      <c r="P31" s="2">
        <v>0.9</v>
      </c>
      <c r="Q31" s="2">
        <f t="shared" si="1"/>
        <v>44.811</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125</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7.83</v>
      </c>
    </row>
    <row r="5" spans="1:21" x14ac:dyDescent="0.25">
      <c r="B5" s="1">
        <v>42198</v>
      </c>
      <c r="C5">
        <v>40</v>
      </c>
      <c r="D5">
        <v>9.94</v>
      </c>
      <c r="F5">
        <f>C5*D5</f>
        <v>397.59999999999997</v>
      </c>
      <c r="O5" s="20" t="s">
        <v>67</v>
      </c>
      <c r="Q5" s="5">
        <f>Q4*Q2</f>
        <v>939.6</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-270.30000000000007</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165</v>
      </c>
    </row>
    <row r="14" spans="1:21" x14ac:dyDescent="0.25">
      <c r="P14" t="s">
        <v>89</v>
      </c>
      <c r="R14" s="59"/>
    </row>
    <row r="15" spans="1:21" x14ac:dyDescent="0.25">
      <c r="O15" s="2">
        <f>$Q$4</f>
        <v>7.83</v>
      </c>
      <c r="P15">
        <v>1.1000000000000001</v>
      </c>
      <c r="Q15" s="2">
        <f t="shared" ref="Q15:Q27" si="0">P15*O15</f>
        <v>8.6130000000000013</v>
      </c>
      <c r="R15" s="59"/>
    </row>
    <row r="16" spans="1:21" x14ac:dyDescent="0.25">
      <c r="O16" s="2">
        <f>$Q$4</f>
        <v>7.83</v>
      </c>
      <c r="P16">
        <v>1.05</v>
      </c>
      <c r="Q16" s="2">
        <f t="shared" si="0"/>
        <v>8.2215000000000007</v>
      </c>
      <c r="R16" s="59"/>
    </row>
    <row r="17" spans="15:18" x14ac:dyDescent="0.25">
      <c r="O17" s="2">
        <f t="shared" ref="O17:O27" si="1">$Q$4</f>
        <v>7.83</v>
      </c>
      <c r="P17">
        <v>1.04</v>
      </c>
      <c r="Q17" s="2">
        <f t="shared" si="0"/>
        <v>8.1432000000000002</v>
      </c>
      <c r="R17" s="59"/>
    </row>
    <row r="18" spans="15:18" x14ac:dyDescent="0.25">
      <c r="O18" s="2">
        <f t="shared" si="1"/>
        <v>7.83</v>
      </c>
      <c r="P18" s="2">
        <v>1.03</v>
      </c>
      <c r="Q18" s="2">
        <f t="shared" si="0"/>
        <v>8.0648999999999997</v>
      </c>
      <c r="R18" s="59"/>
    </row>
    <row r="19" spans="15:18" x14ac:dyDescent="0.25">
      <c r="O19" s="2">
        <f t="shared" si="1"/>
        <v>7.83</v>
      </c>
      <c r="P19" s="2">
        <v>1.02</v>
      </c>
      <c r="Q19" s="2">
        <f t="shared" si="0"/>
        <v>7.9866000000000001</v>
      </c>
      <c r="R19" s="59"/>
    </row>
    <row r="20" spans="15:18" x14ac:dyDescent="0.25">
      <c r="O20" s="2">
        <f t="shared" si="1"/>
        <v>7.83</v>
      </c>
      <c r="P20" s="2">
        <v>1.01</v>
      </c>
      <c r="Q20" s="2">
        <f t="shared" si="0"/>
        <v>7.9083000000000006</v>
      </c>
      <c r="R20" s="59"/>
    </row>
    <row r="21" spans="15:18" x14ac:dyDescent="0.25">
      <c r="O21" s="2">
        <f t="shared" si="1"/>
        <v>7.83</v>
      </c>
      <c r="P21" s="2">
        <v>1</v>
      </c>
      <c r="Q21" s="2">
        <f t="shared" si="0"/>
        <v>7.83</v>
      </c>
      <c r="R21" s="59"/>
    </row>
    <row r="22" spans="15:18" x14ac:dyDescent="0.25">
      <c r="O22" s="2">
        <f t="shared" si="1"/>
        <v>7.83</v>
      </c>
      <c r="P22" s="2">
        <v>0.99</v>
      </c>
      <c r="Q22" s="2">
        <f t="shared" si="0"/>
        <v>7.7516999999999996</v>
      </c>
      <c r="R22" s="59"/>
    </row>
    <row r="23" spans="15:18" x14ac:dyDescent="0.25">
      <c r="O23" s="2">
        <f t="shared" si="1"/>
        <v>7.83</v>
      </c>
      <c r="P23" s="2">
        <v>0.98</v>
      </c>
      <c r="Q23" s="2">
        <f t="shared" si="0"/>
        <v>7.6734</v>
      </c>
      <c r="R23" s="59"/>
    </row>
    <row r="24" spans="15:18" x14ac:dyDescent="0.25">
      <c r="O24" s="2">
        <f t="shared" si="1"/>
        <v>7.83</v>
      </c>
      <c r="P24" s="2">
        <v>0.97</v>
      </c>
      <c r="Q24" s="2">
        <f t="shared" si="0"/>
        <v>7.5950999999999995</v>
      </c>
      <c r="R24" s="59"/>
    </row>
    <row r="25" spans="15:18" x14ac:dyDescent="0.25">
      <c r="O25" s="2">
        <f t="shared" si="1"/>
        <v>7.83</v>
      </c>
      <c r="P25" s="2">
        <v>0.96</v>
      </c>
      <c r="Q25" s="2">
        <f t="shared" si="0"/>
        <v>7.5167999999999999</v>
      </c>
      <c r="R25" s="59"/>
    </row>
    <row r="26" spans="15:18" x14ac:dyDescent="0.25">
      <c r="O26" s="2">
        <f t="shared" si="1"/>
        <v>7.83</v>
      </c>
      <c r="P26" s="2">
        <v>0.95</v>
      </c>
      <c r="Q26" s="2">
        <f t="shared" si="0"/>
        <v>7.4384999999999994</v>
      </c>
      <c r="R26" s="59"/>
    </row>
    <row r="27" spans="15:18" x14ac:dyDescent="0.25">
      <c r="O27" s="2">
        <f t="shared" si="1"/>
        <v>7.83</v>
      </c>
      <c r="P27" s="2">
        <v>0.9</v>
      </c>
      <c r="Q27" s="2">
        <f t="shared" si="0"/>
        <v>7.0470000000000006</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205</v>
      </c>
    </row>
    <row r="3" spans="1:21" x14ac:dyDescent="0.25">
      <c r="A3" s="36" t="s">
        <v>81</v>
      </c>
      <c r="B3" s="32">
        <v>42153</v>
      </c>
      <c r="C3" s="15">
        <v>25</v>
      </c>
      <c r="D3" s="77">
        <v>34.4</v>
      </c>
      <c r="E3" s="77"/>
      <c r="F3" s="77">
        <f>C3*D3</f>
        <v>860</v>
      </c>
      <c r="L3" t="s">
        <v>163</v>
      </c>
      <c r="O3" s="20" t="s">
        <v>58</v>
      </c>
      <c r="Q3" s="2">
        <f>(F7-K7)/Q2</f>
        <v>32.507843137254902</v>
      </c>
      <c r="T3" s="1">
        <v>42244</v>
      </c>
      <c r="U3" t="s">
        <v>162</v>
      </c>
    </row>
    <row r="4" spans="1:21" x14ac:dyDescent="0.25">
      <c r="B4" s="153">
        <v>42173</v>
      </c>
      <c r="C4" s="15">
        <v>9</v>
      </c>
      <c r="D4" s="77">
        <v>34.1</v>
      </c>
      <c r="E4" s="77"/>
      <c r="F4" s="77">
        <f>C4*D4</f>
        <v>306.90000000000003</v>
      </c>
      <c r="O4" s="20" t="s">
        <v>66</v>
      </c>
      <c r="Q4" s="106">
        <v>34.81</v>
      </c>
    </row>
    <row r="5" spans="1:21" x14ac:dyDescent="0.25">
      <c r="B5" s="153"/>
      <c r="C5">
        <v>1</v>
      </c>
      <c r="D5" s="2">
        <v>34.1</v>
      </c>
      <c r="F5" s="2">
        <f>C5*D5</f>
        <v>34.1</v>
      </c>
      <c r="O5" s="20" t="s">
        <v>67</v>
      </c>
      <c r="Q5" s="5">
        <f>Q4*Q2</f>
        <v>1775.3100000000002</v>
      </c>
      <c r="T5" s="1">
        <v>42324</v>
      </c>
      <c r="U5" t="s">
        <v>230</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125.14000000000009</v>
      </c>
    </row>
    <row r="16" spans="1:21" x14ac:dyDescent="0.25">
      <c r="P16" t="s">
        <v>89</v>
      </c>
    </row>
    <row r="17" spans="15:17" x14ac:dyDescent="0.25">
      <c r="O17" s="2">
        <f>$Q$4</f>
        <v>34.81</v>
      </c>
      <c r="P17">
        <v>1.1000000000000001</v>
      </c>
      <c r="Q17" s="2">
        <f t="shared" ref="Q17:Q29" si="1">P17*O17</f>
        <v>38.291000000000004</v>
      </c>
    </row>
    <row r="18" spans="15:17" x14ac:dyDescent="0.25">
      <c r="O18" s="2">
        <f>$Q$4</f>
        <v>34.81</v>
      </c>
      <c r="P18">
        <v>1.05</v>
      </c>
      <c r="Q18" s="2">
        <f t="shared" si="1"/>
        <v>36.550500000000007</v>
      </c>
    </row>
    <row r="19" spans="15:17" x14ac:dyDescent="0.25">
      <c r="O19" s="2">
        <f t="shared" ref="O19:O29" si="2">$Q$4</f>
        <v>34.81</v>
      </c>
      <c r="P19">
        <v>1.04</v>
      </c>
      <c r="Q19" s="2">
        <f t="shared" si="1"/>
        <v>36.202400000000004</v>
      </c>
    </row>
    <row r="20" spans="15:17" x14ac:dyDescent="0.25">
      <c r="O20" s="2">
        <f t="shared" si="2"/>
        <v>34.81</v>
      </c>
      <c r="P20" s="2">
        <v>1.03</v>
      </c>
      <c r="Q20" s="2">
        <f t="shared" si="1"/>
        <v>35.854300000000002</v>
      </c>
    </row>
    <row r="21" spans="15:17" x14ac:dyDescent="0.25">
      <c r="O21" s="2">
        <f t="shared" si="2"/>
        <v>34.81</v>
      </c>
      <c r="P21" s="2">
        <v>1.02</v>
      </c>
      <c r="Q21" s="2">
        <f t="shared" si="1"/>
        <v>35.5062</v>
      </c>
    </row>
    <row r="22" spans="15:17" x14ac:dyDescent="0.25">
      <c r="O22" s="2">
        <f t="shared" si="2"/>
        <v>34.81</v>
      </c>
      <c r="P22" s="2">
        <v>1.01</v>
      </c>
      <c r="Q22" s="2">
        <f t="shared" si="1"/>
        <v>35.158100000000005</v>
      </c>
    </row>
    <row r="23" spans="15:17" x14ac:dyDescent="0.25">
      <c r="O23" s="2">
        <f t="shared" si="2"/>
        <v>34.81</v>
      </c>
      <c r="P23" s="2">
        <v>1</v>
      </c>
      <c r="Q23" s="2">
        <f t="shared" si="1"/>
        <v>34.81</v>
      </c>
    </row>
    <row r="24" spans="15:17" x14ac:dyDescent="0.25">
      <c r="O24" s="2">
        <f t="shared" si="2"/>
        <v>34.81</v>
      </c>
      <c r="P24" s="2">
        <v>0.99</v>
      </c>
      <c r="Q24" s="2">
        <f t="shared" si="1"/>
        <v>34.4619</v>
      </c>
    </row>
    <row r="25" spans="15:17" x14ac:dyDescent="0.25">
      <c r="O25" s="2">
        <f t="shared" si="2"/>
        <v>34.81</v>
      </c>
      <c r="P25" s="2">
        <v>0.98</v>
      </c>
      <c r="Q25" s="2">
        <f t="shared" si="1"/>
        <v>34.113800000000005</v>
      </c>
    </row>
    <row r="26" spans="15:17" x14ac:dyDescent="0.25">
      <c r="O26" s="2">
        <f t="shared" si="2"/>
        <v>34.81</v>
      </c>
      <c r="P26" s="2">
        <v>0.97</v>
      </c>
      <c r="Q26" s="2">
        <f t="shared" si="1"/>
        <v>33.765700000000002</v>
      </c>
    </row>
    <row r="27" spans="15:17" x14ac:dyDescent="0.25">
      <c r="O27" s="2">
        <f t="shared" si="2"/>
        <v>34.81</v>
      </c>
      <c r="P27" s="2">
        <v>0.96</v>
      </c>
      <c r="Q27" s="2">
        <f t="shared" si="1"/>
        <v>33.4176</v>
      </c>
    </row>
    <row r="28" spans="15:17" x14ac:dyDescent="0.25">
      <c r="O28" s="2">
        <f t="shared" si="2"/>
        <v>34.81</v>
      </c>
      <c r="P28" s="2">
        <v>0.95</v>
      </c>
      <c r="Q28" s="2">
        <f t="shared" si="1"/>
        <v>33.069499999999998</v>
      </c>
    </row>
    <row r="29" spans="15:17" x14ac:dyDescent="0.25">
      <c r="O29" s="2">
        <f t="shared" si="2"/>
        <v>34.81</v>
      </c>
      <c r="P29" s="2">
        <v>0.9</v>
      </c>
      <c r="Q29" s="2">
        <f t="shared" si="1"/>
        <v>31.329000000000004</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167</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132</v>
      </c>
    </row>
    <row r="3" spans="1:21" x14ac:dyDescent="0.25">
      <c r="A3" s="36" t="s">
        <v>81</v>
      </c>
      <c r="B3" s="153">
        <v>42212</v>
      </c>
      <c r="C3">
        <v>10</v>
      </c>
      <c r="D3" s="2">
        <v>124.25</v>
      </c>
      <c r="F3" s="2">
        <f t="shared" ref="F3:F7" si="0">D3*C3</f>
        <v>1242.5</v>
      </c>
      <c r="G3" s="1"/>
      <c r="L3" s="1"/>
      <c r="M3" s="2"/>
      <c r="O3" s="20" t="s">
        <v>58</v>
      </c>
      <c r="Q3" s="2">
        <f>(F8-K8)/Q2</f>
        <v>124.15200000000002</v>
      </c>
      <c r="T3" s="125">
        <v>42242</v>
      </c>
      <c r="U3" t="s">
        <v>174</v>
      </c>
    </row>
    <row r="4" spans="1:21" x14ac:dyDescent="0.25">
      <c r="B4" s="153"/>
      <c r="C4" s="10">
        <v>10</v>
      </c>
      <c r="D4" s="25">
        <v>124.25</v>
      </c>
      <c r="E4" s="25"/>
      <c r="F4" s="25">
        <f t="shared" si="0"/>
        <v>1242.5</v>
      </c>
      <c r="M4" s="2"/>
      <c r="O4" s="20" t="s">
        <v>66</v>
      </c>
      <c r="Q4" s="106">
        <v>123.77</v>
      </c>
      <c r="T4" s="125">
        <v>42246</v>
      </c>
      <c r="U4" t="s">
        <v>166</v>
      </c>
    </row>
    <row r="5" spans="1:21" x14ac:dyDescent="0.25">
      <c r="B5" s="1">
        <v>42220</v>
      </c>
      <c r="C5">
        <v>5</v>
      </c>
      <c r="D5" s="2">
        <v>123.2</v>
      </c>
      <c r="F5" s="2">
        <f t="shared" si="0"/>
        <v>616</v>
      </c>
      <c r="M5" s="2"/>
      <c r="O5" s="20" t="s">
        <v>67</v>
      </c>
      <c r="Q5" s="5">
        <f>Q4*Q2</f>
        <v>7426.2</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-18.920000000000982</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168</v>
      </c>
      <c r="O18" s="2">
        <f>$Q$4</f>
        <v>123.77</v>
      </c>
      <c r="P18">
        <v>1.1000000000000001</v>
      </c>
      <c r="Q18" s="2">
        <f t="shared" ref="Q18:Q30" si="2">P18*O18</f>
        <v>136.14700000000002</v>
      </c>
    </row>
    <row r="19" spans="1:18" x14ac:dyDescent="0.25">
      <c r="A19" s="124">
        <v>42242</v>
      </c>
      <c r="O19" s="2">
        <f>$Q$4</f>
        <v>123.77</v>
      </c>
      <c r="P19">
        <v>1.05</v>
      </c>
      <c r="Q19" s="2">
        <f t="shared" si="2"/>
        <v>129.95850000000002</v>
      </c>
    </row>
    <row r="20" spans="1:18" x14ac:dyDescent="0.25">
      <c r="B20" s="28" t="s">
        <v>175</v>
      </c>
      <c r="C20" s="7"/>
      <c r="D20" s="93"/>
      <c r="E20" s="2" t="s">
        <v>173</v>
      </c>
      <c r="F20"/>
      <c r="G20" s="34" t="s">
        <v>178</v>
      </c>
      <c r="H20" s="2"/>
      <c r="K20" s="20" t="s">
        <v>180</v>
      </c>
      <c r="O20" s="2">
        <f t="shared" ref="O20:O30" si="3">$Q$4</f>
        <v>123.77</v>
      </c>
      <c r="P20">
        <v>1.04</v>
      </c>
      <c r="Q20" s="2">
        <f t="shared" si="2"/>
        <v>128.7208</v>
      </c>
    </row>
    <row r="21" spans="1:18" x14ac:dyDescent="0.25">
      <c r="A21" s="7"/>
      <c r="B21" s="126" t="s">
        <v>171</v>
      </c>
      <c r="C21" s="126"/>
      <c r="D21" s="126"/>
      <c r="E21" s="127">
        <v>616</v>
      </c>
      <c r="F21" s="128">
        <f>E21/SUM($E$21:$E$24)</f>
        <v>0.35504322766570606</v>
      </c>
      <c r="G21" s="127" t="s">
        <v>179</v>
      </c>
      <c r="H21" s="127"/>
      <c r="I21" s="127"/>
      <c r="J21" s="127"/>
      <c r="K21" s="129" t="s">
        <v>181</v>
      </c>
      <c r="L21" s="129"/>
      <c r="M21" s="129"/>
      <c r="N21" s="129"/>
      <c r="O21" s="2">
        <f t="shared" si="3"/>
        <v>123.77</v>
      </c>
      <c r="P21" s="2">
        <v>1.03</v>
      </c>
      <c r="Q21" s="2">
        <f t="shared" si="2"/>
        <v>127.48309999999999</v>
      </c>
      <c r="R21" t="s">
        <v>115</v>
      </c>
    </row>
    <row r="22" spans="1:18" x14ac:dyDescent="0.25">
      <c r="A22" s="7"/>
      <c r="B22" s="126" t="s">
        <v>172</v>
      </c>
      <c r="C22" s="126"/>
      <c r="D22" s="126"/>
      <c r="E22" s="127">
        <v>588</v>
      </c>
      <c r="F22" s="128">
        <f>E22/SUM($E$21:$E$24)</f>
        <v>0.33890489913544669</v>
      </c>
      <c r="G22" s="129" t="s">
        <v>182</v>
      </c>
      <c r="H22" s="127"/>
      <c r="I22" s="127"/>
      <c r="J22" s="127"/>
      <c r="K22" s="129" t="s">
        <v>183</v>
      </c>
      <c r="L22" s="129"/>
      <c r="M22" s="129"/>
      <c r="N22" s="129"/>
      <c r="O22" s="2">
        <f t="shared" si="3"/>
        <v>123.77</v>
      </c>
      <c r="P22" s="2">
        <v>1.02</v>
      </c>
      <c r="Q22" s="2">
        <f t="shared" si="2"/>
        <v>126.2454</v>
      </c>
      <c r="R22" t="s">
        <v>131</v>
      </c>
    </row>
    <row r="23" spans="1:18" x14ac:dyDescent="0.25">
      <c r="A23" s="7"/>
      <c r="B23" s="126" t="s">
        <v>170</v>
      </c>
      <c r="C23" s="126"/>
      <c r="D23" s="126"/>
      <c r="E23" s="127">
        <v>372</v>
      </c>
      <c r="F23" s="128">
        <f>E23/SUM($E$21:$E$24)</f>
        <v>0.21440922190201728</v>
      </c>
      <c r="G23" s="129" t="s">
        <v>186</v>
      </c>
      <c r="H23" s="129"/>
      <c r="I23" s="127"/>
      <c r="J23" s="127"/>
      <c r="K23" s="127" t="s">
        <v>187</v>
      </c>
      <c r="L23" s="129"/>
      <c r="M23" s="129"/>
      <c r="N23" s="129"/>
      <c r="O23" s="2">
        <f t="shared" si="3"/>
        <v>123.77</v>
      </c>
      <c r="P23" s="2">
        <v>1.01</v>
      </c>
      <c r="Q23" s="2">
        <f t="shared" si="2"/>
        <v>125.0077</v>
      </c>
    </row>
    <row r="24" spans="1:18" x14ac:dyDescent="0.25">
      <c r="B24" s="126" t="s">
        <v>169</v>
      </c>
      <c r="C24" s="126"/>
      <c r="D24" s="126"/>
      <c r="E24" s="127">
        <v>159</v>
      </c>
      <c r="F24" s="128">
        <f>E24/SUM($E$21:$E$24)</f>
        <v>9.1642651296829969E-2</v>
      </c>
      <c r="G24" s="129" t="s">
        <v>185</v>
      </c>
      <c r="H24" s="129"/>
      <c r="I24" s="127"/>
      <c r="J24" s="127"/>
      <c r="K24" s="127" t="s">
        <v>184</v>
      </c>
      <c r="L24" s="129"/>
      <c r="M24" s="129"/>
      <c r="N24" s="129"/>
      <c r="O24" s="2">
        <f t="shared" si="3"/>
        <v>123.77</v>
      </c>
      <c r="P24" s="2">
        <v>1</v>
      </c>
      <c r="Q24" s="2">
        <f t="shared" si="2"/>
        <v>123.77</v>
      </c>
    </row>
    <row r="25" spans="1:18" x14ac:dyDescent="0.25">
      <c r="B25" s="34" t="s">
        <v>177</v>
      </c>
      <c r="E25" s="2">
        <f>SUM(E21:E24)</f>
        <v>1735</v>
      </c>
      <c r="F25"/>
      <c r="O25" s="2">
        <f t="shared" si="3"/>
        <v>123.77</v>
      </c>
      <c r="P25" s="2">
        <v>0.99</v>
      </c>
      <c r="Q25" s="2">
        <f t="shared" si="2"/>
        <v>122.53229999999999</v>
      </c>
      <c r="R25" t="s">
        <v>126</v>
      </c>
    </row>
    <row r="26" spans="1:18" x14ac:dyDescent="0.25">
      <c r="O26" s="2">
        <f t="shared" si="3"/>
        <v>123.77</v>
      </c>
      <c r="P26" s="2">
        <v>0.98</v>
      </c>
      <c r="Q26" s="2">
        <f t="shared" si="2"/>
        <v>121.29459999999999</v>
      </c>
    </row>
    <row r="27" spans="1:18" x14ac:dyDescent="0.25">
      <c r="B27" s="2" t="s">
        <v>176</v>
      </c>
      <c r="O27" s="2">
        <f t="shared" si="3"/>
        <v>123.77</v>
      </c>
      <c r="P27" s="2">
        <v>0.97</v>
      </c>
      <c r="Q27" s="2">
        <f t="shared" si="2"/>
        <v>120.0569</v>
      </c>
    </row>
    <row r="28" spans="1:18" x14ac:dyDescent="0.25">
      <c r="O28" s="2">
        <f t="shared" si="3"/>
        <v>123.77</v>
      </c>
      <c r="P28" s="2">
        <v>0.96</v>
      </c>
      <c r="Q28" s="2">
        <f t="shared" si="2"/>
        <v>118.8192</v>
      </c>
    </row>
    <row r="29" spans="1:18" x14ac:dyDescent="0.25">
      <c r="O29" s="2">
        <f t="shared" si="3"/>
        <v>123.77</v>
      </c>
      <c r="P29" s="2">
        <v>0.95</v>
      </c>
      <c r="Q29" s="2">
        <f t="shared" si="2"/>
        <v>117.58149999999999</v>
      </c>
    </row>
    <row r="30" spans="1:18" x14ac:dyDescent="0.25">
      <c r="O30" s="2">
        <f t="shared" si="3"/>
        <v>123.77</v>
      </c>
      <c r="P30" s="2">
        <v>0.9</v>
      </c>
      <c r="Q30" s="2">
        <f t="shared" si="2"/>
        <v>111.393</v>
      </c>
    </row>
    <row r="35" spans="2:9" x14ac:dyDescent="0.25">
      <c r="B35" t="s">
        <v>188</v>
      </c>
      <c r="D35" t="s">
        <v>189</v>
      </c>
      <c r="G35" s="2"/>
      <c r="I35"/>
    </row>
    <row r="36" spans="2:9" x14ac:dyDescent="0.25">
      <c r="B36" t="s">
        <v>196</v>
      </c>
      <c r="D36" s="2" t="s">
        <v>197</v>
      </c>
    </row>
    <row r="37" spans="2:9" x14ac:dyDescent="0.25">
      <c r="B37" t="s">
        <v>190</v>
      </c>
      <c r="D37" t="s">
        <v>191</v>
      </c>
      <c r="G37" s="2"/>
      <c r="I37"/>
    </row>
    <row r="38" spans="2:9" x14ac:dyDescent="0.25">
      <c r="B38" t="s">
        <v>194</v>
      </c>
      <c r="D38" t="s">
        <v>195</v>
      </c>
      <c r="G38" s="2"/>
      <c r="I38"/>
    </row>
    <row r="39" spans="2:9" x14ac:dyDescent="0.25">
      <c r="B39" t="s">
        <v>192</v>
      </c>
      <c r="D39" t="s">
        <v>193</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135</v>
      </c>
      <c r="O2" s="20" t="s">
        <v>57</v>
      </c>
      <c r="Q2">
        <f>C6-H6</f>
        <v>30</v>
      </c>
      <c r="T2" s="1">
        <v>42202</v>
      </c>
      <c r="U2" t="s">
        <v>134</v>
      </c>
    </row>
    <row r="3" spans="1:21" x14ac:dyDescent="0.25">
      <c r="A3" s="36" t="s">
        <v>81</v>
      </c>
      <c r="B3" s="1">
        <v>42226</v>
      </c>
      <c r="C3">
        <v>5</v>
      </c>
      <c r="D3" s="2">
        <v>112.2</v>
      </c>
      <c r="F3" s="2">
        <f>C3*D3</f>
        <v>561</v>
      </c>
      <c r="O3" s="20" t="s">
        <v>58</v>
      </c>
      <c r="Q3" s="2">
        <f>(F6-K6)/Q2</f>
        <v>110.09500000000001</v>
      </c>
      <c r="T3" s="1">
        <v>42231</v>
      </c>
      <c r="U3" t="s">
        <v>133</v>
      </c>
    </row>
    <row r="4" spans="1:21" x14ac:dyDescent="0.25">
      <c r="B4" s="1">
        <v>42226</v>
      </c>
      <c r="C4">
        <v>5</v>
      </c>
      <c r="D4" s="2">
        <v>110.93</v>
      </c>
      <c r="F4" s="2">
        <f>C4*D4</f>
        <v>554.65000000000009</v>
      </c>
      <c r="O4" s="20" t="s">
        <v>66</v>
      </c>
      <c r="Q4" s="106">
        <v>101.99</v>
      </c>
      <c r="T4" s="1">
        <v>42314</v>
      </c>
      <c r="U4" t="s">
        <v>230</v>
      </c>
    </row>
    <row r="5" spans="1:21" x14ac:dyDescent="0.25">
      <c r="B5" s="1">
        <v>42227</v>
      </c>
      <c r="C5">
        <v>10</v>
      </c>
      <c r="D5" s="2">
        <v>105</v>
      </c>
      <c r="F5" s="2">
        <f>C5*D5</f>
        <v>1050</v>
      </c>
      <c r="O5" s="20" t="s">
        <v>67</v>
      </c>
      <c r="Q5" s="5">
        <f>Q4*Q2</f>
        <v>3059.7</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-243.15000000000055</v>
      </c>
    </row>
    <row r="17" spans="15:17" x14ac:dyDescent="0.25">
      <c r="P17" t="s">
        <v>89</v>
      </c>
    </row>
    <row r="18" spans="15:17" x14ac:dyDescent="0.25">
      <c r="O18" s="2">
        <f>$Q$4</f>
        <v>101.99</v>
      </c>
      <c r="P18">
        <v>1.1000000000000001</v>
      </c>
      <c r="Q18" s="2">
        <f t="shared" ref="Q18:Q30" si="1">P18*O18</f>
        <v>112.18900000000001</v>
      </c>
    </row>
    <row r="19" spans="15:17" x14ac:dyDescent="0.25">
      <c r="O19" s="2">
        <f>$Q$4</f>
        <v>101.99</v>
      </c>
      <c r="P19">
        <v>1.05</v>
      </c>
      <c r="Q19" s="2">
        <f t="shared" si="1"/>
        <v>107.0895</v>
      </c>
    </row>
    <row r="20" spans="15:17" x14ac:dyDescent="0.25">
      <c r="O20" s="2">
        <f t="shared" ref="O20:O30" si="2">$Q$4</f>
        <v>101.99</v>
      </c>
      <c r="P20">
        <v>1.04</v>
      </c>
      <c r="Q20" s="2">
        <f t="shared" si="1"/>
        <v>106.06959999999999</v>
      </c>
    </row>
    <row r="21" spans="15:17" x14ac:dyDescent="0.25">
      <c r="O21" s="2">
        <f t="shared" si="2"/>
        <v>101.99</v>
      </c>
      <c r="P21" s="2">
        <v>1.03</v>
      </c>
      <c r="Q21" s="2">
        <f t="shared" si="1"/>
        <v>105.0497</v>
      </c>
    </row>
    <row r="22" spans="15:17" x14ac:dyDescent="0.25">
      <c r="O22" s="2">
        <f t="shared" si="2"/>
        <v>101.99</v>
      </c>
      <c r="P22" s="2">
        <v>1.02</v>
      </c>
      <c r="Q22" s="2">
        <f t="shared" si="1"/>
        <v>104.02979999999999</v>
      </c>
    </row>
    <row r="23" spans="15:17" x14ac:dyDescent="0.25">
      <c r="O23" s="2">
        <f t="shared" si="2"/>
        <v>101.99</v>
      </c>
      <c r="P23" s="2">
        <v>1.01</v>
      </c>
      <c r="Q23" s="2">
        <f t="shared" si="1"/>
        <v>103.0099</v>
      </c>
    </row>
    <row r="24" spans="15:17" x14ac:dyDescent="0.25">
      <c r="O24" s="2">
        <f t="shared" si="2"/>
        <v>101.99</v>
      </c>
      <c r="P24" s="2">
        <v>1</v>
      </c>
      <c r="Q24" s="2">
        <f t="shared" si="1"/>
        <v>101.99</v>
      </c>
    </row>
    <row r="25" spans="15:17" x14ac:dyDescent="0.25">
      <c r="O25" s="2">
        <f t="shared" si="2"/>
        <v>101.99</v>
      </c>
      <c r="P25" s="2">
        <v>0.99</v>
      </c>
      <c r="Q25" s="2">
        <f t="shared" si="1"/>
        <v>100.97009999999999</v>
      </c>
    </row>
    <row r="26" spans="15:17" x14ac:dyDescent="0.25">
      <c r="O26" s="2">
        <f t="shared" si="2"/>
        <v>101.99</v>
      </c>
      <c r="P26" s="2">
        <v>0.98</v>
      </c>
      <c r="Q26" s="2">
        <f t="shared" si="1"/>
        <v>99.950199999999995</v>
      </c>
    </row>
    <row r="27" spans="15:17" x14ac:dyDescent="0.25">
      <c r="O27" s="2">
        <f t="shared" si="2"/>
        <v>101.99</v>
      </c>
      <c r="P27" s="2">
        <v>0.97</v>
      </c>
      <c r="Q27" s="2">
        <f t="shared" si="1"/>
        <v>98.930299999999988</v>
      </c>
    </row>
    <row r="28" spans="15:17" x14ac:dyDescent="0.25">
      <c r="O28" s="2">
        <f t="shared" si="2"/>
        <v>101.99</v>
      </c>
      <c r="P28" s="2">
        <v>0.96</v>
      </c>
      <c r="Q28" s="2">
        <f t="shared" si="1"/>
        <v>97.910399999999996</v>
      </c>
    </row>
    <row r="29" spans="15:17" x14ac:dyDescent="0.25">
      <c r="O29" s="2">
        <f t="shared" si="2"/>
        <v>101.99</v>
      </c>
      <c r="P29" s="2">
        <v>0.95</v>
      </c>
      <c r="Q29" s="2">
        <f t="shared" si="1"/>
        <v>96.890499999999989</v>
      </c>
    </row>
    <row r="30" spans="15:17" x14ac:dyDescent="0.25">
      <c r="O30" s="2">
        <f t="shared" si="2"/>
        <v>101.99</v>
      </c>
      <c r="P30" s="2">
        <v>0.9</v>
      </c>
      <c r="Q30" s="2">
        <f t="shared" si="1"/>
        <v>91.790999999999997</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U1" s="20" t="s">
        <v>74</v>
      </c>
    </row>
    <row r="2" spans="1:22" x14ac:dyDescent="0.25">
      <c r="A2" s="8" t="s">
        <v>55</v>
      </c>
      <c r="B2" s="1">
        <v>42214</v>
      </c>
      <c r="C2">
        <v>10</v>
      </c>
      <c r="D2" s="2">
        <v>113.01</v>
      </c>
      <c r="E2" s="2">
        <v>0</v>
      </c>
      <c r="F2" s="2">
        <f>C2*D2 + E2</f>
        <v>1130.1000000000001</v>
      </c>
      <c r="L2" t="s">
        <v>120</v>
      </c>
      <c r="O2" s="20" t="s">
        <v>57</v>
      </c>
      <c r="Q2">
        <f>C10-H10</f>
        <v>25</v>
      </c>
      <c r="U2" s="1">
        <v>42242</v>
      </c>
      <c r="V2" t="s">
        <v>206</v>
      </c>
    </row>
    <row r="3" spans="1:22" x14ac:dyDescent="0.25">
      <c r="A3" s="36" t="s">
        <v>81</v>
      </c>
      <c r="B3" s="1">
        <v>42247</v>
      </c>
      <c r="C3">
        <v>15</v>
      </c>
      <c r="D3" s="2">
        <v>105.85</v>
      </c>
      <c r="E3" s="2">
        <v>0</v>
      </c>
      <c r="F3" s="2">
        <f>C3*D3 + E3</f>
        <v>1587.75</v>
      </c>
      <c r="O3" s="20" t="s">
        <v>58</v>
      </c>
      <c r="Q3" s="2">
        <f>(F10-K10)/Q2</f>
        <v>108.71400000000001</v>
      </c>
    </row>
    <row r="4" spans="1:22" x14ac:dyDescent="0.25">
      <c r="O4" s="20" t="s">
        <v>66</v>
      </c>
      <c r="Q4" s="106">
        <v>101.91</v>
      </c>
    </row>
    <row r="5" spans="1:22" x14ac:dyDescent="0.25">
      <c r="O5" s="20" t="s">
        <v>67</v>
      </c>
      <c r="Q5" s="5">
        <f>Q4*Q2</f>
        <v>2547.75</v>
      </c>
      <c r="U5" s="1">
        <v>42248</v>
      </c>
      <c r="V5" t="s">
        <v>231</v>
      </c>
    </row>
    <row r="6" spans="1:22" x14ac:dyDescent="0.25">
      <c r="O6" s="20" t="s">
        <v>64</v>
      </c>
      <c r="Q6" s="2">
        <f>Q3*Q2</f>
        <v>2717.8500000000004</v>
      </c>
    </row>
    <row r="7" spans="1:22" x14ac:dyDescent="0.25">
      <c r="O7" s="20" t="s">
        <v>65</v>
      </c>
      <c r="Q7" s="34">
        <f>Q5-Q6</f>
        <v>-170.10000000000036</v>
      </c>
    </row>
    <row r="8" spans="1:22" x14ac:dyDescent="0.25">
      <c r="U8" s="1">
        <v>42305</v>
      </c>
      <c r="V8" t="s">
        <v>125</v>
      </c>
    </row>
    <row r="10" spans="1:22" x14ac:dyDescent="0.25">
      <c r="A10" s="35" t="s">
        <v>114</v>
      </c>
      <c r="B10" s="21"/>
      <c r="C10" s="21">
        <f>SUM(C2:C9)</f>
        <v>25</v>
      </c>
      <c r="D10" s="22"/>
      <c r="E10" s="22"/>
      <c r="F10" s="22">
        <f>SUM(F2:F9)</f>
        <v>2717.8500000000004</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101.91</v>
      </c>
      <c r="P17">
        <v>1.1000000000000001</v>
      </c>
      <c r="Q17" s="2">
        <f t="shared" ref="Q17:Q29" si="0">P17*O17</f>
        <v>112.101</v>
      </c>
    </row>
    <row r="18" spans="15:17" x14ac:dyDescent="0.25">
      <c r="O18" s="2">
        <f>$Q$4</f>
        <v>101.91</v>
      </c>
      <c r="P18">
        <v>1.05</v>
      </c>
      <c r="Q18" s="2">
        <f t="shared" si="0"/>
        <v>107.0055</v>
      </c>
    </row>
    <row r="19" spans="15:17" x14ac:dyDescent="0.25">
      <c r="O19" s="2">
        <f t="shared" ref="O19:O29" si="1">$Q$4</f>
        <v>101.91</v>
      </c>
      <c r="P19">
        <v>1.04</v>
      </c>
      <c r="Q19" s="2">
        <f t="shared" si="0"/>
        <v>105.9864</v>
      </c>
    </row>
    <row r="20" spans="15:17" x14ac:dyDescent="0.25">
      <c r="O20" s="2">
        <f t="shared" si="1"/>
        <v>101.91</v>
      </c>
      <c r="P20" s="2">
        <v>1.03</v>
      </c>
      <c r="Q20" s="2">
        <f t="shared" si="0"/>
        <v>104.96729999999999</v>
      </c>
    </row>
    <row r="21" spans="15:17" x14ac:dyDescent="0.25">
      <c r="O21" s="2">
        <f t="shared" si="1"/>
        <v>101.91</v>
      </c>
      <c r="P21" s="2">
        <v>1.02</v>
      </c>
      <c r="Q21" s="2">
        <f t="shared" si="0"/>
        <v>103.9482</v>
      </c>
    </row>
    <row r="22" spans="15:17" x14ac:dyDescent="0.25">
      <c r="O22" s="2">
        <f t="shared" si="1"/>
        <v>101.91</v>
      </c>
      <c r="P22" s="2">
        <v>1.01</v>
      </c>
      <c r="Q22" s="2">
        <f t="shared" si="0"/>
        <v>102.92909999999999</v>
      </c>
    </row>
    <row r="23" spans="15:17" x14ac:dyDescent="0.25">
      <c r="O23" s="2">
        <f t="shared" si="1"/>
        <v>101.91</v>
      </c>
      <c r="P23" s="2">
        <v>1</v>
      </c>
      <c r="Q23" s="2">
        <f t="shared" si="0"/>
        <v>101.91</v>
      </c>
    </row>
    <row r="24" spans="15:17" x14ac:dyDescent="0.25">
      <c r="O24" s="2">
        <f t="shared" si="1"/>
        <v>101.91</v>
      </c>
      <c r="P24" s="2">
        <v>0.99</v>
      </c>
      <c r="Q24" s="2">
        <f t="shared" si="0"/>
        <v>100.8909</v>
      </c>
    </row>
    <row r="25" spans="15:17" x14ac:dyDescent="0.25">
      <c r="O25" s="2">
        <f t="shared" si="1"/>
        <v>101.91</v>
      </c>
      <c r="P25" s="2">
        <v>0.98</v>
      </c>
      <c r="Q25" s="2">
        <f t="shared" si="0"/>
        <v>99.871799999999993</v>
      </c>
    </row>
    <row r="26" spans="15:17" x14ac:dyDescent="0.25">
      <c r="O26" s="2">
        <f t="shared" si="1"/>
        <v>101.91</v>
      </c>
      <c r="P26" s="2">
        <v>0.97</v>
      </c>
      <c r="Q26" s="2">
        <f t="shared" si="0"/>
        <v>98.852699999999999</v>
      </c>
    </row>
    <row r="27" spans="15:17" x14ac:dyDescent="0.25">
      <c r="O27" s="2">
        <f t="shared" si="1"/>
        <v>101.91</v>
      </c>
      <c r="P27" s="2">
        <v>0.96</v>
      </c>
      <c r="Q27" s="2">
        <f t="shared" si="0"/>
        <v>97.83359999999999</v>
      </c>
    </row>
    <row r="28" spans="15:17" x14ac:dyDescent="0.25">
      <c r="O28" s="2">
        <f t="shared" si="1"/>
        <v>101.91</v>
      </c>
      <c r="P28" s="2">
        <v>0.95</v>
      </c>
      <c r="Q28" s="2">
        <f t="shared" si="0"/>
        <v>96.814499999999995</v>
      </c>
    </row>
    <row r="29" spans="15:17" x14ac:dyDescent="0.25">
      <c r="O29" s="2">
        <f t="shared" si="1"/>
        <v>101.91</v>
      </c>
      <c r="P29" s="2">
        <v>0.9</v>
      </c>
      <c r="Q29" s="2">
        <f t="shared" si="0"/>
        <v>91.718999999999994</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88</v>
      </c>
      <c r="M1" s="20" t="s">
        <v>38</v>
      </c>
      <c r="U1" s="20" t="s">
        <v>74</v>
      </c>
    </row>
    <row r="2" spans="1:22" x14ac:dyDescent="0.25">
      <c r="A2" s="8" t="s">
        <v>53</v>
      </c>
      <c r="B2" s="1">
        <v>42214</v>
      </c>
      <c r="C2">
        <v>15</v>
      </c>
      <c r="D2" s="2">
        <v>47.8</v>
      </c>
      <c r="E2" s="2">
        <v>0</v>
      </c>
      <c r="F2" s="2">
        <f>C2*D2</f>
        <v>717</v>
      </c>
      <c r="L2" s="1">
        <v>42247</v>
      </c>
      <c r="M2">
        <v>3.5</v>
      </c>
      <c r="O2" s="20" t="s">
        <v>57</v>
      </c>
      <c r="Q2">
        <f>C5-H5</f>
        <v>35</v>
      </c>
      <c r="U2" s="1">
        <v>42318</v>
      </c>
      <c r="V2" t="s">
        <v>125</v>
      </c>
    </row>
    <row r="3" spans="1:22" x14ac:dyDescent="0.25">
      <c r="A3" s="36" t="s">
        <v>81</v>
      </c>
      <c r="B3" s="1">
        <v>42233</v>
      </c>
      <c r="C3">
        <v>20</v>
      </c>
      <c r="D3" s="2">
        <v>47.5</v>
      </c>
      <c r="E3" s="2">
        <v>0</v>
      </c>
      <c r="F3" s="2">
        <f>C3*D3</f>
        <v>950</v>
      </c>
      <c r="O3" s="20" t="s">
        <v>58</v>
      </c>
      <c r="Q3" s="2">
        <f>(F5-K5-M5)/Q2</f>
        <v>47.528571428571432</v>
      </c>
    </row>
    <row r="4" spans="1:22" x14ac:dyDescent="0.25">
      <c r="O4" s="20" t="s">
        <v>66</v>
      </c>
      <c r="Q4" s="106">
        <v>45.43</v>
      </c>
    </row>
    <row r="5" spans="1:22" x14ac:dyDescent="0.25">
      <c r="A5" s="35" t="s">
        <v>114</v>
      </c>
      <c r="B5" s="35"/>
      <c r="C5" s="35">
        <f>SUM(C2:C3)</f>
        <v>35</v>
      </c>
      <c r="D5" s="67"/>
      <c r="E5" s="67"/>
      <c r="F5" s="67">
        <f>SUM(F2:F3)</f>
        <v>1667</v>
      </c>
      <c r="G5" s="35"/>
      <c r="H5" s="35">
        <f>SUM(H2:H4)</f>
        <v>0</v>
      </c>
      <c r="I5" s="35"/>
      <c r="J5" s="35"/>
      <c r="K5" s="35">
        <f>SUM(K2:K4)</f>
        <v>0</v>
      </c>
      <c r="L5" s="35"/>
      <c r="M5" s="35">
        <f t="shared" ref="M5" si="0">SUM(M2:M4)</f>
        <v>3.5</v>
      </c>
      <c r="O5" s="20" t="s">
        <v>67</v>
      </c>
      <c r="Q5" s="5">
        <f>Q4*Q2</f>
        <v>1590.05</v>
      </c>
    </row>
    <row r="6" spans="1:22" x14ac:dyDescent="0.25">
      <c r="O6" s="20" t="s">
        <v>64</v>
      </c>
      <c r="Q6" s="2">
        <f>Q3*Q2</f>
        <v>1663.5000000000002</v>
      </c>
    </row>
    <row r="7" spans="1:22" x14ac:dyDescent="0.25">
      <c r="O7" s="20" t="s">
        <v>65</v>
      </c>
      <c r="Q7" s="2">
        <f>Q5-Q6</f>
        <v>-73.450000000000273</v>
      </c>
    </row>
    <row r="17" spans="15:17" x14ac:dyDescent="0.25">
      <c r="P17" t="s">
        <v>89</v>
      </c>
    </row>
    <row r="18" spans="15:17" x14ac:dyDescent="0.25">
      <c r="O18" s="2">
        <f>$Q$4</f>
        <v>45.43</v>
      </c>
      <c r="P18">
        <v>1.1000000000000001</v>
      </c>
      <c r="Q18" s="2">
        <f t="shared" ref="Q18:Q30" si="1">P18*O18</f>
        <v>49.973000000000006</v>
      </c>
    </row>
    <row r="19" spans="15:17" x14ac:dyDescent="0.25">
      <c r="O19" s="2">
        <f>$Q$4</f>
        <v>45.43</v>
      </c>
      <c r="P19">
        <v>1.05</v>
      </c>
      <c r="Q19" s="2">
        <f t="shared" si="1"/>
        <v>47.701500000000003</v>
      </c>
    </row>
    <row r="20" spans="15:17" x14ac:dyDescent="0.25">
      <c r="O20" s="2">
        <f t="shared" ref="O20:O30" si="2">$Q$4</f>
        <v>45.43</v>
      </c>
      <c r="P20">
        <v>1.04</v>
      </c>
      <c r="Q20" s="2">
        <f t="shared" si="1"/>
        <v>47.247199999999999</v>
      </c>
    </row>
    <row r="21" spans="15:17" x14ac:dyDescent="0.25">
      <c r="O21" s="2">
        <f t="shared" si="2"/>
        <v>45.43</v>
      </c>
      <c r="P21" s="2">
        <v>1.03</v>
      </c>
      <c r="Q21" s="2">
        <f t="shared" si="1"/>
        <v>46.792900000000003</v>
      </c>
    </row>
    <row r="22" spans="15:17" x14ac:dyDescent="0.25">
      <c r="O22" s="2">
        <f t="shared" si="2"/>
        <v>45.43</v>
      </c>
      <c r="P22" s="2">
        <v>1.02</v>
      </c>
      <c r="Q22" s="2">
        <f t="shared" si="1"/>
        <v>46.3386</v>
      </c>
    </row>
    <row r="23" spans="15:17" x14ac:dyDescent="0.25">
      <c r="O23" s="2">
        <f t="shared" si="2"/>
        <v>45.43</v>
      </c>
      <c r="P23" s="2">
        <v>1.01</v>
      </c>
      <c r="Q23" s="2">
        <f t="shared" si="1"/>
        <v>45.884300000000003</v>
      </c>
    </row>
    <row r="24" spans="15:17" x14ac:dyDescent="0.25">
      <c r="O24" s="2">
        <f t="shared" si="2"/>
        <v>45.43</v>
      </c>
      <c r="P24" s="2">
        <v>1</v>
      </c>
      <c r="Q24" s="2">
        <f t="shared" si="1"/>
        <v>45.43</v>
      </c>
    </row>
    <row r="25" spans="15:17" x14ac:dyDescent="0.25">
      <c r="O25" s="2">
        <f t="shared" si="2"/>
        <v>45.43</v>
      </c>
      <c r="P25" s="2">
        <v>0.99</v>
      </c>
      <c r="Q25" s="2">
        <f t="shared" si="1"/>
        <v>44.975699999999996</v>
      </c>
    </row>
    <row r="26" spans="15:17" x14ac:dyDescent="0.25">
      <c r="O26" s="2">
        <f t="shared" si="2"/>
        <v>45.43</v>
      </c>
      <c r="P26" s="2">
        <v>0.98</v>
      </c>
      <c r="Q26" s="2">
        <f t="shared" si="1"/>
        <v>44.5214</v>
      </c>
    </row>
    <row r="27" spans="15:17" x14ac:dyDescent="0.25">
      <c r="O27" s="2">
        <f t="shared" si="2"/>
        <v>45.43</v>
      </c>
      <c r="P27" s="2">
        <v>0.97</v>
      </c>
      <c r="Q27" s="2">
        <f t="shared" si="1"/>
        <v>44.067099999999996</v>
      </c>
    </row>
    <row r="28" spans="15:17" x14ac:dyDescent="0.25">
      <c r="O28" s="2">
        <f t="shared" si="2"/>
        <v>45.43</v>
      </c>
      <c r="P28" s="2">
        <v>0.96</v>
      </c>
      <c r="Q28" s="2">
        <f t="shared" si="1"/>
        <v>43.6128</v>
      </c>
    </row>
    <row r="29" spans="15:17" x14ac:dyDescent="0.25">
      <c r="O29" s="2">
        <f t="shared" si="2"/>
        <v>45.43</v>
      </c>
      <c r="P29" s="2">
        <v>0.95</v>
      </c>
      <c r="Q29" s="2">
        <f t="shared" si="1"/>
        <v>43.158499999999997</v>
      </c>
    </row>
    <row r="30" spans="15:17" x14ac:dyDescent="0.25">
      <c r="O30" s="2">
        <f t="shared" si="2"/>
        <v>45.43</v>
      </c>
      <c r="P30" s="2">
        <v>0.9</v>
      </c>
      <c r="Q30" s="2">
        <f t="shared" si="1"/>
        <v>40.887</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53">
        <v>42220</v>
      </c>
      <c r="C2">
        <v>40</v>
      </c>
      <c r="D2" s="2">
        <v>31.78</v>
      </c>
      <c r="F2" s="2">
        <f>C2*D2</f>
        <v>1271.2</v>
      </c>
      <c r="G2" s="1">
        <v>42235</v>
      </c>
      <c r="H2" s="10">
        <v>100</v>
      </c>
      <c r="I2" s="10">
        <v>31.5</v>
      </c>
      <c r="J2" s="10"/>
      <c r="K2" s="10">
        <f>H2*I2</f>
        <v>3150</v>
      </c>
      <c r="O2" s="20" t="s">
        <v>57</v>
      </c>
      <c r="Q2">
        <f>C6-H6</f>
        <v>40</v>
      </c>
      <c r="T2" s="1">
        <v>42300</v>
      </c>
      <c r="U2" t="s">
        <v>125</v>
      </c>
    </row>
    <row r="3" spans="1:21" x14ac:dyDescent="0.25">
      <c r="A3" s="36" t="s">
        <v>81</v>
      </c>
      <c r="B3" s="153"/>
      <c r="C3" s="10">
        <v>60</v>
      </c>
      <c r="D3" s="25">
        <v>31.78</v>
      </c>
      <c r="E3" s="25"/>
      <c r="F3" s="25">
        <f>C3*D3</f>
        <v>1906.8000000000002</v>
      </c>
      <c r="G3" s="1"/>
      <c r="O3" s="20" t="s">
        <v>58</v>
      </c>
      <c r="Q3" s="2">
        <f>(F6-K6)/Q2</f>
        <v>30.987500000000001</v>
      </c>
      <c r="T3" t="s">
        <v>138</v>
      </c>
    </row>
    <row r="4" spans="1:21" x14ac:dyDescent="0.25">
      <c r="B4" s="1">
        <v>42221</v>
      </c>
      <c r="C4" s="10">
        <v>10</v>
      </c>
      <c r="D4" s="25">
        <v>31.45</v>
      </c>
      <c r="E4" s="25"/>
      <c r="F4" s="25">
        <f t="shared" ref="F4:F5" si="0">C4*D4</f>
        <v>314.5</v>
      </c>
      <c r="O4" s="20" t="s">
        <v>66</v>
      </c>
      <c r="Q4" s="106">
        <v>29.11</v>
      </c>
    </row>
    <row r="5" spans="1:21" x14ac:dyDescent="0.25">
      <c r="B5" s="1">
        <v>42233</v>
      </c>
      <c r="C5" s="10">
        <v>30</v>
      </c>
      <c r="D5" s="25">
        <v>29.9</v>
      </c>
      <c r="E5" s="25"/>
      <c r="F5" s="25">
        <f t="shared" si="0"/>
        <v>897</v>
      </c>
      <c r="O5" s="20" t="s">
        <v>67</v>
      </c>
      <c r="Q5" s="5">
        <f>Q4*Q2</f>
        <v>1164.4000000000001</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-75.099999999999909</v>
      </c>
    </row>
    <row r="21" spans="15:17" x14ac:dyDescent="0.25">
      <c r="P21" t="s">
        <v>89</v>
      </c>
    </row>
    <row r="22" spans="15:17" x14ac:dyDescent="0.25">
      <c r="O22" s="2">
        <f>$Q$4</f>
        <v>29.11</v>
      </c>
      <c r="P22">
        <v>1.1000000000000001</v>
      </c>
      <c r="Q22" s="2">
        <f t="shared" ref="Q22:Q34" si="1">P22*O22</f>
        <v>32.021000000000001</v>
      </c>
    </row>
    <row r="23" spans="15:17" x14ac:dyDescent="0.25">
      <c r="O23" s="2">
        <f>$Q$4</f>
        <v>29.11</v>
      </c>
      <c r="P23">
        <v>1.05</v>
      </c>
      <c r="Q23" s="2">
        <f t="shared" si="1"/>
        <v>30.5655</v>
      </c>
    </row>
    <row r="24" spans="15:17" x14ac:dyDescent="0.25">
      <c r="O24" s="2">
        <f t="shared" ref="O24:O34" si="2">$Q$4</f>
        <v>29.11</v>
      </c>
      <c r="P24">
        <v>1.04</v>
      </c>
      <c r="Q24" s="2">
        <f t="shared" si="1"/>
        <v>30.2744</v>
      </c>
    </row>
    <row r="25" spans="15:17" x14ac:dyDescent="0.25">
      <c r="O25" s="2">
        <f t="shared" si="2"/>
        <v>29.11</v>
      </c>
      <c r="P25" s="2">
        <v>1.03</v>
      </c>
      <c r="Q25" s="2">
        <f t="shared" si="1"/>
        <v>29.9833</v>
      </c>
    </row>
    <row r="26" spans="15:17" x14ac:dyDescent="0.25">
      <c r="O26" s="2">
        <f t="shared" si="2"/>
        <v>29.11</v>
      </c>
      <c r="P26" s="2">
        <v>1.02</v>
      </c>
      <c r="Q26" s="2">
        <f t="shared" si="1"/>
        <v>29.6922</v>
      </c>
    </row>
    <row r="27" spans="15:17" x14ac:dyDescent="0.25">
      <c r="O27" s="2">
        <f t="shared" si="2"/>
        <v>29.11</v>
      </c>
      <c r="P27" s="2">
        <v>1.01</v>
      </c>
      <c r="Q27" s="2">
        <f t="shared" si="1"/>
        <v>29.4011</v>
      </c>
    </row>
    <row r="28" spans="15:17" x14ac:dyDescent="0.25">
      <c r="O28" s="2">
        <f t="shared" si="2"/>
        <v>29.11</v>
      </c>
      <c r="P28" s="2">
        <v>1</v>
      </c>
      <c r="Q28" s="2">
        <f t="shared" si="1"/>
        <v>29.11</v>
      </c>
    </row>
    <row r="29" spans="15:17" x14ac:dyDescent="0.25">
      <c r="O29" s="2">
        <f t="shared" si="2"/>
        <v>29.11</v>
      </c>
      <c r="P29" s="2">
        <v>0.99</v>
      </c>
      <c r="Q29" s="2">
        <f t="shared" si="1"/>
        <v>28.818899999999999</v>
      </c>
    </row>
    <row r="30" spans="15:17" x14ac:dyDescent="0.25">
      <c r="O30" s="2">
        <f t="shared" si="2"/>
        <v>29.11</v>
      </c>
      <c r="P30" s="2">
        <v>0.98</v>
      </c>
      <c r="Q30" s="2">
        <f t="shared" si="1"/>
        <v>28.527799999999999</v>
      </c>
    </row>
    <row r="31" spans="15:17" x14ac:dyDescent="0.25">
      <c r="O31" s="2">
        <f t="shared" si="2"/>
        <v>29.11</v>
      </c>
      <c r="P31" s="2">
        <v>0.97</v>
      </c>
      <c r="Q31" s="2">
        <f t="shared" si="1"/>
        <v>28.236699999999999</v>
      </c>
    </row>
    <row r="32" spans="15:17" x14ac:dyDescent="0.25">
      <c r="O32" s="2">
        <f t="shared" si="2"/>
        <v>29.11</v>
      </c>
      <c r="P32" s="2">
        <v>0.96</v>
      </c>
      <c r="Q32" s="2">
        <f t="shared" si="1"/>
        <v>27.945599999999999</v>
      </c>
    </row>
    <row r="33" spans="4:17" x14ac:dyDescent="0.25">
      <c r="O33" s="2">
        <f t="shared" si="2"/>
        <v>29.11</v>
      </c>
      <c r="P33" s="2">
        <v>0.95</v>
      </c>
      <c r="Q33" s="2">
        <f t="shared" si="1"/>
        <v>27.654499999999999</v>
      </c>
    </row>
    <row r="34" spans="4:17" x14ac:dyDescent="0.25">
      <c r="O34" s="2">
        <f t="shared" si="2"/>
        <v>29.11</v>
      </c>
      <c r="P34" s="2">
        <v>0.9</v>
      </c>
      <c r="Q34" s="2">
        <f t="shared" si="1"/>
        <v>26.199000000000002</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125</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68.680000000000007</v>
      </c>
    </row>
    <row r="5" spans="1:22" x14ac:dyDescent="0.25">
      <c r="O5" s="20" t="s">
        <v>67</v>
      </c>
      <c r="Q5" s="5">
        <f>Q4*Q2</f>
        <v>343.40000000000003</v>
      </c>
    </row>
    <row r="6" spans="1:22" x14ac:dyDescent="0.25">
      <c r="O6" s="20" t="s">
        <v>64</v>
      </c>
      <c r="Q6" s="2">
        <f>Q3*Q2</f>
        <v>310.25</v>
      </c>
    </row>
    <row r="7" spans="1:22" x14ac:dyDescent="0.25">
      <c r="O7" s="20" t="s">
        <v>65</v>
      </c>
      <c r="Q7" s="2">
        <f>Q5-Q6</f>
        <v>33.150000000000034</v>
      </c>
    </row>
    <row r="16" spans="1:22" x14ac:dyDescent="0.25">
      <c r="P16" t="s">
        <v>89</v>
      </c>
    </row>
    <row r="17" spans="15:17" x14ac:dyDescent="0.25">
      <c r="O17" s="2">
        <f>$Q$4</f>
        <v>68.680000000000007</v>
      </c>
      <c r="P17">
        <v>1.1000000000000001</v>
      </c>
      <c r="Q17" s="2">
        <f t="shared" ref="Q17:Q29" si="0">P17*O17</f>
        <v>75.548000000000016</v>
      </c>
    </row>
    <row r="18" spans="15:17" x14ac:dyDescent="0.25">
      <c r="O18" s="2">
        <f>$Q$4</f>
        <v>68.680000000000007</v>
      </c>
      <c r="P18">
        <v>1.05</v>
      </c>
      <c r="Q18" s="2">
        <f t="shared" si="0"/>
        <v>72.114000000000004</v>
      </c>
    </row>
    <row r="19" spans="15:17" x14ac:dyDescent="0.25">
      <c r="O19" s="2">
        <f t="shared" ref="O19:O29" si="1">$Q$4</f>
        <v>68.680000000000007</v>
      </c>
      <c r="P19">
        <v>1.04</v>
      </c>
      <c r="Q19" s="2">
        <f t="shared" si="0"/>
        <v>71.427200000000013</v>
      </c>
    </row>
    <row r="20" spans="15:17" x14ac:dyDescent="0.25">
      <c r="O20" s="2">
        <f t="shared" si="1"/>
        <v>68.680000000000007</v>
      </c>
      <c r="P20" s="2">
        <v>1.03</v>
      </c>
      <c r="Q20" s="2">
        <f t="shared" si="0"/>
        <v>70.740400000000008</v>
      </c>
    </row>
    <row r="21" spans="15:17" x14ac:dyDescent="0.25">
      <c r="O21" s="2">
        <f t="shared" si="1"/>
        <v>68.680000000000007</v>
      </c>
      <c r="P21" s="2">
        <v>1.02</v>
      </c>
      <c r="Q21" s="2">
        <f t="shared" si="0"/>
        <v>70.053600000000003</v>
      </c>
    </row>
    <row r="22" spans="15:17" x14ac:dyDescent="0.25">
      <c r="O22" s="2">
        <f t="shared" si="1"/>
        <v>68.680000000000007</v>
      </c>
      <c r="P22" s="2">
        <v>1.01</v>
      </c>
      <c r="Q22" s="2">
        <f t="shared" si="0"/>
        <v>69.366800000000012</v>
      </c>
    </row>
    <row r="23" spans="15:17" x14ac:dyDescent="0.25">
      <c r="O23" s="2">
        <f t="shared" si="1"/>
        <v>68.680000000000007</v>
      </c>
      <c r="P23" s="2">
        <v>1</v>
      </c>
      <c r="Q23" s="2">
        <f t="shared" si="0"/>
        <v>68.680000000000007</v>
      </c>
    </row>
    <row r="24" spans="15:17" x14ac:dyDescent="0.25">
      <c r="O24" s="2">
        <f t="shared" si="1"/>
        <v>68.680000000000007</v>
      </c>
      <c r="P24" s="2">
        <v>0.99</v>
      </c>
      <c r="Q24" s="2">
        <f t="shared" si="0"/>
        <v>67.993200000000002</v>
      </c>
    </row>
    <row r="25" spans="15:17" x14ac:dyDescent="0.25">
      <c r="O25" s="2">
        <f t="shared" si="1"/>
        <v>68.680000000000007</v>
      </c>
      <c r="P25" s="2">
        <v>0.98</v>
      </c>
      <c r="Q25" s="2">
        <f t="shared" si="0"/>
        <v>67.306400000000011</v>
      </c>
    </row>
    <row r="26" spans="15:17" x14ac:dyDescent="0.25">
      <c r="O26" s="2">
        <f t="shared" si="1"/>
        <v>68.680000000000007</v>
      </c>
      <c r="P26" s="2">
        <v>0.97</v>
      </c>
      <c r="Q26" s="2">
        <f t="shared" si="0"/>
        <v>66.619600000000005</v>
      </c>
    </row>
    <row r="27" spans="15:17" x14ac:dyDescent="0.25">
      <c r="O27" s="2">
        <f t="shared" si="1"/>
        <v>68.680000000000007</v>
      </c>
      <c r="P27" s="2">
        <v>0.96</v>
      </c>
      <c r="Q27" s="2">
        <f t="shared" si="0"/>
        <v>65.9328</v>
      </c>
    </row>
    <row r="28" spans="15:17" x14ac:dyDescent="0.25">
      <c r="O28" s="2">
        <f t="shared" si="1"/>
        <v>68.680000000000007</v>
      </c>
      <c r="P28" s="2">
        <v>0.95</v>
      </c>
      <c r="Q28" s="2">
        <f t="shared" si="0"/>
        <v>65.246000000000009</v>
      </c>
    </row>
    <row r="29" spans="15:17" x14ac:dyDescent="0.25">
      <c r="O29" s="2">
        <f t="shared" si="1"/>
        <v>68.680000000000007</v>
      </c>
      <c r="P29" s="2">
        <v>0.9</v>
      </c>
      <c r="Q29" s="2">
        <f t="shared" si="0"/>
        <v>61.812000000000005</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125</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30.88</v>
      </c>
    </row>
    <row r="5" spans="1:22" x14ac:dyDescent="0.25">
      <c r="B5" s="1">
        <v>42240</v>
      </c>
      <c r="C5">
        <v>40</v>
      </c>
      <c r="D5">
        <v>32.4</v>
      </c>
      <c r="F5">
        <f t="shared" ref="F5:F7" si="0">C5*D5</f>
        <v>1296</v>
      </c>
      <c r="O5" s="20" t="s">
        <v>67</v>
      </c>
      <c r="Q5" s="5">
        <f>Q4*Q2</f>
        <v>2470.4</v>
      </c>
    </row>
    <row r="6" spans="1:22" x14ac:dyDescent="0.25">
      <c r="F6">
        <f t="shared" si="0"/>
        <v>0</v>
      </c>
      <c r="O6" s="20" t="s">
        <v>64</v>
      </c>
      <c r="Q6" s="2">
        <f>Q3*Q2</f>
        <v>2687</v>
      </c>
    </row>
    <row r="7" spans="1:22" x14ac:dyDescent="0.25">
      <c r="F7">
        <f t="shared" si="0"/>
        <v>0</v>
      </c>
      <c r="O7" s="20" t="s">
        <v>65</v>
      </c>
      <c r="Q7" s="2">
        <f>Q5-Q6+M8</f>
        <v>-216.59999999999991</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30.88</v>
      </c>
      <c r="P21">
        <v>1.1000000000000001</v>
      </c>
      <c r="Q21" s="2">
        <f t="shared" ref="Q21:Q33" si="1">P21*O21</f>
        <v>33.968000000000004</v>
      </c>
      <c r="R21" t="s">
        <v>136</v>
      </c>
    </row>
    <row r="22" spans="15:18" x14ac:dyDescent="0.25">
      <c r="O22" s="2">
        <f>$Q$4</f>
        <v>30.88</v>
      </c>
      <c r="P22">
        <v>1.05</v>
      </c>
      <c r="Q22" s="2">
        <f t="shared" si="1"/>
        <v>32.423999999999999</v>
      </c>
    </row>
    <row r="23" spans="15:18" x14ac:dyDescent="0.25">
      <c r="O23" s="2">
        <f t="shared" ref="O23:O33" si="2">$Q$4</f>
        <v>30.88</v>
      </c>
      <c r="P23">
        <v>1.04</v>
      </c>
      <c r="Q23" s="2">
        <f t="shared" si="1"/>
        <v>32.115200000000002</v>
      </c>
    </row>
    <row r="24" spans="15:18" x14ac:dyDescent="0.25">
      <c r="O24" s="2">
        <f t="shared" si="2"/>
        <v>30.88</v>
      </c>
      <c r="P24" s="2">
        <v>1.03</v>
      </c>
      <c r="Q24" s="2">
        <f t="shared" si="1"/>
        <v>31.8064</v>
      </c>
    </row>
    <row r="25" spans="15:18" x14ac:dyDescent="0.25">
      <c r="O25" s="2">
        <f t="shared" si="2"/>
        <v>30.88</v>
      </c>
      <c r="P25" s="2">
        <v>1.02</v>
      </c>
      <c r="Q25" s="2">
        <f t="shared" si="1"/>
        <v>31.497599999999998</v>
      </c>
    </row>
    <row r="26" spans="15:18" x14ac:dyDescent="0.25">
      <c r="O26" s="2">
        <f t="shared" si="2"/>
        <v>30.88</v>
      </c>
      <c r="P26" s="2">
        <v>1.01</v>
      </c>
      <c r="Q26" s="2">
        <f t="shared" si="1"/>
        <v>31.188800000000001</v>
      </c>
    </row>
    <row r="27" spans="15:18" x14ac:dyDescent="0.25">
      <c r="O27" s="2">
        <f t="shared" si="2"/>
        <v>30.88</v>
      </c>
      <c r="P27" s="2">
        <v>1</v>
      </c>
      <c r="Q27" s="2">
        <f t="shared" si="1"/>
        <v>30.88</v>
      </c>
    </row>
    <row r="28" spans="15:18" x14ac:dyDescent="0.25">
      <c r="O28" s="2">
        <f t="shared" si="2"/>
        <v>30.88</v>
      </c>
      <c r="P28" s="2">
        <v>0.99</v>
      </c>
      <c r="Q28" s="2">
        <f t="shared" si="1"/>
        <v>30.571199999999997</v>
      </c>
    </row>
    <row r="29" spans="15:18" x14ac:dyDescent="0.25">
      <c r="O29" s="2">
        <f t="shared" si="2"/>
        <v>30.88</v>
      </c>
      <c r="P29" s="2">
        <v>0.98</v>
      </c>
      <c r="Q29" s="2">
        <f t="shared" si="1"/>
        <v>30.2624</v>
      </c>
      <c r="R29" t="s">
        <v>122</v>
      </c>
    </row>
    <row r="30" spans="15:18" x14ac:dyDescent="0.25">
      <c r="O30" s="2">
        <f t="shared" si="2"/>
        <v>30.88</v>
      </c>
      <c r="P30" s="2">
        <v>0.97</v>
      </c>
      <c r="Q30" s="2">
        <f t="shared" si="1"/>
        <v>29.953599999999998</v>
      </c>
    </row>
    <row r="31" spans="15:18" x14ac:dyDescent="0.25">
      <c r="O31" s="2">
        <f t="shared" si="2"/>
        <v>30.88</v>
      </c>
      <c r="P31" s="2">
        <v>0.96</v>
      </c>
      <c r="Q31" s="2">
        <f t="shared" si="1"/>
        <v>29.644799999999996</v>
      </c>
    </row>
    <row r="32" spans="15:18" x14ac:dyDescent="0.25">
      <c r="O32" s="2">
        <f t="shared" si="2"/>
        <v>30.88</v>
      </c>
      <c r="P32" s="2">
        <v>0.95</v>
      </c>
      <c r="Q32" s="2">
        <f t="shared" si="1"/>
        <v>29.335999999999999</v>
      </c>
    </row>
    <row r="33" spans="15:17" x14ac:dyDescent="0.25">
      <c r="O33" s="2">
        <f t="shared" si="2"/>
        <v>30.88</v>
      </c>
      <c r="P33" s="2">
        <v>0.9</v>
      </c>
      <c r="Q33" s="2">
        <f t="shared" si="1"/>
        <v>27.791999999999998</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125</v>
      </c>
    </row>
    <row r="3" spans="1:21" x14ac:dyDescent="0.25">
      <c r="A3" s="36" t="s">
        <v>81</v>
      </c>
      <c r="B3" s="1">
        <v>42219</v>
      </c>
      <c r="C3">
        <v>5</v>
      </c>
      <c r="D3" s="2">
        <v>97.95</v>
      </c>
      <c r="F3" s="2">
        <f>C3*D3</f>
        <v>489.75</v>
      </c>
      <c r="O3" s="20" t="s">
        <v>58</v>
      </c>
      <c r="Q3" s="2">
        <f>(F8-K8)/Q2</f>
        <v>97.993999999999986</v>
      </c>
    </row>
    <row r="4" spans="1:21" x14ac:dyDescent="0.25">
      <c r="B4" s="1"/>
      <c r="O4" s="20" t="s">
        <v>66</v>
      </c>
      <c r="Q4" s="106">
        <v>91.91</v>
      </c>
    </row>
    <row r="5" spans="1:21" x14ac:dyDescent="0.25">
      <c r="O5" s="20" t="s">
        <v>67</v>
      </c>
      <c r="Q5" s="5">
        <f>Q4*Q2</f>
        <v>459.54999999999995</v>
      </c>
    </row>
    <row r="6" spans="1:21" x14ac:dyDescent="0.25">
      <c r="O6" s="20" t="s">
        <v>64</v>
      </c>
      <c r="Q6" s="2">
        <f>Q3*Q2</f>
        <v>489.96999999999991</v>
      </c>
    </row>
    <row r="7" spans="1:21" x14ac:dyDescent="0.25">
      <c r="O7" s="20" t="s">
        <v>65</v>
      </c>
      <c r="Q7" s="2">
        <f>Q5-Q6+M8</f>
        <v>-30.419999999999959</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91.91</v>
      </c>
      <c r="P20">
        <v>1.1000000000000001</v>
      </c>
      <c r="Q20" s="2">
        <f t="shared" ref="Q20:Q32" si="0">P20*O20</f>
        <v>101.101</v>
      </c>
    </row>
    <row r="21" spans="15:17" x14ac:dyDescent="0.25">
      <c r="O21" s="2">
        <f>$Q$4</f>
        <v>91.91</v>
      </c>
      <c r="P21">
        <v>1.05</v>
      </c>
      <c r="Q21" s="2">
        <f t="shared" si="0"/>
        <v>96.505499999999998</v>
      </c>
    </row>
    <row r="22" spans="15:17" x14ac:dyDescent="0.25">
      <c r="O22" s="2">
        <f t="shared" ref="O22:O32" si="1">$Q$4</f>
        <v>91.91</v>
      </c>
      <c r="P22">
        <v>1.04</v>
      </c>
      <c r="Q22" s="2">
        <f t="shared" si="0"/>
        <v>95.586399999999998</v>
      </c>
    </row>
    <row r="23" spans="15:17" x14ac:dyDescent="0.25">
      <c r="O23" s="2">
        <f t="shared" si="1"/>
        <v>91.91</v>
      </c>
      <c r="P23" s="2">
        <v>1.03</v>
      </c>
      <c r="Q23" s="2">
        <f t="shared" si="0"/>
        <v>94.667299999999997</v>
      </c>
    </row>
    <row r="24" spans="15:17" x14ac:dyDescent="0.25">
      <c r="O24" s="2">
        <f t="shared" si="1"/>
        <v>91.91</v>
      </c>
      <c r="P24" s="2">
        <v>1.02</v>
      </c>
      <c r="Q24" s="2">
        <f t="shared" si="0"/>
        <v>93.748199999999997</v>
      </c>
    </row>
    <row r="25" spans="15:17" x14ac:dyDescent="0.25">
      <c r="O25" s="2">
        <f t="shared" si="1"/>
        <v>91.91</v>
      </c>
      <c r="P25" s="2">
        <v>1.01</v>
      </c>
      <c r="Q25" s="2">
        <f t="shared" si="0"/>
        <v>92.829099999999997</v>
      </c>
    </row>
    <row r="26" spans="15:17" x14ac:dyDescent="0.25">
      <c r="O26" s="2">
        <f t="shared" si="1"/>
        <v>91.91</v>
      </c>
      <c r="P26" s="2">
        <v>1</v>
      </c>
      <c r="Q26" s="2">
        <f t="shared" si="0"/>
        <v>91.91</v>
      </c>
    </row>
    <row r="27" spans="15:17" x14ac:dyDescent="0.25">
      <c r="O27" s="2">
        <f t="shared" si="1"/>
        <v>91.91</v>
      </c>
      <c r="P27" s="2">
        <v>0.99</v>
      </c>
      <c r="Q27" s="2">
        <f t="shared" si="0"/>
        <v>90.990899999999996</v>
      </c>
    </row>
    <row r="28" spans="15:17" x14ac:dyDescent="0.25">
      <c r="O28" s="2">
        <f t="shared" si="1"/>
        <v>91.91</v>
      </c>
      <c r="P28" s="2">
        <v>0.98</v>
      </c>
      <c r="Q28" s="2">
        <f t="shared" si="0"/>
        <v>90.071799999999996</v>
      </c>
    </row>
    <row r="29" spans="15:17" x14ac:dyDescent="0.25">
      <c r="O29" s="2">
        <f t="shared" si="1"/>
        <v>91.91</v>
      </c>
      <c r="P29" s="2">
        <v>0.97</v>
      </c>
      <c r="Q29" s="2">
        <f t="shared" si="0"/>
        <v>89.152699999999996</v>
      </c>
    </row>
    <row r="30" spans="15:17" x14ac:dyDescent="0.25">
      <c r="O30" s="2">
        <f t="shared" si="1"/>
        <v>91.91</v>
      </c>
      <c r="P30" s="2">
        <v>0.96</v>
      </c>
      <c r="Q30" s="2">
        <f t="shared" si="0"/>
        <v>88.233599999999996</v>
      </c>
    </row>
    <row r="31" spans="15:17" x14ac:dyDescent="0.25">
      <c r="O31" s="2">
        <f t="shared" si="1"/>
        <v>91.91</v>
      </c>
      <c r="P31" s="2">
        <v>0.95</v>
      </c>
      <c r="Q31" s="2">
        <f t="shared" si="0"/>
        <v>87.314499999999995</v>
      </c>
    </row>
    <row r="32" spans="15:17" x14ac:dyDescent="0.25">
      <c r="O32" s="2">
        <f t="shared" si="1"/>
        <v>91.91</v>
      </c>
      <c r="P32" s="2">
        <v>0.9</v>
      </c>
      <c r="Q32" s="2">
        <f t="shared" si="0"/>
        <v>82.718999999999994</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125</v>
      </c>
    </row>
    <row r="3" spans="1:22" x14ac:dyDescent="0.25">
      <c r="A3" s="36" t="s">
        <v>81</v>
      </c>
      <c r="B3" s="1">
        <v>42214</v>
      </c>
      <c r="C3">
        <v>5</v>
      </c>
      <c r="D3" s="2">
        <v>118.3</v>
      </c>
      <c r="F3" s="2">
        <f>D3*C3</f>
        <v>591.5</v>
      </c>
      <c r="O3" s="20" t="s">
        <v>58</v>
      </c>
      <c r="Q3" s="2">
        <f>F6/C6</f>
        <v>119.52666666666667</v>
      </c>
    </row>
    <row r="4" spans="1:22" x14ac:dyDescent="0.25">
      <c r="O4" s="20" t="s">
        <v>66</v>
      </c>
      <c r="Q4" s="106">
        <v>113.99</v>
      </c>
      <c r="V4" t="str">
        <f>YahooFinance(A2, "latestprice")</f>
        <v xml:space="preserve">116.28
</v>
      </c>
    </row>
    <row r="5" spans="1:22" x14ac:dyDescent="0.25">
      <c r="O5" s="20" t="s">
        <v>67</v>
      </c>
      <c r="Q5" s="5">
        <f>Q4*Q2</f>
        <v>1709.85</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-83.050000000000182</v>
      </c>
    </row>
    <row r="19" spans="15:17" x14ac:dyDescent="0.25">
      <c r="P19" t="s">
        <v>89</v>
      </c>
    </row>
    <row r="20" spans="15:17" x14ac:dyDescent="0.25">
      <c r="O20" s="2">
        <f>$Q$4</f>
        <v>113.99</v>
      </c>
      <c r="P20">
        <v>1.1000000000000001</v>
      </c>
      <c r="Q20" s="2">
        <f t="shared" ref="Q20:Q32" si="1">P20*O20</f>
        <v>125.38900000000001</v>
      </c>
    </row>
    <row r="21" spans="15:17" x14ac:dyDescent="0.25">
      <c r="O21" s="2">
        <f>$Q$4</f>
        <v>113.99</v>
      </c>
      <c r="P21">
        <v>1.05</v>
      </c>
      <c r="Q21" s="2">
        <f t="shared" si="1"/>
        <v>119.6895</v>
      </c>
    </row>
    <row r="22" spans="15:17" x14ac:dyDescent="0.25">
      <c r="O22" s="2">
        <f t="shared" ref="O22:O32" si="2">$Q$4</f>
        <v>113.99</v>
      </c>
      <c r="P22">
        <v>1.04</v>
      </c>
      <c r="Q22" s="2">
        <f t="shared" si="1"/>
        <v>118.5496</v>
      </c>
    </row>
    <row r="23" spans="15:17" x14ac:dyDescent="0.25">
      <c r="O23" s="2">
        <f t="shared" si="2"/>
        <v>113.99</v>
      </c>
      <c r="P23" s="2">
        <v>1.03</v>
      </c>
      <c r="Q23" s="2">
        <f t="shared" si="1"/>
        <v>117.4097</v>
      </c>
    </row>
    <row r="24" spans="15:17" x14ac:dyDescent="0.25">
      <c r="O24" s="2">
        <f t="shared" si="2"/>
        <v>113.99</v>
      </c>
      <c r="P24" s="2">
        <v>1.02</v>
      </c>
      <c r="Q24" s="2">
        <f t="shared" si="1"/>
        <v>116.2698</v>
      </c>
    </row>
    <row r="25" spans="15:17" x14ac:dyDescent="0.25">
      <c r="O25" s="2">
        <f t="shared" si="2"/>
        <v>113.99</v>
      </c>
      <c r="P25" s="2">
        <v>1.01</v>
      </c>
      <c r="Q25" s="2">
        <f t="shared" si="1"/>
        <v>115.12989999999999</v>
      </c>
    </row>
    <row r="26" spans="15:17" x14ac:dyDescent="0.25">
      <c r="O26" s="2">
        <f t="shared" si="2"/>
        <v>113.99</v>
      </c>
      <c r="P26" s="2">
        <v>1</v>
      </c>
      <c r="Q26" s="2">
        <f t="shared" si="1"/>
        <v>113.99</v>
      </c>
    </row>
    <row r="27" spans="15:17" x14ac:dyDescent="0.25">
      <c r="O27" s="2">
        <f t="shared" si="2"/>
        <v>113.99</v>
      </c>
      <c r="P27" s="2">
        <v>0.99</v>
      </c>
      <c r="Q27" s="2">
        <f t="shared" si="1"/>
        <v>112.8501</v>
      </c>
    </row>
    <row r="28" spans="15:17" x14ac:dyDescent="0.25">
      <c r="O28" s="2">
        <f t="shared" si="2"/>
        <v>113.99</v>
      </c>
      <c r="P28" s="2">
        <v>0.98</v>
      </c>
      <c r="Q28" s="2">
        <f t="shared" si="1"/>
        <v>111.71019999999999</v>
      </c>
    </row>
    <row r="29" spans="15:17" x14ac:dyDescent="0.25">
      <c r="O29" s="2">
        <f t="shared" si="2"/>
        <v>113.99</v>
      </c>
      <c r="P29" s="2">
        <v>0.97</v>
      </c>
      <c r="Q29" s="2">
        <f t="shared" si="1"/>
        <v>110.57029999999999</v>
      </c>
    </row>
    <row r="30" spans="15:17" x14ac:dyDescent="0.25">
      <c r="O30" s="2">
        <f t="shared" si="2"/>
        <v>113.99</v>
      </c>
      <c r="P30" s="2">
        <v>0.96</v>
      </c>
      <c r="Q30" s="2">
        <f t="shared" si="1"/>
        <v>109.43039999999999</v>
      </c>
    </row>
    <row r="31" spans="15:17" x14ac:dyDescent="0.25">
      <c r="O31" s="2">
        <f t="shared" si="2"/>
        <v>113.99</v>
      </c>
      <c r="P31" s="2">
        <v>0.95</v>
      </c>
      <c r="Q31" s="2">
        <f t="shared" si="1"/>
        <v>108.29049999999999</v>
      </c>
    </row>
    <row r="32" spans="15:17" x14ac:dyDescent="0.25">
      <c r="O32" s="2">
        <f t="shared" si="2"/>
        <v>113.99</v>
      </c>
      <c r="P32" s="2">
        <v>0.9</v>
      </c>
      <c r="Q32" s="2">
        <f t="shared" si="1"/>
        <v>102.59099999999999</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R1" s="58"/>
      <c r="T1" s="20" t="s">
        <v>74</v>
      </c>
    </row>
    <row r="2" spans="1:21" x14ac:dyDescent="0.25">
      <c r="A2" s="8" t="s">
        <v>62</v>
      </c>
      <c r="B2" s="1">
        <v>42222</v>
      </c>
      <c r="C2">
        <v>5</v>
      </c>
      <c r="D2" s="2">
        <v>320</v>
      </c>
      <c r="E2" s="2">
        <v>0</v>
      </c>
      <c r="F2" s="2">
        <f>C2*D2 + E2</f>
        <v>1600</v>
      </c>
      <c r="O2" s="20" t="s">
        <v>57</v>
      </c>
      <c r="Q2">
        <f>C5-H5</f>
        <v>10</v>
      </c>
      <c r="T2" s="1">
        <v>42299</v>
      </c>
      <c r="U2" t="s">
        <v>125</v>
      </c>
    </row>
    <row r="3" spans="1:21" x14ac:dyDescent="0.25">
      <c r="A3" s="36" t="s">
        <v>81</v>
      </c>
      <c r="B3" s="1">
        <v>42247</v>
      </c>
      <c r="C3">
        <v>5</v>
      </c>
      <c r="D3" s="2">
        <v>298.7</v>
      </c>
      <c r="E3" s="2">
        <v>0</v>
      </c>
      <c r="F3" s="2">
        <f>C3*D3 + E3</f>
        <v>1493.5</v>
      </c>
      <c r="O3" s="20" t="s">
        <v>58</v>
      </c>
      <c r="Q3" s="2">
        <f>F5/C5</f>
        <v>309.35000000000002</v>
      </c>
    </row>
    <row r="4" spans="1:21" x14ac:dyDescent="0.25">
      <c r="O4" s="20" t="s">
        <v>66</v>
      </c>
      <c r="Q4" s="106">
        <v>301.63</v>
      </c>
    </row>
    <row r="5" spans="1:21" x14ac:dyDescent="0.25">
      <c r="A5" s="57" t="s">
        <v>114</v>
      </c>
      <c r="B5" s="24"/>
      <c r="C5" s="24">
        <f>SUM(C2:C4)</f>
        <v>10</v>
      </c>
      <c r="D5" s="31"/>
      <c r="E5" s="31"/>
      <c r="F5" s="31">
        <f t="shared" ref="F5" si="0">SUM(F2:F4)</f>
        <v>3093.5</v>
      </c>
      <c r="G5" s="24"/>
      <c r="H5" s="24"/>
      <c r="I5" s="24"/>
      <c r="J5" s="24"/>
      <c r="K5" s="24"/>
      <c r="L5" s="24"/>
      <c r="M5" s="24"/>
      <c r="O5" s="20" t="s">
        <v>67</v>
      </c>
      <c r="Q5" s="5">
        <f>Q4*Q2</f>
        <v>3016.3</v>
      </c>
    </row>
    <row r="6" spans="1:21" x14ac:dyDescent="0.25">
      <c r="O6" s="20" t="s">
        <v>64</v>
      </c>
      <c r="Q6" s="2">
        <f>Q3*Q2</f>
        <v>3093.5</v>
      </c>
    </row>
    <row r="7" spans="1:21" x14ac:dyDescent="0.25">
      <c r="O7" s="20" t="s">
        <v>65</v>
      </c>
      <c r="Q7" s="2">
        <f>Q5-Q6</f>
        <v>-77.199999999999818</v>
      </c>
    </row>
    <row r="12" spans="1:21" x14ac:dyDescent="0.25">
      <c r="F12" s="5"/>
    </row>
    <row r="13" spans="1:21" x14ac:dyDescent="0.25">
      <c r="F13" s="5"/>
    </row>
    <row r="19" spans="2:18" x14ac:dyDescent="0.25">
      <c r="P19" t="s">
        <v>89</v>
      </c>
    </row>
    <row r="20" spans="2:18" x14ac:dyDescent="0.25">
      <c r="O20" s="2">
        <f>$Q$4</f>
        <v>301.63</v>
      </c>
      <c r="P20">
        <v>1.1000000000000001</v>
      </c>
      <c r="Q20" s="2">
        <f t="shared" ref="Q20:Q32" si="1">P20*O20</f>
        <v>331.79300000000001</v>
      </c>
    </row>
    <row r="21" spans="2:18" x14ac:dyDescent="0.25">
      <c r="O21" s="2">
        <f>$Q$4</f>
        <v>301.63</v>
      </c>
      <c r="P21">
        <v>1.05</v>
      </c>
      <c r="Q21" s="2">
        <f t="shared" si="1"/>
        <v>316.7115</v>
      </c>
    </row>
    <row r="22" spans="2:18" x14ac:dyDescent="0.25">
      <c r="B22" t="s">
        <v>202</v>
      </c>
      <c r="C22" s="2"/>
      <c r="E22" s="2" t="s">
        <v>203</v>
      </c>
      <c r="F22"/>
      <c r="O22" s="2">
        <f t="shared" ref="O22:O32" si="2">$Q$4</f>
        <v>301.63</v>
      </c>
      <c r="P22">
        <v>1.04</v>
      </c>
      <c r="Q22" s="2">
        <f t="shared" si="1"/>
        <v>313.6952</v>
      </c>
    </row>
    <row r="23" spans="2:18" x14ac:dyDescent="0.25">
      <c r="O23" s="2">
        <f t="shared" si="2"/>
        <v>301.63</v>
      </c>
      <c r="P23" s="2">
        <v>1.03</v>
      </c>
      <c r="Q23" s="2">
        <f t="shared" si="1"/>
        <v>310.6789</v>
      </c>
    </row>
    <row r="24" spans="2:18" x14ac:dyDescent="0.25">
      <c r="O24" s="2">
        <f t="shared" si="2"/>
        <v>301.63</v>
      </c>
      <c r="P24" s="2">
        <v>1.02</v>
      </c>
      <c r="Q24" s="2">
        <f t="shared" si="1"/>
        <v>307.6626</v>
      </c>
    </row>
    <row r="25" spans="2:18" x14ac:dyDescent="0.25">
      <c r="O25" s="2">
        <f t="shared" si="2"/>
        <v>301.63</v>
      </c>
      <c r="P25" s="2">
        <v>1.01</v>
      </c>
      <c r="Q25" s="2">
        <f t="shared" si="1"/>
        <v>304.6463</v>
      </c>
    </row>
    <row r="26" spans="2:18" x14ac:dyDescent="0.25">
      <c r="O26" s="2">
        <f t="shared" si="2"/>
        <v>301.63</v>
      </c>
      <c r="P26" s="2">
        <v>1</v>
      </c>
      <c r="Q26" s="2">
        <f t="shared" si="1"/>
        <v>301.63</v>
      </c>
    </row>
    <row r="27" spans="2:18" x14ac:dyDescent="0.25">
      <c r="O27" s="2">
        <f t="shared" si="2"/>
        <v>301.63</v>
      </c>
      <c r="P27" s="2">
        <v>0.99</v>
      </c>
      <c r="Q27" s="2">
        <f t="shared" si="1"/>
        <v>298.61369999999999</v>
      </c>
    </row>
    <row r="28" spans="2:18" x14ac:dyDescent="0.25">
      <c r="O28" s="2">
        <f t="shared" si="2"/>
        <v>301.63</v>
      </c>
      <c r="P28" s="2">
        <v>0.98</v>
      </c>
      <c r="Q28" s="2">
        <f t="shared" si="1"/>
        <v>295.59739999999999</v>
      </c>
      <c r="R28" s="59" t="s">
        <v>137</v>
      </c>
    </row>
    <row r="29" spans="2:18" x14ac:dyDescent="0.25">
      <c r="O29" s="2">
        <f t="shared" si="2"/>
        <v>301.63</v>
      </c>
      <c r="P29" s="2">
        <v>0.97</v>
      </c>
      <c r="Q29" s="2">
        <f t="shared" si="1"/>
        <v>292.58109999999999</v>
      </c>
    </row>
    <row r="30" spans="2:18" x14ac:dyDescent="0.25">
      <c r="O30" s="2">
        <f t="shared" si="2"/>
        <v>301.63</v>
      </c>
      <c r="P30" s="2">
        <v>0.96</v>
      </c>
      <c r="Q30" s="2">
        <f t="shared" si="1"/>
        <v>289.56479999999999</v>
      </c>
    </row>
    <row r="31" spans="2:18" x14ac:dyDescent="0.25">
      <c r="O31" s="2">
        <f t="shared" si="2"/>
        <v>301.63</v>
      </c>
      <c r="P31" s="2">
        <v>0.95</v>
      </c>
      <c r="Q31" s="2">
        <f t="shared" si="1"/>
        <v>286.54849999999999</v>
      </c>
    </row>
    <row r="32" spans="2:18" x14ac:dyDescent="0.25">
      <c r="O32" s="2">
        <f t="shared" si="2"/>
        <v>301.63</v>
      </c>
      <c r="P32" s="2">
        <v>0.9</v>
      </c>
      <c r="Q32" s="2">
        <f t="shared" si="1"/>
        <v>271.46699999999998</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10.15</v>
      </c>
    </row>
    <row r="5" spans="1:17" x14ac:dyDescent="0.25">
      <c r="B5" s="1">
        <v>42234</v>
      </c>
      <c r="C5">
        <v>15</v>
      </c>
      <c r="D5" s="2">
        <v>13.9</v>
      </c>
      <c r="E5" s="2">
        <v>0</v>
      </c>
      <c r="F5" s="2">
        <f>C5*D5</f>
        <v>208.5</v>
      </c>
      <c r="O5" s="20" t="s">
        <v>67</v>
      </c>
      <c r="Q5" s="5">
        <f>Q4*Q2</f>
        <v>812</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-1559.25</v>
      </c>
    </row>
    <row r="15" spans="1:17" x14ac:dyDescent="0.25">
      <c r="P15" t="s">
        <v>89</v>
      </c>
    </row>
    <row r="16" spans="1:17" x14ac:dyDescent="0.25">
      <c r="O16" s="2">
        <f>$Q$4</f>
        <v>10.15</v>
      </c>
      <c r="P16">
        <v>1.1000000000000001</v>
      </c>
      <c r="Q16" s="2">
        <f t="shared" ref="Q16:Q28" si="0">P16*O16</f>
        <v>11.165000000000001</v>
      </c>
    </row>
    <row r="17" spans="15:17" x14ac:dyDescent="0.25">
      <c r="O17" s="2">
        <f>$Q$4</f>
        <v>10.15</v>
      </c>
      <c r="P17">
        <v>1.05</v>
      </c>
      <c r="Q17" s="2">
        <f t="shared" si="0"/>
        <v>10.657500000000001</v>
      </c>
    </row>
    <row r="18" spans="15:17" x14ac:dyDescent="0.25">
      <c r="O18" s="2">
        <f t="shared" ref="O18:O28" si="1">$Q$4</f>
        <v>10.15</v>
      </c>
      <c r="P18">
        <v>1.04</v>
      </c>
      <c r="Q18" s="2">
        <f t="shared" si="0"/>
        <v>10.556000000000001</v>
      </c>
    </row>
    <row r="19" spans="15:17" x14ac:dyDescent="0.25">
      <c r="O19" s="2">
        <f t="shared" si="1"/>
        <v>10.15</v>
      </c>
      <c r="P19" s="2">
        <v>1.03</v>
      </c>
      <c r="Q19" s="2">
        <f t="shared" si="0"/>
        <v>10.454500000000001</v>
      </c>
    </row>
    <row r="20" spans="15:17" x14ac:dyDescent="0.25">
      <c r="O20" s="2">
        <f t="shared" si="1"/>
        <v>10.15</v>
      </c>
      <c r="P20" s="2">
        <v>1.02</v>
      </c>
      <c r="Q20" s="2">
        <f t="shared" si="0"/>
        <v>10.353</v>
      </c>
    </row>
    <row r="21" spans="15:17" x14ac:dyDescent="0.25">
      <c r="O21" s="2">
        <f t="shared" si="1"/>
        <v>10.15</v>
      </c>
      <c r="P21" s="2">
        <v>1.01</v>
      </c>
      <c r="Q21" s="2">
        <f t="shared" si="0"/>
        <v>10.2515</v>
      </c>
    </row>
    <row r="22" spans="15:17" x14ac:dyDescent="0.25">
      <c r="O22" s="2">
        <f t="shared" si="1"/>
        <v>10.15</v>
      </c>
      <c r="P22" s="2">
        <v>1</v>
      </c>
      <c r="Q22" s="2">
        <f t="shared" si="0"/>
        <v>10.15</v>
      </c>
    </row>
    <row r="23" spans="15:17" x14ac:dyDescent="0.25">
      <c r="O23" s="2">
        <f t="shared" si="1"/>
        <v>10.15</v>
      </c>
      <c r="P23" s="2">
        <v>0.99</v>
      </c>
      <c r="Q23" s="2">
        <f t="shared" si="0"/>
        <v>10.048500000000001</v>
      </c>
    </row>
    <row r="24" spans="15:17" x14ac:dyDescent="0.25">
      <c r="O24" s="2">
        <f t="shared" si="1"/>
        <v>10.15</v>
      </c>
      <c r="P24" s="2">
        <v>0.98</v>
      </c>
      <c r="Q24" s="2">
        <f t="shared" si="0"/>
        <v>9.947000000000001</v>
      </c>
    </row>
    <row r="25" spans="15:17" x14ac:dyDescent="0.25">
      <c r="O25" s="2">
        <f t="shared" si="1"/>
        <v>10.15</v>
      </c>
      <c r="P25" s="2">
        <v>0.97</v>
      </c>
      <c r="Q25" s="2">
        <f t="shared" si="0"/>
        <v>9.8454999999999995</v>
      </c>
    </row>
    <row r="26" spans="15:17" x14ac:dyDescent="0.25">
      <c r="O26" s="2">
        <f t="shared" si="1"/>
        <v>10.15</v>
      </c>
      <c r="P26" s="2">
        <v>0.96</v>
      </c>
      <c r="Q26" s="2">
        <f t="shared" si="0"/>
        <v>9.7439999999999998</v>
      </c>
    </row>
    <row r="27" spans="15:17" x14ac:dyDescent="0.25">
      <c r="O27" s="2">
        <f t="shared" si="1"/>
        <v>10.15</v>
      </c>
      <c r="P27" s="2">
        <v>0.95</v>
      </c>
      <c r="Q27" s="2">
        <f t="shared" si="0"/>
        <v>9.6425000000000001</v>
      </c>
    </row>
    <row r="28" spans="15:17" x14ac:dyDescent="0.25">
      <c r="O28" s="2">
        <f t="shared" si="1"/>
        <v>10.15</v>
      </c>
      <c r="P28" s="2">
        <v>0.9</v>
      </c>
      <c r="Q28" s="2">
        <f t="shared" si="0"/>
        <v>9.1349999999999998</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c r="T1" s="20" t="s">
        <v>167</v>
      </c>
    </row>
    <row r="2" spans="1:21"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21"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21" x14ac:dyDescent="0.25">
      <c r="B4" s="1">
        <v>42150</v>
      </c>
      <c r="C4">
        <v>30</v>
      </c>
      <c r="D4" s="2">
        <v>165.4</v>
      </c>
      <c r="F4" s="2">
        <f t="shared" si="0"/>
        <v>4962</v>
      </c>
      <c r="G4" s="1">
        <v>42186</v>
      </c>
      <c r="H4" s="18">
        <v>50</v>
      </c>
      <c r="I4" s="68">
        <f t="shared" si="1"/>
        <v>168.5</v>
      </c>
      <c r="J4" s="68"/>
      <c r="K4" s="68">
        <v>8425</v>
      </c>
      <c r="O4" s="20" t="s">
        <v>66</v>
      </c>
      <c r="Q4" s="106">
        <v>128.08000000000001</v>
      </c>
      <c r="T4" s="1">
        <v>42278</v>
      </c>
      <c r="U4" t="s">
        <v>229</v>
      </c>
    </row>
    <row r="5" spans="1:21" x14ac:dyDescent="0.25">
      <c r="B5" s="1">
        <v>42150</v>
      </c>
      <c r="C5">
        <v>10</v>
      </c>
      <c r="D5" s="2">
        <v>164.85</v>
      </c>
      <c r="F5" s="2">
        <f t="shared" si="0"/>
        <v>1648.5</v>
      </c>
      <c r="G5" s="1">
        <v>42236</v>
      </c>
      <c r="H5" s="11">
        <v>10</v>
      </c>
      <c r="I5" s="80">
        <f t="shared" si="1"/>
        <v>133.19800000000001</v>
      </c>
      <c r="J5" s="80"/>
      <c r="K5" s="80">
        <v>1331.98</v>
      </c>
      <c r="O5" s="20" t="s">
        <v>67</v>
      </c>
      <c r="Q5" s="5">
        <f>Q4*Q2</f>
        <v>6404.0000000000009</v>
      </c>
    </row>
    <row r="6" spans="1:21"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21" x14ac:dyDescent="0.25">
      <c r="B7" s="1">
        <v>42186</v>
      </c>
      <c r="C7" s="18">
        <v>100</v>
      </c>
      <c r="D7" s="68">
        <v>164</v>
      </c>
      <c r="E7" s="68"/>
      <c r="F7" s="68">
        <f t="shared" si="0"/>
        <v>16400</v>
      </c>
      <c r="O7" s="20" t="s">
        <v>65</v>
      </c>
      <c r="Q7" s="2">
        <f>Q5-Q6</f>
        <v>-1129.5699999999997</v>
      </c>
      <c r="T7" s="1">
        <v>42320</v>
      </c>
      <c r="U7" t="s">
        <v>125</v>
      </c>
    </row>
    <row r="8" spans="1:21" x14ac:dyDescent="0.25">
      <c r="B8" s="1">
        <v>42235</v>
      </c>
      <c r="C8" s="11">
        <v>10</v>
      </c>
      <c r="D8" s="80">
        <v>124</v>
      </c>
      <c r="E8" s="80"/>
      <c r="F8" s="80">
        <f t="shared" si="0"/>
        <v>1240</v>
      </c>
    </row>
    <row r="9" spans="1:21" x14ac:dyDescent="0.25">
      <c r="B9" s="1">
        <v>42240</v>
      </c>
      <c r="C9" s="94">
        <v>20</v>
      </c>
      <c r="D9" s="95">
        <v>123</v>
      </c>
      <c r="E9" s="95"/>
      <c r="F9" s="95">
        <f t="shared" si="0"/>
        <v>2460</v>
      </c>
    </row>
    <row r="10" spans="1:21" x14ac:dyDescent="0.25">
      <c r="A10" s="83" t="s">
        <v>114</v>
      </c>
      <c r="B10" s="3"/>
      <c r="C10" s="3">
        <f>SUM(C2:C9)</f>
        <v>330</v>
      </c>
      <c r="D10" s="4"/>
      <c r="E10" s="4"/>
      <c r="F10" s="4">
        <f>SUM(F2:F9)</f>
        <v>53290.5</v>
      </c>
      <c r="G10" s="3"/>
      <c r="H10" s="3">
        <f>SUM(H2:H7)</f>
        <v>280</v>
      </c>
      <c r="I10" s="4"/>
      <c r="J10" s="4"/>
      <c r="K10" s="4">
        <f>SUM(K2:K9)</f>
        <v>45756.93</v>
      </c>
      <c r="L10" s="3"/>
      <c r="M10" s="3"/>
    </row>
    <row r="16" spans="1:21" x14ac:dyDescent="0.25">
      <c r="M16" s="2"/>
    </row>
    <row r="17" spans="15:17" x14ac:dyDescent="0.25">
      <c r="P17" t="s">
        <v>89</v>
      </c>
    </row>
    <row r="18" spans="15:17" x14ac:dyDescent="0.25">
      <c r="O18" s="2">
        <f>$Q$4</f>
        <v>128.08000000000001</v>
      </c>
      <c r="P18">
        <v>1.1000000000000001</v>
      </c>
      <c r="Q18" s="2">
        <f t="shared" ref="Q18:Q30" si="2">P18*O18</f>
        <v>140.88800000000003</v>
      </c>
    </row>
    <row r="19" spans="15:17" x14ac:dyDescent="0.25">
      <c r="O19" s="2">
        <f>$Q$4</f>
        <v>128.08000000000001</v>
      </c>
      <c r="P19">
        <v>1.05</v>
      </c>
      <c r="Q19" s="2">
        <f t="shared" si="2"/>
        <v>134.48400000000001</v>
      </c>
    </row>
    <row r="20" spans="15:17" x14ac:dyDescent="0.25">
      <c r="O20" s="2">
        <f t="shared" ref="O20:O30" si="3">$Q$4</f>
        <v>128.08000000000001</v>
      </c>
      <c r="P20">
        <v>1.04</v>
      </c>
      <c r="Q20" s="2">
        <f t="shared" si="2"/>
        <v>133.20320000000001</v>
      </c>
    </row>
    <row r="21" spans="15:17" x14ac:dyDescent="0.25">
      <c r="O21" s="2">
        <f t="shared" si="3"/>
        <v>128.08000000000001</v>
      </c>
      <c r="P21" s="2">
        <v>1.03</v>
      </c>
      <c r="Q21" s="2">
        <f t="shared" si="2"/>
        <v>131.92240000000001</v>
      </c>
    </row>
    <row r="22" spans="15:17" x14ac:dyDescent="0.25">
      <c r="O22" s="2">
        <f t="shared" si="3"/>
        <v>128.08000000000001</v>
      </c>
      <c r="P22" s="2">
        <v>1.02</v>
      </c>
      <c r="Q22" s="2">
        <f t="shared" si="2"/>
        <v>130.64160000000001</v>
      </c>
    </row>
    <row r="23" spans="15:17" x14ac:dyDescent="0.25">
      <c r="O23" s="2">
        <f t="shared" si="3"/>
        <v>128.08000000000001</v>
      </c>
      <c r="P23" s="2">
        <v>1.01</v>
      </c>
      <c r="Q23" s="2">
        <f t="shared" si="2"/>
        <v>129.36080000000001</v>
      </c>
    </row>
    <row r="24" spans="15:17" x14ac:dyDescent="0.25">
      <c r="O24" s="2">
        <f t="shared" si="3"/>
        <v>128.08000000000001</v>
      </c>
      <c r="P24" s="2">
        <v>1</v>
      </c>
      <c r="Q24" s="2">
        <f t="shared" si="2"/>
        <v>128.08000000000001</v>
      </c>
    </row>
    <row r="25" spans="15:17" x14ac:dyDescent="0.25">
      <c r="O25" s="2">
        <f t="shared" si="3"/>
        <v>128.08000000000001</v>
      </c>
      <c r="P25" s="2">
        <v>0.99</v>
      </c>
      <c r="Q25" s="2">
        <f t="shared" si="2"/>
        <v>126.79920000000001</v>
      </c>
    </row>
    <row r="26" spans="15:17" x14ac:dyDescent="0.25">
      <c r="O26" s="2">
        <f t="shared" si="3"/>
        <v>128.08000000000001</v>
      </c>
      <c r="P26" s="2">
        <v>0.98</v>
      </c>
      <c r="Q26" s="2">
        <f t="shared" si="2"/>
        <v>125.51840000000001</v>
      </c>
    </row>
    <row r="27" spans="15:17" x14ac:dyDescent="0.25">
      <c r="O27" s="2">
        <f t="shared" si="3"/>
        <v>128.08000000000001</v>
      </c>
      <c r="P27" s="2">
        <v>0.97</v>
      </c>
      <c r="Q27" s="2">
        <f t="shared" si="2"/>
        <v>124.23760000000001</v>
      </c>
    </row>
    <row r="28" spans="15:17" x14ac:dyDescent="0.25">
      <c r="O28" s="2">
        <f t="shared" si="3"/>
        <v>128.08000000000001</v>
      </c>
      <c r="P28" s="2">
        <v>0.96</v>
      </c>
      <c r="Q28" s="2">
        <f t="shared" si="2"/>
        <v>122.9568</v>
      </c>
    </row>
    <row r="29" spans="15:17" x14ac:dyDescent="0.25">
      <c r="O29" s="2">
        <f t="shared" si="3"/>
        <v>128.08000000000001</v>
      </c>
      <c r="P29" s="2">
        <v>0.95</v>
      </c>
      <c r="Q29" s="2">
        <f t="shared" si="2"/>
        <v>121.676</v>
      </c>
    </row>
    <row r="30" spans="15:17" x14ac:dyDescent="0.25">
      <c r="O30" s="2">
        <f t="shared" si="3"/>
        <v>128.08000000000001</v>
      </c>
      <c r="P30" s="2">
        <v>0.9</v>
      </c>
      <c r="Q30" s="2">
        <f t="shared" si="2"/>
        <v>115.27200000000002</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lxingbo</cp:lastModifiedBy>
  <dcterms:created xsi:type="dcterms:W3CDTF">2015-07-30T23:45:25Z</dcterms:created>
  <dcterms:modified xsi:type="dcterms:W3CDTF">2015-09-03T23:35:28Z</dcterms:modified>
</cp:coreProperties>
</file>