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2"/>
  </bookViews>
  <sheets>
    <sheet name="CLOSED" sheetId="1" r:id="rId1"/>
    <sheet name="ACTIVE" sheetId="35" r:id="rId2"/>
    <sheet name="MRO" sheetId="25" r:id="rId3"/>
    <sheet name="CPN" sheetId="7" state="hidden" r:id="rId4"/>
    <sheet name="MU" sheetId="17" state="hidden" r:id="rId5"/>
    <sheet name="INTC" sheetId="13" state="hidden" r:id="rId6"/>
    <sheet name="HES" sheetId="10" state="hidden" r:id="rId7"/>
    <sheet name="UNP" sheetId="20" state="hidden" r:id="rId8"/>
    <sheet name="AA" sheetId="3" state="hidden" r:id="rId9"/>
    <sheet name="KATE" sheetId="5" state="hidden" r:id="rId10"/>
    <sheet name="KORS" sheetId="16" state="hidden" r:id="rId11"/>
    <sheet name="ALL" sheetId="22" state="hidden" r:id="rId12"/>
    <sheet name="NSC" sheetId="24" state="hidden" r:id="rId13"/>
    <sheet name="CAH" sheetId="27" state="hidden" r:id="rId14"/>
    <sheet name="SCTY" sheetId="18" state="hidden" r:id="rId15"/>
    <sheet name="ATE" sheetId="14" state="hidden" r:id="rId16"/>
    <sheet name="CTWS" sheetId="9" state="hidden" r:id="rId17"/>
    <sheet name="AVGO" sheetId="15" state="hidden" r:id="rId18"/>
    <sheet name="DIS" sheetId="34" state="hidden" r:id="rId19"/>
    <sheet name="GILD" sheetId="31" state="hidden" r:id="rId20"/>
    <sheet name="WWD" sheetId="28" state="hidden" r:id="rId21"/>
    <sheet name="GM" sheetId="29" state="hidden" r:id="rId22"/>
    <sheet name="TCO" sheetId="21" state="hidden" r:id="rId23"/>
    <sheet name="TKR" sheetId="32" state="hidden" r:id="rId24"/>
    <sheet name="UTX" sheetId="30" state="hidden" r:id="rId25"/>
    <sheet name="UNH" sheetId="26" state="hidden" r:id="rId26"/>
    <sheet name="BIIB" sheetId="33" state="hidden" r:id="rId27"/>
    <sheet name="AAVL" sheetId="8" state="hidden" r:id="rId28"/>
    <sheet name="BLUE" sheetId="4" state="hidden" r:id="rId29"/>
  </sheets>
  <functionGroups builtInGroupCount="18"/>
  <definedNames>
    <definedName name="hp?s_AA_Historical_Prices_1" localSheetId="8">AA!$W$1:$AC$69</definedName>
    <definedName name="hp?s_ALL_Historical_Prices" localSheetId="11">ALL!$X$1:$AD$69</definedName>
    <definedName name="hp?s_CPN_Historical_Prices" localSheetId="3">CPN!$W$1:$AC$68</definedName>
    <definedName name="hp?s_INTC_Historical_Prices" localSheetId="5">INTC!$V$1:$AB$69</definedName>
    <definedName name="PL" localSheetId="8">AA!$Q$7</definedName>
    <definedName name="PL" localSheetId="27">AAVL!$Q$7</definedName>
    <definedName name="PL" localSheetId="2">MRO!$Q$7</definedName>
    <definedName name="PL">AAVL!$Q$7</definedName>
    <definedName name="q?s_aa_ql_1" localSheetId="8">AA!$T$21:$U$36</definedName>
    <definedName name="q?s_ALL" localSheetId="11">ALL!$T$17:$U$32</definedName>
    <definedName name="q?s_CPN" localSheetId="3">CPN!$T$31:$U$46</definedName>
    <definedName name="q?s_INTC" localSheetId="5">INTC!$S$22:$T$37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5" i="35"/>
  <c r="L27" i="35"/>
  <c r="L24" i="35"/>
  <c r="L23" i="35"/>
  <c r="L14" i="35"/>
  <c r="L28" i="35"/>
  <c r="L13" i="35"/>
  <c r="L12" i="35"/>
  <c r="L6" i="35"/>
  <c r="L11" i="35"/>
  <c r="L5" i="35"/>
  <c r="L22" i="35"/>
  <c r="L9" i="35"/>
  <c r="L21" i="35"/>
  <c r="L4" i="35"/>
  <c r="L18" i="35"/>
  <c r="L17" i="35"/>
  <c r="L2" i="35"/>
  <c r="L26" i="35"/>
  <c r="L15" i="35"/>
  <c r="L16" i="35"/>
  <c r="L20" i="35"/>
  <c r="L10" i="35"/>
  <c r="L19" i="35"/>
  <c r="N101" i="1"/>
  <c r="O101" i="1" s="1"/>
  <c r="F13" i="5"/>
  <c r="F14" i="5"/>
  <c r="C14" i="5"/>
  <c r="F31" i="25"/>
  <c r="F32" i="25"/>
  <c r="F30" i="25"/>
  <c r="F29" i="25"/>
  <c r="F28" i="25"/>
  <c r="C32" i="25"/>
  <c r="E171" i="1"/>
  <c r="F171" i="1" s="1"/>
  <c r="E170" i="1"/>
  <c r="F170" i="1" s="1"/>
  <c r="N107" i="1" l="1"/>
  <c r="O107" i="1" s="1"/>
  <c r="M8" i="15" l="1"/>
  <c r="F8" i="15"/>
  <c r="K8" i="15"/>
  <c r="K3" i="15"/>
  <c r="K2" i="15"/>
  <c r="I2" i="15"/>
  <c r="E169" i="1"/>
  <c r="F169" i="1" s="1"/>
  <c r="Q3" i="10"/>
  <c r="F18" i="10"/>
  <c r="C18" i="10"/>
  <c r="F17" i="10"/>
  <c r="K5" i="10"/>
  <c r="F16" i="10"/>
  <c r="P38" i="25"/>
  <c r="P37" i="25"/>
  <c r="P36" i="25"/>
  <c r="P35" i="25"/>
  <c r="P34" i="25"/>
  <c r="P33" i="25"/>
  <c r="P32" i="25"/>
  <c r="P31" i="25"/>
  <c r="P30" i="25"/>
  <c r="P29" i="25"/>
  <c r="P28" i="25"/>
  <c r="P27" i="25"/>
  <c r="P26" i="25"/>
  <c r="P25" i="25"/>
  <c r="P24" i="25"/>
  <c r="P23" i="25"/>
  <c r="P22" i="25"/>
  <c r="P21" i="25"/>
  <c r="P20" i="25"/>
  <c r="P19" i="25"/>
  <c r="P18" i="25"/>
  <c r="F27" i="25"/>
  <c r="P42" i="29" l="1"/>
  <c r="P41" i="29"/>
  <c r="P40" i="29"/>
  <c r="P39" i="29"/>
  <c r="P38" i="29"/>
  <c r="P37" i="29"/>
  <c r="P36" i="29"/>
  <c r="P35" i="29"/>
  <c r="P34" i="29"/>
  <c r="P33" i="29"/>
  <c r="P32" i="29"/>
  <c r="P31" i="29"/>
  <c r="P30" i="29"/>
  <c r="P29" i="29"/>
  <c r="P28" i="29"/>
  <c r="P27" i="29"/>
  <c r="P26" i="29"/>
  <c r="P25" i="29"/>
  <c r="P24" i="29"/>
  <c r="P23" i="29"/>
  <c r="P22" i="29"/>
  <c r="P37" i="31"/>
  <c r="P36" i="31"/>
  <c r="P35" i="31"/>
  <c r="P34" i="31"/>
  <c r="P33" i="31"/>
  <c r="P32" i="31"/>
  <c r="P31" i="31"/>
  <c r="P30" i="31"/>
  <c r="P29" i="31"/>
  <c r="P28" i="31"/>
  <c r="P27" i="31"/>
  <c r="P26" i="31"/>
  <c r="P25" i="31"/>
  <c r="P24" i="31"/>
  <c r="P23" i="31"/>
  <c r="P22" i="31"/>
  <c r="P21" i="31"/>
  <c r="P20" i="31"/>
  <c r="P19" i="31"/>
  <c r="P18" i="31"/>
  <c r="P17" i="31"/>
  <c r="P38" i="34"/>
  <c r="P37" i="34"/>
  <c r="P36" i="34"/>
  <c r="P35" i="34"/>
  <c r="P34" i="34"/>
  <c r="P33" i="34"/>
  <c r="P32" i="34"/>
  <c r="P31" i="34"/>
  <c r="P30" i="34"/>
  <c r="P29" i="34"/>
  <c r="P28" i="34"/>
  <c r="P27" i="34"/>
  <c r="P26" i="34"/>
  <c r="P25" i="34"/>
  <c r="P24" i="34"/>
  <c r="P23" i="34"/>
  <c r="P22" i="34"/>
  <c r="P21" i="34"/>
  <c r="P20" i="34"/>
  <c r="P19" i="34"/>
  <c r="P18" i="34"/>
  <c r="P40" i="27" l="1"/>
  <c r="P39" i="27"/>
  <c r="P38" i="27"/>
  <c r="P37" i="27"/>
  <c r="P36" i="27"/>
  <c r="P35" i="27"/>
  <c r="P34" i="27"/>
  <c r="P33" i="27"/>
  <c r="P32" i="27"/>
  <c r="P31" i="27"/>
  <c r="P30" i="27"/>
  <c r="P29" i="27"/>
  <c r="P28" i="27"/>
  <c r="P27" i="27"/>
  <c r="P26" i="27"/>
  <c r="P25" i="27"/>
  <c r="P24" i="27"/>
  <c r="P23" i="27"/>
  <c r="P22" i="27"/>
  <c r="P21" i="27"/>
  <c r="P20" i="27"/>
  <c r="P40" i="33"/>
  <c r="P39" i="33"/>
  <c r="P38" i="33"/>
  <c r="P37" i="33"/>
  <c r="P36" i="33"/>
  <c r="P35" i="33"/>
  <c r="P34" i="33"/>
  <c r="P33" i="33"/>
  <c r="P32" i="33"/>
  <c r="P31" i="33"/>
  <c r="P30" i="33"/>
  <c r="P29" i="33"/>
  <c r="P28" i="33"/>
  <c r="P27" i="33"/>
  <c r="P26" i="33"/>
  <c r="P25" i="33"/>
  <c r="P24" i="33"/>
  <c r="P23" i="33"/>
  <c r="P22" i="33"/>
  <c r="P21" i="33"/>
  <c r="P20" i="33"/>
  <c r="P38" i="15"/>
  <c r="P37" i="15"/>
  <c r="P36" i="15"/>
  <c r="P35" i="15"/>
  <c r="P34" i="15"/>
  <c r="P33" i="15"/>
  <c r="P32" i="15"/>
  <c r="P31" i="15"/>
  <c r="P30" i="15"/>
  <c r="P29" i="15"/>
  <c r="P28" i="15"/>
  <c r="P27" i="15"/>
  <c r="P26" i="15"/>
  <c r="P25" i="15"/>
  <c r="P24" i="15"/>
  <c r="P23" i="15"/>
  <c r="P22" i="15"/>
  <c r="P21" i="15"/>
  <c r="P20" i="15"/>
  <c r="P19" i="15"/>
  <c r="P18" i="15"/>
  <c r="P37" i="22" l="1"/>
  <c r="P36" i="22"/>
  <c r="P35" i="22"/>
  <c r="P34" i="22"/>
  <c r="P33" i="22"/>
  <c r="P32" i="22"/>
  <c r="P31" i="22"/>
  <c r="P30" i="22"/>
  <c r="P29" i="22"/>
  <c r="P28" i="22"/>
  <c r="P27" i="22"/>
  <c r="P26" i="22"/>
  <c r="P25" i="22"/>
  <c r="P24" i="22"/>
  <c r="P23" i="22"/>
  <c r="P22" i="22"/>
  <c r="P21" i="22"/>
  <c r="P20" i="22"/>
  <c r="P19" i="22"/>
  <c r="P18" i="22"/>
  <c r="P17" i="22"/>
  <c r="P51" i="7"/>
  <c r="P50" i="7"/>
  <c r="P49" i="7"/>
  <c r="P48" i="7"/>
  <c r="P47" i="7"/>
  <c r="P46" i="7"/>
  <c r="P45" i="7"/>
  <c r="P44" i="7"/>
  <c r="P43" i="7"/>
  <c r="P42" i="7"/>
  <c r="P41" i="7"/>
  <c r="P40" i="7"/>
  <c r="P39" i="7"/>
  <c r="P38" i="7"/>
  <c r="P37" i="7"/>
  <c r="P36" i="7"/>
  <c r="P35" i="7"/>
  <c r="P34" i="7"/>
  <c r="P33" i="7"/>
  <c r="P32" i="7"/>
  <c r="P31" i="7"/>
  <c r="P42" i="13" l="1"/>
  <c r="P41" i="13"/>
  <c r="P40" i="13"/>
  <c r="P39" i="13"/>
  <c r="P38" i="13"/>
  <c r="P37" i="13"/>
  <c r="P36" i="13"/>
  <c r="P35" i="13"/>
  <c r="P34" i="13"/>
  <c r="P33" i="13"/>
  <c r="P32" i="13"/>
  <c r="P31" i="13"/>
  <c r="P30" i="13"/>
  <c r="P29" i="13"/>
  <c r="P28" i="13"/>
  <c r="P27" i="13"/>
  <c r="P26" i="13"/>
  <c r="P25" i="13"/>
  <c r="P24" i="13"/>
  <c r="P23" i="13"/>
  <c r="P22" i="13"/>
  <c r="Q22" i="3"/>
  <c r="Q23" i="3"/>
  <c r="Q24" i="3"/>
  <c r="Q25" i="3"/>
  <c r="Q26" i="3"/>
  <c r="Q27" i="3"/>
  <c r="Q28" i="3"/>
  <c r="Q29" i="3"/>
  <c r="Q30" i="3"/>
  <c r="Q31" i="3"/>
  <c r="Q32" i="3"/>
  <c r="Q33" i="3"/>
  <c r="Q34" i="3"/>
  <c r="Q35" i="3"/>
  <c r="Q36" i="3"/>
  <c r="Q37" i="3"/>
  <c r="Q38" i="3"/>
  <c r="Q39" i="3"/>
  <c r="Q40" i="3"/>
  <c r="Q41" i="3"/>
  <c r="Q21" i="3"/>
  <c r="E168" i="1" l="1"/>
  <c r="F168" i="1" s="1"/>
  <c r="Q3" i="33"/>
  <c r="K5" i="33"/>
  <c r="H5" i="33"/>
  <c r="K2" i="33"/>
  <c r="F26" i="7"/>
  <c r="C27" i="7"/>
  <c r="K3" i="25"/>
  <c r="K4" i="25"/>
  <c r="K5" i="25"/>
  <c r="K6" i="25"/>
  <c r="K2" i="25"/>
  <c r="F26" i="25"/>
  <c r="K3" i="17"/>
  <c r="K4" i="17"/>
  <c r="K5" i="17"/>
  <c r="K6" i="17"/>
  <c r="K7" i="17"/>
  <c r="K2" i="17"/>
  <c r="Q3" i="32"/>
  <c r="M8" i="32"/>
  <c r="E167" i="1" l="1"/>
  <c r="F167" i="1" s="1"/>
  <c r="H13" i="13"/>
  <c r="K13" i="13"/>
  <c r="M13" i="13"/>
  <c r="K3" i="3"/>
  <c r="K4" i="3"/>
  <c r="K2" i="3"/>
  <c r="E166" i="1" l="1"/>
  <c r="F166" i="1" s="1"/>
  <c r="E164" i="1" l="1"/>
  <c r="F164" i="1" s="1"/>
  <c r="E165" i="1"/>
  <c r="F165" i="1" s="1"/>
  <c r="M5" i="28"/>
  <c r="F3" i="33" l="1"/>
  <c r="F2" i="33"/>
  <c r="F3" i="31"/>
  <c r="F2" i="31"/>
  <c r="K4" i="10" l="1"/>
  <c r="E163" i="1" l="1"/>
  <c r="F163" i="1" s="1"/>
  <c r="E162" i="1" l="1"/>
  <c r="F162" i="1" s="1"/>
  <c r="M13" i="3" l="1"/>
  <c r="K2" i="13"/>
  <c r="E161" i="1"/>
  <c r="F161" i="1" s="1"/>
  <c r="F11" i="13" l="1"/>
  <c r="H27" i="7"/>
  <c r="F25" i="7"/>
  <c r="E160" i="1"/>
  <c r="F160" i="1" s="1"/>
  <c r="E155" i="1" l="1"/>
  <c r="F155" i="1" s="1"/>
  <c r="E156" i="1"/>
  <c r="F156" i="1" s="1"/>
  <c r="E157" i="1"/>
  <c r="F157" i="1" s="1"/>
  <c r="E158" i="1"/>
  <c r="F158" i="1" s="1"/>
  <c r="E159" i="1"/>
  <c r="F159" i="1" s="1"/>
  <c r="H32" i="25" l="1"/>
  <c r="F13" i="10" l="1"/>
  <c r="K3" i="10" l="1"/>
  <c r="K2" i="10"/>
  <c r="F3" i="10"/>
  <c r="F4" i="10"/>
  <c r="F5" i="10"/>
  <c r="F6" i="10"/>
  <c r="F7" i="10"/>
  <c r="F8" i="10"/>
  <c r="F9" i="10"/>
  <c r="F10" i="10"/>
  <c r="F11" i="10"/>
  <c r="F12" i="10"/>
  <c r="F14" i="10"/>
  <c r="F15" i="10"/>
  <c r="F2" i="10"/>
  <c r="F25" i="25" l="1"/>
  <c r="F24" i="25"/>
  <c r="F12" i="13"/>
  <c r="C13" i="13"/>
  <c r="F10" i="13"/>
  <c r="F5" i="32"/>
  <c r="F12" i="5"/>
  <c r="F7" i="15"/>
  <c r="C8" i="15"/>
  <c r="I6" i="4"/>
  <c r="K10" i="4"/>
  <c r="F10" i="4"/>
  <c r="C10" i="4"/>
  <c r="F9" i="4"/>
  <c r="F37" i="17"/>
  <c r="F38" i="17"/>
  <c r="C38" i="17"/>
  <c r="F36" i="17"/>
  <c r="F35" i="17"/>
  <c r="C13" i="3"/>
  <c r="F12" i="3"/>
  <c r="I2" i="30" l="1"/>
  <c r="F34" i="17"/>
  <c r="F33" i="17"/>
  <c r="F32" i="17" l="1"/>
  <c r="E154" i="1"/>
  <c r="F154" i="1" s="1"/>
  <c r="I3" i="4" l="1"/>
  <c r="I4" i="4"/>
  <c r="I5" i="4"/>
  <c r="I2" i="4"/>
  <c r="F31" i="17"/>
  <c r="F30" i="17"/>
  <c r="F2" i="25"/>
  <c r="F3" i="25"/>
  <c r="F4" i="25"/>
  <c r="F5" i="25"/>
  <c r="K32" i="25" l="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3" i="5"/>
  <c r="Q33" i="5"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6" i="10"/>
  <c r="Q36" i="1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H6" i="1" l="1"/>
  <c r="F3" i="30" l="1"/>
  <c r="F8" i="30" s="1"/>
  <c r="F2" i="30"/>
  <c r="K8" i="30"/>
  <c r="H8" i="30"/>
  <c r="C8" i="30"/>
  <c r="K8" i="32"/>
  <c r="H8" i="32"/>
  <c r="F8" i="32"/>
  <c r="C8" i="32"/>
  <c r="Q2" i="32" s="1"/>
  <c r="Q5" i="32" s="1"/>
  <c r="F3" i="29"/>
  <c r="F10" i="31"/>
  <c r="C10" i="31"/>
  <c r="Q2" i="31" s="1"/>
  <c r="H6" i="34"/>
  <c r="K6" i="34"/>
  <c r="M6" i="34"/>
  <c r="C6" i="34"/>
  <c r="F3" i="15"/>
  <c r="F4" i="15"/>
  <c r="F5" i="15"/>
  <c r="F6" i="15"/>
  <c r="F5" i="9"/>
  <c r="M32" i="25"/>
  <c r="M18" i="10"/>
  <c r="F24" i="17"/>
  <c r="F29" i="17"/>
  <c r="F27" i="17"/>
  <c r="F2" i="15"/>
  <c r="H8" i="15"/>
  <c r="Q6" i="26"/>
  <c r="Q5" i="26"/>
  <c r="Q7" i="26" s="1"/>
  <c r="Q3" i="26"/>
  <c r="F6" i="26"/>
  <c r="Q2" i="26"/>
  <c r="F3" i="26"/>
  <c r="F2" i="26"/>
  <c r="C6" i="26"/>
  <c r="F5" i="33"/>
  <c r="C5" i="33"/>
  <c r="Q2" i="33" s="1"/>
  <c r="Q5" i="33" s="1"/>
  <c r="F4" i="8"/>
  <c r="F5" i="8"/>
  <c r="F3" i="8"/>
  <c r="F2" i="8"/>
  <c r="C6" i="8"/>
  <c r="Q2" i="8" s="1"/>
  <c r="F125" i="1"/>
  <c r="K125" i="1"/>
  <c r="F126" i="1"/>
  <c r="K126" i="1"/>
  <c r="F127" i="1"/>
  <c r="F128" i="1"/>
  <c r="F129" i="1"/>
  <c r="F130" i="1"/>
  <c r="F131" i="1"/>
  <c r="C132" i="1"/>
  <c r="H132" i="1"/>
  <c r="F134" i="1"/>
  <c r="K134" i="1"/>
  <c r="F135" i="1"/>
  <c r="K135" i="1"/>
  <c r="Q5" i="21"/>
  <c r="Q5" i="18"/>
  <c r="F4" i="32"/>
  <c r="Q5" i="28"/>
  <c r="Q3" i="24"/>
  <c r="Q2" i="24"/>
  <c r="Q6" i="24" s="1"/>
  <c r="F6" i="24"/>
  <c r="C6" i="24"/>
  <c r="F3" i="24"/>
  <c r="F4" i="24"/>
  <c r="F5" i="24"/>
  <c r="F2" i="24"/>
  <c r="Q5" i="16"/>
  <c r="F21" i="17"/>
  <c r="F20" i="17"/>
  <c r="F19" i="17"/>
  <c r="Q3" i="31" l="1"/>
  <c r="Q6" i="31" s="1"/>
  <c r="Q5" i="31"/>
  <c r="Q2" i="30"/>
  <c r="Q5" i="30" s="1"/>
  <c r="Q3" i="30"/>
  <c r="Q6" i="30" s="1"/>
  <c r="Q6" i="32"/>
  <c r="Q7" i="32" s="1"/>
  <c r="Q2" i="15"/>
  <c r="Q6" i="33"/>
  <c r="Q7" i="33" s="1"/>
  <c r="F6" i="8"/>
  <c r="Q3" i="8" s="1"/>
  <c r="Q6" i="8"/>
  <c r="Q5" i="8"/>
  <c r="F132" i="1"/>
  <c r="K132" i="1"/>
  <c r="Q5" i="24"/>
  <c r="Q7" i="24" s="1"/>
  <c r="Q7" i="31" l="1"/>
  <c r="Q7" i="30"/>
  <c r="Q5" i="15"/>
  <c r="Q3" i="15"/>
  <c r="Q6" i="15" s="1"/>
  <c r="Q7" i="8"/>
  <c r="N132" i="1"/>
  <c r="O132" i="1" s="1"/>
  <c r="K3" i="22"/>
  <c r="F23" i="25"/>
  <c r="F8" i="4"/>
  <c r="K3" i="7"/>
  <c r="F22" i="25"/>
  <c r="F28" i="17"/>
  <c r="H35" i="1"/>
  <c r="C35" i="1"/>
  <c r="F34" i="1"/>
  <c r="K33" i="1"/>
  <c r="F33" i="1"/>
  <c r="K32" i="1"/>
  <c r="F32" i="1"/>
  <c r="F26" i="17"/>
  <c r="K2" i="7"/>
  <c r="C8" i="14"/>
  <c r="K27" i="7" l="1"/>
  <c r="Q7" i="15"/>
  <c r="K35" i="1"/>
  <c r="F35" i="1"/>
  <c r="K3" i="18"/>
  <c r="F24" i="7"/>
  <c r="N35" i="1" l="1"/>
  <c r="O35"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F23" i="17"/>
  <c r="Q3" i="21"/>
  <c r="Q6" i="21" s="1"/>
  <c r="Q7" i="21" s="1"/>
  <c r="Q2" i="21"/>
  <c r="K4" i="21"/>
  <c r="H4" i="21"/>
  <c r="K2" i="21"/>
  <c r="F22" i="7"/>
  <c r="F22" i="17"/>
  <c r="M80" i="1"/>
  <c r="H80" i="1"/>
  <c r="C80" i="1"/>
  <c r="F79" i="1"/>
  <c r="F78" i="1"/>
  <c r="F77" i="1"/>
  <c r="F76" i="1"/>
  <c r="F75" i="1"/>
  <c r="F74" i="1"/>
  <c r="F73" i="1"/>
  <c r="F72" i="1"/>
  <c r="F71" i="1"/>
  <c r="F70" i="1"/>
  <c r="F69" i="1"/>
  <c r="F68" i="1"/>
  <c r="F67" i="1"/>
  <c r="F66" i="1"/>
  <c r="F65" i="1"/>
  <c r="F64" i="1"/>
  <c r="F63" i="1"/>
  <c r="F62" i="1"/>
  <c r="F61" i="1"/>
  <c r="F60" i="1"/>
  <c r="K59" i="1"/>
  <c r="F59" i="1"/>
  <c r="K58" i="1"/>
  <c r="F58" i="1"/>
  <c r="K57" i="1"/>
  <c r="F57" i="1"/>
  <c r="K56" i="1"/>
  <c r="F56" i="1"/>
  <c r="K55" i="1"/>
  <c r="F55" i="1"/>
  <c r="K54" i="1"/>
  <c r="F54" i="1"/>
  <c r="K53" i="1"/>
  <c r="F53" i="1"/>
  <c r="K52" i="1"/>
  <c r="F52" i="1"/>
  <c r="K51" i="1"/>
  <c r="F51" i="1"/>
  <c r="K50" i="1"/>
  <c r="F50" i="1"/>
  <c r="Q2" i="18"/>
  <c r="K8" i="18"/>
  <c r="H8" i="18"/>
  <c r="F3" i="18"/>
  <c r="F4" i="18"/>
  <c r="K2" i="18"/>
  <c r="F2" i="18"/>
  <c r="K80" i="1" l="1"/>
  <c r="F80" i="1"/>
  <c r="Q3" i="18"/>
  <c r="Q6" i="18" s="1"/>
  <c r="Q7" i="18" s="1"/>
  <c r="Q6" i="28"/>
  <c r="Q7" i="28" s="1"/>
  <c r="K2" i="9"/>
  <c r="K7" i="9" s="1"/>
  <c r="H7" i="9"/>
  <c r="I7" i="9"/>
  <c r="M7" i="9"/>
  <c r="F3" i="9"/>
  <c r="F4" i="9"/>
  <c r="F6" i="9"/>
  <c r="F2" i="9"/>
  <c r="C7" i="9"/>
  <c r="N80" i="1" l="1"/>
  <c r="O80" i="1" s="1"/>
  <c r="Q2" i="9"/>
  <c r="Q5" i="9" s="1"/>
  <c r="F7" i="9"/>
  <c r="F19" i="25"/>
  <c r="F21" i="7"/>
  <c r="F18" i="25"/>
  <c r="K3" i="16"/>
  <c r="F18" i="17"/>
  <c r="F5" i="34"/>
  <c r="F4" i="34"/>
  <c r="F2" i="34"/>
  <c r="Q2" i="34"/>
  <c r="Q5" i="34" s="1"/>
  <c r="F3" i="34"/>
  <c r="F17" i="25"/>
  <c r="F16" i="25"/>
  <c r="F15" i="25"/>
  <c r="F10" i="20"/>
  <c r="C11" i="20"/>
  <c r="H14" i="5"/>
  <c r="F3" i="5"/>
  <c r="F4" i="5"/>
  <c r="F5" i="5"/>
  <c r="F6" i="5"/>
  <c r="F7" i="5"/>
  <c r="F8" i="5"/>
  <c r="F9" i="5"/>
  <c r="F10" i="5"/>
  <c r="F11" i="5"/>
  <c r="K2" i="5"/>
  <c r="K14"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13" i="3"/>
  <c r="F2" i="3"/>
  <c r="F8" i="27"/>
  <c r="C10" i="27"/>
  <c r="F5" i="22"/>
  <c r="F6" i="22"/>
  <c r="F7" i="22"/>
  <c r="C8" i="22"/>
  <c r="F20" i="7"/>
  <c r="H8" i="22"/>
  <c r="F4" i="22"/>
  <c r="F17" i="17"/>
  <c r="F3" i="22"/>
  <c r="K2" i="22"/>
  <c r="K8" i="22" s="1"/>
  <c r="F2" i="22"/>
  <c r="Q2" i="7"/>
  <c r="Q6" i="7" s="1"/>
  <c r="F19" i="7"/>
  <c r="F18" i="7"/>
  <c r="F14" i="25"/>
  <c r="F13" i="3" l="1"/>
  <c r="Q3" i="3" s="1"/>
  <c r="Q6" i="3" s="1"/>
  <c r="Q5" i="3"/>
  <c r="F13" i="13"/>
  <c r="F8" i="22"/>
  <c r="F6" i="34"/>
  <c r="Q3" i="9"/>
  <c r="Q6" i="9" s="1"/>
  <c r="Q7" i="9" s="1"/>
  <c r="Q3" i="16"/>
  <c r="Q6" i="16" s="1"/>
  <c r="Q7" i="16" s="1"/>
  <c r="Q3" i="34"/>
  <c r="Q6" i="34" s="1"/>
  <c r="Q7" i="34" s="1"/>
  <c r="Q3" i="5"/>
  <c r="Q6" i="5" s="1"/>
  <c r="Q7" i="5" s="1"/>
  <c r="Q2" i="22"/>
  <c r="K18" i="10"/>
  <c r="H18" i="10"/>
  <c r="Q2" i="10" s="1"/>
  <c r="F13" i="7"/>
  <c r="F17" i="7"/>
  <c r="F16" i="7"/>
  <c r="Q3" i="13" l="1"/>
  <c r="Q6" i="13" s="1"/>
  <c r="Q7" i="13" s="1"/>
  <c r="Q6" i="10"/>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K41" i="1"/>
  <c r="K42" i="1" s="1"/>
  <c r="F41" i="1"/>
  <c r="F42" i="1" s="1"/>
  <c r="H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H113" i="1"/>
  <c r="C113" i="1"/>
  <c r="H123" i="1"/>
  <c r="C123" i="1"/>
  <c r="H9" i="1"/>
  <c r="C9" i="1"/>
  <c r="H110" i="1"/>
  <c r="C110" i="1"/>
  <c r="F3" i="32"/>
  <c r="F2" i="32"/>
  <c r="H87" i="1"/>
  <c r="C87" i="1"/>
  <c r="H39" i="1"/>
  <c r="C39" i="1"/>
  <c r="H142" i="1"/>
  <c r="C142" i="1"/>
  <c r="H17" i="1"/>
  <c r="C17" i="1"/>
  <c r="H14" i="1"/>
  <c r="F13" i="1"/>
  <c r="C14" i="1"/>
  <c r="H117" i="1"/>
  <c r="C117" i="1"/>
  <c r="H94" i="1"/>
  <c r="M94" i="1"/>
  <c r="C94" i="1"/>
  <c r="H83" i="1"/>
  <c r="C83" i="1"/>
  <c r="H48" i="1"/>
  <c r="C48" i="1"/>
  <c r="H139" i="1"/>
  <c r="C139" i="1"/>
  <c r="C6" i="1"/>
  <c r="F27" i="1"/>
  <c r="H30" i="1"/>
  <c r="C30" i="1"/>
  <c r="H120" i="1"/>
  <c r="C120" i="1"/>
  <c r="M30" i="1"/>
  <c r="M120" i="1"/>
  <c r="K19" i="1"/>
  <c r="K20" i="1"/>
  <c r="K2" i="1"/>
  <c r="K3" i="1"/>
  <c r="K4" i="1"/>
  <c r="K5" i="1"/>
  <c r="K136" i="1"/>
  <c r="K44" i="1"/>
  <c r="K45" i="1"/>
  <c r="K46" i="1"/>
  <c r="K47" i="1"/>
  <c r="K82" i="1"/>
  <c r="K83" i="1" s="1"/>
  <c r="K89" i="1"/>
  <c r="K91" i="1"/>
  <c r="K92" i="1"/>
  <c r="K93" i="1"/>
  <c r="K115" i="1"/>
  <c r="K116" i="1"/>
  <c r="K11" i="1"/>
  <c r="K14" i="1" s="1"/>
  <c r="K16" i="1"/>
  <c r="K17" i="1" s="1"/>
  <c r="K141" i="1"/>
  <c r="K142" i="1" s="1"/>
  <c r="K37" i="1"/>
  <c r="K39" i="1" s="1"/>
  <c r="K85" i="1"/>
  <c r="K86" i="1"/>
  <c r="K109" i="1"/>
  <c r="K110" i="1" s="1"/>
  <c r="K8" i="1"/>
  <c r="K9" i="1" s="1"/>
  <c r="K122" i="1"/>
  <c r="K123" i="1" s="1"/>
  <c r="K112" i="1"/>
  <c r="K113" i="1" s="1"/>
  <c r="K119" i="1"/>
  <c r="K120" i="1" s="1"/>
  <c r="F19" i="1"/>
  <c r="F20" i="1"/>
  <c r="F21" i="1"/>
  <c r="F22" i="1"/>
  <c r="F23" i="1"/>
  <c r="F24" i="1"/>
  <c r="F25" i="1"/>
  <c r="F26" i="1"/>
  <c r="F28" i="1"/>
  <c r="F29" i="1"/>
  <c r="F2" i="1"/>
  <c r="F3" i="1"/>
  <c r="F4" i="1"/>
  <c r="F5" i="1"/>
  <c r="F89" i="1"/>
  <c r="F136" i="1"/>
  <c r="F137" i="1"/>
  <c r="F138" i="1"/>
  <c r="F44" i="1"/>
  <c r="F45" i="1"/>
  <c r="F46" i="1"/>
  <c r="F47" i="1"/>
  <c r="F82" i="1"/>
  <c r="F83" i="1" s="1"/>
  <c r="F90" i="1"/>
  <c r="F91" i="1"/>
  <c r="F92" i="1"/>
  <c r="F93" i="1"/>
  <c r="F115" i="1"/>
  <c r="F116" i="1"/>
  <c r="F11" i="1"/>
  <c r="F12" i="1"/>
  <c r="F16" i="1"/>
  <c r="F17" i="1" s="1"/>
  <c r="F141" i="1"/>
  <c r="F142" i="1" s="1"/>
  <c r="F37" i="1"/>
  <c r="F38" i="1"/>
  <c r="F85" i="1"/>
  <c r="F86" i="1"/>
  <c r="F109" i="1"/>
  <c r="F110" i="1" s="1"/>
  <c r="F8" i="1"/>
  <c r="F9" i="1" s="1"/>
  <c r="F122" i="1"/>
  <c r="F123" i="1" s="1"/>
  <c r="F112" i="1"/>
  <c r="F113" i="1" s="1"/>
  <c r="F119" i="1"/>
  <c r="F120" i="1" s="1"/>
  <c r="F4" i="21"/>
  <c r="F3" i="21"/>
  <c r="F2" i="21"/>
  <c r="C4" i="21"/>
  <c r="Q2" i="25"/>
  <c r="F6" i="25"/>
  <c r="F7" i="25"/>
  <c r="F8" i="25"/>
  <c r="F9" i="25"/>
  <c r="F10" i="25"/>
  <c r="F11" i="25"/>
  <c r="F12" i="25"/>
  <c r="Q5" i="25" l="1"/>
  <c r="Q3" i="25"/>
  <c r="Q6" i="25" s="1"/>
  <c r="F27" i="7"/>
  <c r="Q3" i="4"/>
  <c r="Q6" i="4" s="1"/>
  <c r="Q5" i="4"/>
  <c r="N17" i="1"/>
  <c r="O17" i="1" s="1"/>
  <c r="N113" i="1"/>
  <c r="O113" i="1" s="1"/>
  <c r="N83" i="1"/>
  <c r="O83" i="1" s="1"/>
  <c r="N123" i="1"/>
  <c r="O123" i="1" s="1"/>
  <c r="N42" i="1"/>
  <c r="O42" i="1" s="1"/>
  <c r="N9" i="1"/>
  <c r="O9" i="1" s="1"/>
  <c r="N120" i="1"/>
  <c r="O120" i="1" s="1"/>
  <c r="N110" i="1"/>
  <c r="N142" i="1"/>
  <c r="O142" i="1" s="1"/>
  <c r="F11" i="20"/>
  <c r="Q3" i="20"/>
  <c r="Q6" i="20" s="1"/>
  <c r="Q7" i="20" s="1"/>
  <c r="K87" i="1"/>
  <c r="F39" i="1"/>
  <c r="F87" i="1"/>
  <c r="F14" i="1"/>
  <c r="K117" i="1"/>
  <c r="K94" i="1"/>
  <c r="F117" i="1"/>
  <c r="F94" i="1"/>
  <c r="F48" i="1"/>
  <c r="K139" i="1"/>
  <c r="K48" i="1"/>
  <c r="F139" i="1"/>
  <c r="F6" i="1"/>
  <c r="K6" i="1"/>
  <c r="K30" i="1"/>
  <c r="F30" i="1"/>
  <c r="Q7" i="25" l="1"/>
  <c r="O110" i="1"/>
  <c r="Q7" i="4"/>
  <c r="Q5" i="7"/>
  <c r="Q7" i="7" s="1"/>
  <c r="Q3" i="7"/>
  <c r="N30" i="1"/>
  <c r="O30" i="1" s="1"/>
  <c r="N48" i="1"/>
  <c r="O48" i="1" s="1"/>
  <c r="N6" i="1"/>
  <c r="N117" i="1"/>
  <c r="O117" i="1" s="1"/>
  <c r="N87" i="1"/>
  <c r="O87" i="1" s="1"/>
  <c r="N139" i="1"/>
  <c r="O139" i="1" s="1"/>
  <c r="N94" i="1"/>
  <c r="O94" i="1" s="1"/>
  <c r="N39" i="1"/>
  <c r="N14" i="1"/>
  <c r="O14" i="1" s="1"/>
  <c r="N144" i="1" l="1"/>
  <c r="O6" i="1"/>
  <c r="O39" i="1"/>
  <c r="K38" i="17"/>
  <c r="Q3" i="17" s="1"/>
  <c r="Q6" i="17" s="1"/>
  <c r="Q7" i="17" s="1"/>
</calcChain>
</file>

<file path=xl/connections.xml><?xml version="1.0" encoding="utf-8"?>
<connections xmlns="http://schemas.openxmlformats.org/spreadsheetml/2006/main">
  <connection id="1" name="Connection" type="4" refreshedVersion="5" background="1" saveData="1">
    <webPr sourceData="1" parsePre="1" consecutive="1" xl2000="1" url="http://finance.yahoo.com/q?s=aa&amp;ql=1" htmlTables="1">
      <tables count="2">
        <s v="table1"/>
        <s v="table2"/>
      </tables>
    </webPr>
  </connection>
  <connection id="2" name="Connection1" type="4" refreshedVersion="5" background="1" saveData="1">
    <webPr sourceData="1" parsePre="1" consecutive="1" xl2000="1" url="http://finance.yahoo.com/q/hp?s=AA+Historical+Prices" htmlTables="1">
      <tables count="1">
        <x v="15"/>
      </tables>
    </webPr>
  </connection>
  <connection id="3" name="Connection2" type="4" refreshedVersion="5" background="1" saveData="1">
    <webPr sourceData="1" parsePre="1" consecutive="1" xl2000="1" url="http://finance.yahoo.com/q?s=INTC" htmlTables="1">
      <tables count="2">
        <s v="table1"/>
        <s v="table2"/>
      </tables>
    </webPr>
  </connection>
  <connection id="4" name="Connection3" type="4" refreshedVersion="5" background="1" saveData="1">
    <webPr sourceData="1" parsePre="1" consecutive="1" xl2000="1" url="http://finance.yahoo.com/q/hp?s=INTC+Historical+Prices" htmlTables="1">
      <tables count="1">
        <x v="15"/>
      </tables>
    </webPr>
  </connection>
  <connection id="5" name="Connection4" type="4" refreshedVersion="5" background="1" saveData="1">
    <webPr sourceData="1" parsePre="1" consecutive="1" xl2000="1" url="http://finance.yahoo.com/q?s=CPN" htmlTables="1">
      <tables count="2">
        <s v="table1"/>
        <s v="table2"/>
      </tables>
    </webPr>
  </connection>
  <connection id="6" name="Connection5" type="4" refreshedVersion="5" background="1" saveData="1">
    <webPr sourceData="1" parsePre="1" consecutive="1" xl2000="1" url="http://finance.yahoo.com/q/hp?s=CPN+Historical+Prices" htmlTables="1">
      <tables count="1">
        <x v="15"/>
      </tables>
    </webPr>
  </connection>
  <connection id="7" name="Connection6" type="4" refreshedVersion="5" background="1" saveData="1">
    <webPr sourceData="1" parsePre="1" consecutive="1" xl2000="1" url="http://finance.yahoo.com/q?s=ALL" htmlTables="1">
      <tables count="2">
        <s v="table1"/>
        <s v="table2"/>
      </tables>
    </webPr>
  </connection>
  <connection id="8" name="Connection7" type="4" refreshedVersion="5" background="1" saveData="1">
    <webPr sourceData="1" parsePre="1" consecutive="1" xl2000="1" url="http://finance.yahoo.com/q/hp?s=ALL+Historical+Prices" htmlTables="1">
      <tables count="1">
        <x v="15"/>
      </tables>
    </webPr>
  </connection>
</connections>
</file>

<file path=xl/sharedStrings.xml><?xml version="1.0" encoding="utf-8"?>
<sst xmlns="http://schemas.openxmlformats.org/spreadsheetml/2006/main" count="946" uniqueCount="247">
  <si>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</si>
  <si>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</si>
  <si>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</si>
  <si>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</si>
  <si>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</si>
  <si>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</si>
  <si>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</si>
  <si>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</si>
  <si>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</si>
  <si>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</si>
  <si>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</si>
  <si>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</si>
  <si>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</si>
  <si>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</si>
  <si>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</si>
  <si>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</si>
  <si>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</si>
  <si>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</si>
  <si>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</si>
  <si>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</si>
  <si>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</si>
  <si>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</si>
  <si>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</si>
  <si>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</si>
  <si>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</si>
  <si>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</si>
  <si>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</si>
  <si>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</si>
  <si>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</si>
  <si>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</si>
  <si>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</si>
  <si>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</si>
  <si>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</si>
  <si>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</si>
  <si>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</si>
  <si>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</si>
  <si>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</si>
  <si>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</si>
  <si>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</si>
  <si>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</si>
  <si>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</si>
  <si>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</si>
  <si>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</si>
  <si>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</si>
  <si>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</si>
  <si>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</si>
  <si>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</si>
  <si>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</si>
  <si>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</si>
  <si>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</si>
  <si>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</si>
  <si>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</si>
  <si>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</si>
  <si>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</si>
  <si>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</si>
  <si>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</si>
  <si>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</si>
  <si>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</si>
  <si>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</si>
  <si>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</si>
  <si>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</si>
  <si>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</si>
  <si>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</si>
  <si>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</si>
  <si>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</si>
  <si>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</si>
  <si>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</si>
  <si>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</si>
  <si>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</si>
  <si>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</si>
  <si>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</si>
  <si>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</si>
  <si>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</si>
  <si>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</si>
  <si>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</si>
  <si>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</si>
  <si>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</si>
  <si>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</si>
  <si>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</si>
  <si>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</si>
  <si>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</si>
  <si>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</si>
  <si>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</si>
  <si>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</si>
  <si>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</si>
  <si>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</si>
  <si>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</si>
  <si>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</si>
  <si>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</si>
  <si>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</si>
  <si>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</si>
  <si>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</si>
  <si>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</si>
  <si>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</si>
  <si>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</si>
  <si>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</si>
  <si>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</si>
  <si>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</si>
  <si>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</si>
  <si>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</si>
  <si>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</si>
  <si>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</si>
  <si>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</si>
  <si>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</si>
  <si>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</si>
  <si>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</si>
  <si>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</si>
  <si>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</si>
  <si>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</si>
  <si>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</si>
  <si>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</si>
  <si>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</si>
  <si>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</si>
  <si>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</si>
  <si>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</si>
  <si>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</si>
  <si>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</si>
  <si>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</si>
  <si>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</si>
  <si>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</si>
  <si>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</si>
  <si>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</si>
  <si>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June</t>
  </si>
  <si>
    <t>Greenlight purchased 3.6m shares @42</t>
  </si>
  <si>
    <t>buy 20</t>
  </si>
  <si>
    <t>~9/10</t>
  </si>
  <si>
    <t>insider sell @132</t>
  </si>
  <si>
    <t>Disney to Build ‘Star Wars’ Themed Lands in Two Parks</t>
  </si>
  <si>
    <t>insider sell @118</t>
  </si>
  <si>
    <t>semi-annual</t>
  </si>
  <si>
    <t>need to find out what cars GM makes</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</si>
  <si>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</si>
  <si>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</si>
  <si>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</si>
  <si>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</si>
  <si>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</si>
  <si>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</si>
  <si>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</si>
  <si>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</si>
  <si>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</si>
  <si>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</si>
  <si>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</si>
  <si>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</si>
  <si>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</si>
  <si>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</si>
  <si>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</si>
  <si>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</si>
  <si>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</si>
  <si>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</si>
  <si>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</si>
  <si>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</si>
  <si>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</si>
  <si>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</si>
  <si>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</si>
  <si>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</si>
  <si>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</si>
  <si>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</si>
  <si>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</si>
  <si>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ER, EPS 2.14/Sales 1.74B meet. 7% gain during day before ER</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</si>
  <si>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</si>
  <si>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</si>
  <si>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</si>
  <si>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</si>
  <si>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</si>
  <si>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</si>
  <si>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</si>
  <si>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</si>
  <si>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</si>
  <si>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</si>
  <si>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</si>
  <si>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</si>
  <si>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</si>
  <si>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</si>
  <si>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Drivewise app telematics</t>
  </si>
  <si>
    <t>2015 citi global tech conference call</t>
  </si>
  <si>
    <t>Deutsche Bank 2015 Technology Conference</t>
  </si>
  <si>
    <t>Q3ER, est. -0.325, 1.58B</t>
  </si>
  <si>
    <t>merril power/gas conference</t>
  </si>
  <si>
    <t>Q3ER 0.586, 14.237B</t>
  </si>
  <si>
    <t>~10/13</t>
  </si>
  <si>
    <t>city global tech conference</t>
  </si>
  <si>
    <t>cumu P/L</t>
  </si>
  <si>
    <t>Leerink immuno-oncology roundtable</t>
  </si>
  <si>
    <t>ER/E</t>
  </si>
  <si>
    <t>J&amp;J, Gilead Sue Mylan Over Application to Sell Generic Complera</t>
  </si>
  <si>
    <t>Q3ER, C, after-mkt</t>
  </si>
  <si>
    <t>Prev Close:</t>
  </si>
  <si>
    <t>Open:</t>
  </si>
  <si>
    <t>Bid:</t>
  </si>
  <si>
    <t>Ask:</t>
  </si>
  <si>
    <t>1y Target Est:</t>
  </si>
  <si>
    <t>Beta:</t>
  </si>
  <si>
    <t>Next Earnings Date:</t>
  </si>
  <si>
    <t>Day's Range:</t>
  </si>
  <si>
    <t>52wk Range:</t>
  </si>
  <si>
    <t>Volume:</t>
  </si>
  <si>
    <t>Market Cap:</t>
  </si>
  <si>
    <t>12.43B</t>
  </si>
  <si>
    <t>Div &amp; Yield:</t>
  </si>
  <si>
    <t>9.48 x 100</t>
  </si>
  <si>
    <t>9.50 x 7900</t>
  </si>
  <si>
    <t>8-Oct-15AA Earnings announcement</t>
  </si>
  <si>
    <t>9.30 - 9.64</t>
  </si>
  <si>
    <t>7.97 - 17.75</t>
  </si>
  <si>
    <t>Avg Vol (3m):</t>
  </si>
  <si>
    <t>P/E (ttm):</t>
  </si>
  <si>
    <t>EPS (ttm):</t>
  </si>
  <si>
    <t>0.12 (1.50%)</t>
  </si>
  <si>
    <t>Yahoo:</t>
  </si>
  <si>
    <t>Date</t>
  </si>
  <si>
    <t>Open</t>
  </si>
  <si>
    <t>High</t>
  </si>
  <si>
    <t>Low</t>
  </si>
  <si>
    <t>Close</t>
  </si>
  <si>
    <t>Volume</t>
  </si>
  <si>
    <t>Adj Close*</t>
  </si>
  <si>
    <t>0.03 Dividend</t>
  </si>
  <si>
    <t>* Close price adjusted for dividends and splits.</t>
  </si>
  <si>
    <t>28.41 x 200</t>
  </si>
  <si>
    <t>28.73 x 200</t>
  </si>
  <si>
    <t>13-Oct-15INTC Earnings announcement</t>
  </si>
  <si>
    <t>28.41 - 28.90</t>
  </si>
  <si>
    <t>24.87 - 37.90</t>
  </si>
  <si>
    <t>135.61B</t>
  </si>
  <si>
    <t>0.96 (3.30%)</t>
  </si>
  <si>
    <t>0.24 Dividend</t>
  </si>
  <si>
    <t>Q3ER, est 0.791/1.89B</t>
  </si>
  <si>
    <t>15.09 x 100</t>
  </si>
  <si>
    <t>15.16 x 100</t>
  </si>
  <si>
    <t>Earnings Date:</t>
  </si>
  <si>
    <t>Nov 4 - Nov 9 (Est.)</t>
  </si>
  <si>
    <t>15.01 - 15.43</t>
  </si>
  <si>
    <t>14.93 - 24.37</t>
  </si>
  <si>
    <t>5.44B</t>
  </si>
  <si>
    <t>N/A (N/A)</t>
  </si>
  <si>
    <t>Event</t>
  </si>
  <si>
    <t>55.01 x 300</t>
  </si>
  <si>
    <t>57.54 x 300</t>
  </si>
  <si>
    <t>Oct 27 - Nov 2 (Est.)</t>
  </si>
  <si>
    <t>56.77 - 57.69</t>
  </si>
  <si>
    <t>54.12 - 72.87</t>
  </si>
  <si>
    <t>22.84B</t>
  </si>
  <si>
    <t>1.20 (2.07%)</t>
  </si>
  <si>
    <t>0.30 Dividend</t>
  </si>
  <si>
    <t>Barclays Global Financial Services Conf</t>
  </si>
  <si>
    <t>ex-div 9/16, pay 9/30@.42</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</si>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</sst>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d/yyyy;@"/>
    <numFmt numFmtId="165" formatCode="mm/dd/yy;@"/>
    <numFmt numFmtId="166" formatCode="0.000"/>
  </numFmts>
  <fonts count="21"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
      <b/>
      <sz val="15"/>
      <color theme="3"/>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bgColor indexed="64"/>
      </patternFill>
    </fill>
    <fill>
      <patternFill patternType="solid">
        <fgColor theme="0"/>
        <bgColor indexed="64"/>
      </patternFill>
    </fill>
  </fills>
  <borders count="11">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s>
  <cellStyleXfs count="3">
    <xf numFmtId="0" fontId="0" fillId="0" borderId="0"/>
    <xf numFmtId="0" fontId="5" fillId="0" borderId="0" applyNumberFormat="0" applyFill="0" applyBorder="0" applyAlignment="0" applyProtection="0"/>
    <xf numFmtId="0" fontId="20" fillId="0" borderId="6" applyNumberFormat="0" applyFill="0" applyAlignment="0" applyProtection="0"/>
  </cellStyleXfs>
  <cellXfs count="213">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0" borderId="0" xfId="0" applyFill="1" applyBorder="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0" borderId="0" xfId="0" applyFont="1"/>
    <xf numFmtId="0" fontId="0" fillId="2" borderId="1" xfId="0" applyFill="1" applyBorder="1"/>
    <xf numFmtId="2" fontId="0" fillId="2" borderId="1" xfId="0" applyNumberFormat="1" applyFill="1" applyBorder="1"/>
    <xf numFmtId="0" fontId="0" fillId="6" borderId="1" xfId="0" applyFill="1" applyBorder="1"/>
    <xf numFmtId="2" fontId="0" fillId="4" borderId="0" xfId="0" applyNumberFormat="1" applyFill="1"/>
    <xf numFmtId="0" fontId="3" fillId="0" borderId="1" xfId="0" applyFont="1" applyBorder="1"/>
    <xf numFmtId="0" fontId="3" fillId="0" borderId="0" xfId="0" applyFont="1" applyBorder="1"/>
    <xf numFmtId="0" fontId="4" fillId="0" borderId="0" xfId="0" applyFont="1" applyFill="1"/>
    <xf numFmtId="2" fontId="0" fillId="6"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2" fontId="7" fillId="0" borderId="2" xfId="0" applyNumberFormat="1" applyFont="1" applyFill="1" applyBorder="1" applyAlignment="1">
      <alignment horizontal="right" vertical="center"/>
    </xf>
    <xf numFmtId="2" fontId="7" fillId="2" borderId="2" xfId="0" applyNumberFormat="1" applyFont="1" applyFill="1" applyBorder="1" applyAlignment="1">
      <alignment horizontal="right" vertical="center"/>
    </xf>
    <xf numFmtId="0" fontId="7" fillId="2" borderId="2" xfId="0" applyFont="1" applyFill="1" applyBorder="1" applyAlignment="1">
      <alignment horizontal="right" vertical="center"/>
    </xf>
    <xf numFmtId="0" fontId="7" fillId="0" borderId="2" xfId="0" applyFont="1" applyFill="1" applyBorder="1" applyAlignment="1">
      <alignment horizontal="right" vertical="center"/>
    </xf>
    <xf numFmtId="16" fontId="7" fillId="0" borderId="2" xfId="0" applyNumberFormat="1" applyFont="1" applyFill="1" applyBorder="1" applyAlignment="1">
      <alignment horizontal="center" vertical="center"/>
    </xf>
    <xf numFmtId="0" fontId="7" fillId="0" borderId="2" xfId="0" applyFont="1" applyFill="1" applyBorder="1" applyAlignment="1">
      <alignment horizontal="center" vertical="center"/>
    </xf>
    <xf numFmtId="0" fontId="7" fillId="0" borderId="0" xfId="0" applyFont="1" applyFill="1" applyAlignment="1">
      <alignment horizontal="center" vertical="center"/>
    </xf>
    <xf numFmtId="0" fontId="7" fillId="2" borderId="2" xfId="0" applyFont="1" applyFill="1" applyBorder="1" applyAlignment="1">
      <alignment horizontal="center" vertical="center"/>
    </xf>
    <xf numFmtId="16" fontId="7" fillId="2" borderId="2" xfId="0" applyNumberFormat="1" applyFont="1" applyFill="1" applyBorder="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2" fontId="8"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0" fontId="7" fillId="0" borderId="2" xfId="0" applyNumberFormat="1" applyFont="1" applyFill="1" applyBorder="1" applyAlignment="1">
      <alignment horizontal="right" vertical="center"/>
    </xf>
    <xf numFmtId="10" fontId="7" fillId="2" borderId="2" xfId="0" applyNumberFormat="1" applyFont="1" applyFill="1" applyBorder="1" applyAlignment="1">
      <alignment horizontal="right" vertical="center"/>
    </xf>
    <xf numFmtId="10" fontId="7"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6"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1" borderId="0" xfId="0" applyNumberFormat="1" applyFill="1"/>
    <xf numFmtId="2" fontId="0" fillId="2" borderId="3" xfId="0" applyNumberFormat="1" applyFill="1" applyBorder="1"/>
    <xf numFmtId="2" fontId="3" fillId="2" borderId="1" xfId="0" applyNumberFormat="1" applyFont="1" applyFill="1" applyBorder="1"/>
    <xf numFmtId="2" fontId="0" fillId="10" borderId="0" xfId="0" applyNumberFormat="1" applyFill="1"/>
    <xf numFmtId="2" fontId="0" fillId="8" borderId="0" xfId="0" applyNumberFormat="1" applyFill="1"/>
    <xf numFmtId="165" fontId="0" fillId="0" borderId="0" xfId="0" applyNumberFormat="1"/>
    <xf numFmtId="165" fontId="3" fillId="0" borderId="0" xfId="0" applyNumberFormat="1" applyFont="1"/>
    <xf numFmtId="2" fontId="0" fillId="7" borderId="0" xfId="0" applyNumberFormat="1" applyFill="1"/>
    <xf numFmtId="2" fontId="0" fillId="9"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6" fillId="0" borderId="0" xfId="0" applyNumberFormat="1" applyFont="1" applyFill="1" applyAlignment="1">
      <alignment horizontal="center" vertical="center"/>
    </xf>
    <xf numFmtId="0" fontId="9" fillId="0" borderId="0" xfId="0" applyFont="1" applyFill="1" applyAlignment="1">
      <alignment horizontal="center" vertical="center"/>
    </xf>
    <xf numFmtId="0" fontId="10" fillId="12" borderId="4" xfId="0" applyFont="1" applyFill="1" applyBorder="1" applyAlignment="1">
      <alignment horizontal="center" vertical="center"/>
    </xf>
    <xf numFmtId="0" fontId="11" fillId="12" borderId="4" xfId="0" applyFont="1" applyFill="1" applyBorder="1" applyAlignment="1">
      <alignment horizontal="center" vertical="center"/>
    </xf>
    <xf numFmtId="0" fontId="11" fillId="12" borderId="4" xfId="0" applyFont="1" applyFill="1" applyBorder="1" applyAlignment="1">
      <alignment horizontal="right" vertical="center"/>
    </xf>
    <xf numFmtId="2" fontId="11" fillId="12" borderId="4" xfId="0" applyNumberFormat="1" applyFont="1" applyFill="1" applyBorder="1" applyAlignment="1">
      <alignment horizontal="right" vertical="center"/>
    </xf>
    <xf numFmtId="2" fontId="7" fillId="0" borderId="0" xfId="0" applyNumberFormat="1" applyFont="1" applyFill="1" applyAlignment="1">
      <alignment vertical="center"/>
    </xf>
    <xf numFmtId="2" fontId="0" fillId="0" borderId="0" xfId="0" applyNumberFormat="1" applyBorder="1"/>
    <xf numFmtId="0" fontId="0" fillId="13" borderId="0" xfId="0" applyFill="1"/>
    <xf numFmtId="2" fontId="0" fillId="13"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4" fillId="0" borderId="0" xfId="0" applyNumberFormat="1" applyFont="1"/>
    <xf numFmtId="0" fontId="14" fillId="0" borderId="0" xfId="0" applyFont="1"/>
    <xf numFmtId="0" fontId="13" fillId="14" borderId="0" xfId="1" applyFont="1" applyFill="1"/>
    <xf numFmtId="0" fontId="14" fillId="14" borderId="0" xfId="0" applyFont="1" applyFill="1"/>
    <xf numFmtId="0" fontId="14" fillId="0" borderId="0" xfId="0" applyFont="1" applyFill="1"/>
    <xf numFmtId="0" fontId="13" fillId="0" borderId="0" xfId="1" applyFont="1" applyFill="1"/>
    <xf numFmtId="0" fontId="12" fillId="0" borderId="0" xfId="0" applyFont="1"/>
    <xf numFmtId="2" fontId="0" fillId="2" borderId="0" xfId="0" applyNumberFormat="1" applyFill="1" applyAlignment="1">
      <alignment wrapText="1"/>
    </xf>
    <xf numFmtId="2" fontId="0" fillId="6" borderId="0" xfId="0" applyNumberFormat="1" applyFill="1" applyAlignment="1">
      <alignment wrapText="1"/>
    </xf>
    <xf numFmtId="0" fontId="15" fillId="14" borderId="0" xfId="0" applyFont="1" applyFill="1" applyAlignment="1">
      <alignment horizontal="center" vertical="center"/>
    </xf>
    <xf numFmtId="2" fontId="15" fillId="14" borderId="0" xfId="0" applyNumberFormat="1" applyFont="1" applyFill="1" applyAlignment="1">
      <alignment horizontal="center" vertical="center"/>
    </xf>
    <xf numFmtId="10" fontId="15" fillId="14" borderId="0" xfId="0" applyNumberFormat="1" applyFont="1" applyFill="1" applyAlignment="1">
      <alignment horizontal="center" vertical="center"/>
    </xf>
    <xf numFmtId="0" fontId="12" fillId="0" borderId="0" xfId="0" applyFont="1" applyAlignment="1">
      <alignment horizontal="center" vertical="center"/>
    </xf>
    <xf numFmtId="0" fontId="15" fillId="14" borderId="0" xfId="0" applyFont="1" applyFill="1" applyBorder="1" applyAlignment="1">
      <alignment horizontal="center" vertical="center"/>
    </xf>
    <xf numFmtId="0" fontId="14" fillId="14" borderId="0" xfId="0" applyFont="1" applyFill="1" applyBorder="1"/>
    <xf numFmtId="0" fontId="13" fillId="14" borderId="0" xfId="1" applyFont="1" applyFill="1" applyBorder="1"/>
    <xf numFmtId="0" fontId="14" fillId="0" borderId="0" xfId="0" applyFont="1" applyBorder="1"/>
    <xf numFmtId="0" fontId="5" fillId="0" borderId="0" xfId="1" applyAlignment="1">
      <alignment horizontal="center"/>
    </xf>
    <xf numFmtId="0" fontId="14" fillId="0" borderId="0" xfId="0" applyFont="1" applyAlignment="1">
      <alignment horizontal="center"/>
    </xf>
    <xf numFmtId="10" fontId="7"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65" fontId="0" fillId="0" borderId="0" xfId="0" applyNumberFormat="1" applyAlignment="1">
      <alignment horizontal="left"/>
    </xf>
    <xf numFmtId="0" fontId="3" fillId="15" borderId="1" xfId="0" applyFont="1" applyFill="1" applyBorder="1"/>
    <xf numFmtId="0" fontId="0" fillId="15" borderId="1" xfId="0" applyFill="1" applyBorder="1"/>
    <xf numFmtId="2" fontId="0" fillId="15" borderId="1" xfId="0" applyNumberFormat="1" applyFill="1" applyBorder="1"/>
    <xf numFmtId="165" fontId="16" fillId="0" borderId="0" xfId="0" applyNumberFormat="1" applyFont="1"/>
    <xf numFmtId="0" fontId="17" fillId="0" borderId="0" xfId="0" applyFont="1"/>
    <xf numFmtId="0" fontId="16"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6"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16" fontId="0" fillId="5" borderId="0" xfId="0" applyNumberFormat="1" applyFill="1"/>
    <xf numFmtId="2" fontId="4" fillId="0" borderId="0" xfId="0" applyNumberFormat="1" applyFont="1" applyFill="1"/>
    <xf numFmtId="1" fontId="3" fillId="0" borderId="0" xfId="0" applyNumberFormat="1" applyFont="1"/>
    <xf numFmtId="1" fontId="4" fillId="4" borderId="0" xfId="0" applyNumberFormat="1" applyFont="1" applyFill="1"/>
    <xf numFmtId="1" fontId="0" fillId="2" borderId="1" xfId="0" applyNumberFormat="1" applyFill="1" applyBorder="1"/>
    <xf numFmtId="16" fontId="0" fillId="16" borderId="0" xfId="0" applyNumberFormat="1" applyFill="1"/>
    <xf numFmtId="0" fontId="0" fillId="16" borderId="0" xfId="0" applyFill="1"/>
    <xf numFmtId="2" fontId="0" fillId="16" borderId="0" xfId="0" applyNumberFormat="1" applyFill="1"/>
    <xf numFmtId="166" fontId="3" fillId="0" borderId="0" xfId="0" applyNumberFormat="1" applyFont="1"/>
    <xf numFmtId="166" fontId="0" fillId="3" borderId="0" xfId="0" applyNumberFormat="1" applyFill="1"/>
    <xf numFmtId="166" fontId="0" fillId="4" borderId="0" xfId="0" applyNumberFormat="1" applyFill="1"/>
    <xf numFmtId="166" fontId="0" fillId="5" borderId="0" xfId="0" applyNumberFormat="1" applyFill="1"/>
    <xf numFmtId="166" fontId="0" fillId="0" borderId="0" xfId="0" applyNumberFormat="1"/>
    <xf numFmtId="166" fontId="0" fillId="6" borderId="1" xfId="0" applyNumberFormat="1" applyFill="1" applyBorder="1"/>
    <xf numFmtId="0" fontId="0" fillId="17" borderId="0" xfId="0" applyFill="1"/>
    <xf numFmtId="2" fontId="0" fillId="17" borderId="0" xfId="0" applyNumberFormat="1" applyFill="1"/>
    <xf numFmtId="166" fontId="0" fillId="17" borderId="0" xfId="0" applyNumberFormat="1" applyFill="1"/>
    <xf numFmtId="1" fontId="0" fillId="3" borderId="0" xfId="0" applyNumberFormat="1" applyFill="1"/>
    <xf numFmtId="1" fontId="0" fillId="5" borderId="0" xfId="0" applyNumberFormat="1" applyFill="1"/>
    <xf numFmtId="1" fontId="0" fillId="17"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10" borderId="0" xfId="0" applyFont="1" applyFill="1" applyAlignment="1">
      <alignment horizontal="left"/>
    </xf>
    <xf numFmtId="0" fontId="0" fillId="10" borderId="0" xfId="0" applyFill="1" applyAlignment="1">
      <alignment horizontal="left"/>
    </xf>
    <xf numFmtId="15" fontId="0" fillId="10" borderId="0" xfId="0" applyNumberFormat="1" applyFill="1" applyAlignment="1">
      <alignment horizontal="left"/>
    </xf>
    <xf numFmtId="3" fontId="0" fillId="10" borderId="0" xfId="0" applyNumberFormat="1" applyFill="1" applyAlignment="1">
      <alignment horizontal="left"/>
    </xf>
    <xf numFmtId="0" fontId="20" fillId="10" borderId="6" xfId="2" applyFill="1" applyAlignment="1">
      <alignment horizontal="left"/>
    </xf>
    <xf numFmtId="0" fontId="3" fillId="10" borderId="0" xfId="0" applyFont="1" applyFill="1" applyAlignment="1">
      <alignment horizontal="right"/>
    </xf>
    <xf numFmtId="0" fontId="3" fillId="10" borderId="0" xfId="0" applyFont="1" applyFill="1"/>
    <xf numFmtId="15" fontId="0" fillId="10" borderId="0" xfId="0" applyNumberFormat="1" applyFill="1" applyAlignment="1">
      <alignment horizontal="right"/>
    </xf>
    <xf numFmtId="3" fontId="0" fillId="10" borderId="0" xfId="0" applyNumberFormat="1" applyFill="1"/>
    <xf numFmtId="0" fontId="0" fillId="10" borderId="0" xfId="0" applyFill="1" applyAlignment="1">
      <alignment horizontal="center"/>
    </xf>
    <xf numFmtId="0" fontId="3" fillId="10" borderId="7" xfId="0" applyFont="1" applyFill="1" applyBorder="1" applyAlignment="1">
      <alignment horizontal="left"/>
    </xf>
    <xf numFmtId="0" fontId="0" fillId="10" borderId="7" xfId="0" applyFill="1" applyBorder="1" applyAlignment="1">
      <alignment horizontal="left"/>
    </xf>
    <xf numFmtId="15" fontId="0" fillId="10" borderId="0" xfId="0" applyNumberFormat="1" applyFont="1" applyFill="1"/>
    <xf numFmtId="0" fontId="0" fillId="10" borderId="0" xfId="0" applyFont="1" applyFill="1"/>
    <xf numFmtId="3" fontId="0" fillId="10" borderId="0" xfId="0" applyNumberFormat="1" applyFont="1" applyFill="1"/>
    <xf numFmtId="2" fontId="3" fillId="10" borderId="0" xfId="0" applyNumberFormat="1" applyFont="1" applyFill="1"/>
    <xf numFmtId="2" fontId="0" fillId="10" borderId="0" xfId="0" applyNumberFormat="1" applyFont="1" applyFill="1"/>
    <xf numFmtId="3" fontId="0" fillId="8" borderId="0" xfId="0" applyNumberFormat="1" applyFill="1"/>
    <xf numFmtId="0" fontId="20" fillId="8" borderId="6" xfId="2" applyFill="1"/>
    <xf numFmtId="0" fontId="0" fillId="8" borderId="0" xfId="0" applyFill="1" applyAlignment="1">
      <alignment horizontal="right"/>
    </xf>
    <xf numFmtId="3" fontId="0" fillId="8" borderId="0" xfId="0" applyNumberFormat="1" applyFill="1" applyAlignment="1">
      <alignment horizontal="right"/>
    </xf>
    <xf numFmtId="0" fontId="3" fillId="8" borderId="0" xfId="0" applyFont="1" applyFill="1"/>
    <xf numFmtId="0" fontId="0" fillId="0" borderId="0" xfId="0" applyFill="1" applyAlignment="1">
      <alignment horizontal="right"/>
    </xf>
    <xf numFmtId="15" fontId="0" fillId="8" borderId="0" xfId="0" applyNumberFormat="1" applyFill="1"/>
    <xf numFmtId="2" fontId="3" fillId="8" borderId="0" xfId="0" applyNumberFormat="1" applyFont="1" applyFill="1"/>
    <xf numFmtId="0" fontId="20" fillId="8" borderId="6" xfId="2" applyFill="1" applyAlignment="1">
      <alignment horizontal="left"/>
    </xf>
    <xf numFmtId="0" fontId="3" fillId="8"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16" fillId="0" borderId="0" xfId="0" applyFont="1" applyAlignment="1">
      <alignment horizontal="left"/>
    </xf>
    <xf numFmtId="10" fontId="15" fillId="14" borderId="0" xfId="0" applyNumberFormat="1" applyFont="1" applyFill="1" applyAlignment="1">
      <alignment horizontal="right" vertical="center"/>
    </xf>
    <xf numFmtId="10" fontId="5" fillId="0" borderId="0" xfId="1" applyNumberFormat="1" applyAlignment="1">
      <alignment horizontal="right"/>
    </xf>
    <xf numFmtId="10" fontId="14" fillId="0" borderId="0" xfId="0" applyNumberFormat="1" applyFont="1" applyAlignment="1">
      <alignment horizontal="right"/>
    </xf>
    <xf numFmtId="0" fontId="0" fillId="18" borderId="0" xfId="0" applyFill="1"/>
    <xf numFmtId="2" fontId="0" fillId="18" borderId="0" xfId="0" applyNumberFormat="1" applyFill="1"/>
    <xf numFmtId="0" fontId="0" fillId="19" borderId="0" xfId="0" applyFill="1"/>
    <xf numFmtId="2" fontId="0" fillId="19" borderId="0" xfId="0" applyNumberFormat="1" applyFill="1"/>
    <xf numFmtId="1" fontId="0" fillId="19" borderId="0" xfId="0" applyNumberFormat="1" applyFill="1"/>
    <xf numFmtId="2" fontId="4" fillId="19" borderId="0" xfId="0" applyNumberFormat="1" applyFont="1" applyFill="1"/>
    <xf numFmtId="0" fontId="3" fillId="0" borderId="0" xfId="0" applyFont="1" applyAlignment="1">
      <alignment horizontal="right" vertical="center"/>
    </xf>
    <xf numFmtId="16" fontId="0" fillId="0" borderId="0" xfId="0" applyNumberFormat="1" applyFill="1" applyAlignment="1">
      <alignment horizontal="right"/>
    </xf>
    <xf numFmtId="0" fontId="0" fillId="6" borderId="1" xfId="0" applyFill="1" applyBorder="1" applyAlignment="1">
      <alignment horizontal="right"/>
    </xf>
    <xf numFmtId="0" fontId="7" fillId="2" borderId="0" xfId="0" applyFont="1" applyFill="1" applyAlignment="1">
      <alignment horizontal="center" vertical="center"/>
    </xf>
    <xf numFmtId="2" fontId="6" fillId="0" borderId="0" xfId="0" applyNumberFormat="1" applyFont="1" applyFill="1" applyAlignment="1">
      <alignment horizontal="center" vertical="center"/>
    </xf>
    <xf numFmtId="0" fontId="8" fillId="0" borderId="2" xfId="0" applyFont="1" applyFill="1" applyBorder="1" applyAlignment="1">
      <alignment horizontal="center" vertical="center"/>
    </xf>
    <xf numFmtId="0" fontId="8" fillId="2" borderId="2" xfId="0" applyFont="1" applyFill="1" applyBorder="1" applyAlignment="1">
      <alignment horizontal="center" vertical="center"/>
    </xf>
    <xf numFmtId="0" fontId="9" fillId="0" borderId="5" xfId="0" applyFont="1" applyFill="1" applyBorder="1" applyAlignment="1">
      <alignment horizontal="center" vertical="center"/>
    </xf>
    <xf numFmtId="0" fontId="9" fillId="0" borderId="0" xfId="0" applyFont="1" applyFill="1" applyAlignment="1">
      <alignment horizontal="center" vertical="center"/>
    </xf>
    <xf numFmtId="0" fontId="8" fillId="2" borderId="8" xfId="0" applyFont="1" applyFill="1" applyBorder="1" applyAlignment="1">
      <alignment horizontal="center" vertical="center"/>
    </xf>
    <xf numFmtId="0" fontId="8" fillId="2" borderId="9" xfId="0" applyFont="1" applyFill="1" applyBorder="1" applyAlignment="1">
      <alignment horizontal="center" vertical="center"/>
    </xf>
    <xf numFmtId="0" fontId="8" fillId="2" borderId="10" xfId="0" applyFont="1" applyFill="1" applyBorder="1" applyAlignment="1">
      <alignment horizontal="center" vertical="center"/>
    </xf>
    <xf numFmtId="0" fontId="20" fillId="10" borderId="6" xfId="2" applyFill="1" applyAlignment="1">
      <alignment horizontal="center"/>
    </xf>
    <xf numFmtId="16" fontId="0" fillId="0" borderId="0" xfId="0" applyNumberFormat="1" applyFill="1" applyAlignment="1">
      <alignment horizontal="right" vertical="center"/>
    </xf>
    <xf numFmtId="16" fontId="0" fillId="0" borderId="4" xfId="0" applyNumberFormat="1" applyFill="1" applyBorder="1" applyAlignment="1">
      <alignment horizontal="right" vertical="center"/>
    </xf>
    <xf numFmtId="16" fontId="0" fillId="0" borderId="0" xfId="0" applyNumberFormat="1" applyAlignment="1">
      <alignment horizontal="right" vertical="center"/>
    </xf>
    <xf numFmtId="16" fontId="7" fillId="20" borderId="2" xfId="0" applyNumberFormat="1" applyFont="1" applyFill="1" applyBorder="1" applyAlignment="1">
      <alignment horizontal="center" vertical="center"/>
    </xf>
    <xf numFmtId="0" fontId="7" fillId="20" borderId="2" xfId="0" applyFont="1" applyFill="1" applyBorder="1" applyAlignment="1">
      <alignment horizontal="right" vertical="center"/>
    </xf>
    <xf numFmtId="2" fontId="7" fillId="20" borderId="2" xfId="0" applyNumberFormat="1" applyFont="1" applyFill="1" applyBorder="1" applyAlignment="1">
      <alignment horizontal="right" vertical="center"/>
    </xf>
    <xf numFmtId="0" fontId="7" fillId="20" borderId="2" xfId="0" applyFont="1" applyFill="1" applyBorder="1" applyAlignment="1">
      <alignment horizontal="center" vertical="center"/>
    </xf>
    <xf numFmtId="0" fontId="8" fillId="20" borderId="9" xfId="0" applyFont="1" applyFill="1" applyBorder="1" applyAlignment="1">
      <alignment horizontal="center" vertical="center"/>
    </xf>
    <xf numFmtId="0" fontId="7" fillId="20" borderId="0" xfId="0" applyFont="1" applyFill="1" applyAlignment="1">
      <alignment horizontal="center" vertical="center"/>
    </xf>
    <xf numFmtId="10" fontId="7" fillId="20" borderId="2" xfId="0" applyNumberFormat="1" applyFont="1" applyFill="1" applyBorder="1" applyAlignment="1">
      <alignment horizontal="right" vertical="center"/>
    </xf>
    <xf numFmtId="0" fontId="8" fillId="20" borderId="10" xfId="0" applyFont="1" applyFill="1" applyBorder="1" applyAlignment="1">
      <alignment horizontal="center" vertical="center"/>
    </xf>
  </cellXfs>
  <cellStyles count="3">
    <cellStyle name="Heading 1" xfId="2" builtinId="16"/>
    <cellStyle name="Hyperlink" xfId="1" builtinId="8"/>
    <cellStyle name="Normal" xfId="0" builtinId="0"/>
  </cellStyles>
  <dxfs count="56">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CLOSED!$C$152</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CLOSED!$B$153:$B$209</c:f>
              <c:numCache>
                <c:formatCode>m/d/yyyy</c:formatCode>
                <c:ptCount val="57"/>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42261</c:v>
                </c:pt>
                <c:pt idx="21">
                  <c:v>42262</c:v>
                </c:pt>
                <c:pt idx="22">
                  <c:v>42263</c:v>
                </c:pt>
                <c:pt idx="23">
                  <c:v>42264</c:v>
                </c:pt>
              </c:numCache>
            </c:numRef>
          </c:xVal>
          <c:yVal>
            <c:numRef>
              <c:f>CLOSED!$C$153:$C$209</c:f>
              <c:numCache>
                <c:formatCode>0.00</c:formatCode>
                <c:ptCount val="57"/>
                <c:pt idx="1">
                  <c:v>322588.21000000002</c:v>
                </c:pt>
                <c:pt idx="2">
                  <c:v>319994.03000000003</c:v>
                </c:pt>
                <c:pt idx="3">
                  <c:v>311839.78000000003</c:v>
                </c:pt>
                <c:pt idx="4">
                  <c:v>301697.40999999997</c:v>
                </c:pt>
                <c:pt idx="5">
                  <c:v>295093.56</c:v>
                </c:pt>
                <c:pt idx="6">
                  <c:v>283095.28999999998</c:v>
                </c:pt>
                <c:pt idx="7">
                  <c:v>276943.21000000002</c:v>
                </c:pt>
                <c:pt idx="8">
                  <c:v>284832.2</c:v>
                </c:pt>
                <c:pt idx="9">
                  <c:v>300742.98</c:v>
                </c:pt>
                <c:pt idx="10">
                  <c:v>307941.06</c:v>
                </c:pt>
                <c:pt idx="11">
                  <c:v>311200.71000000002</c:v>
                </c:pt>
                <c:pt idx="12">
                  <c:v>307440.78999999998</c:v>
                </c:pt>
                <c:pt idx="13">
                  <c:v>326031.94</c:v>
                </c:pt>
                <c:pt idx="14">
                  <c:v>328219.34000000003</c:v>
                </c:pt>
                <c:pt idx="15">
                  <c:v>324929.40000000002</c:v>
                </c:pt>
                <c:pt idx="16">
                  <c:v>331613.90000000002</c:v>
                </c:pt>
                <c:pt idx="17">
                  <c:v>321792.48</c:v>
                </c:pt>
                <c:pt idx="18">
                  <c:v>323344.99</c:v>
                </c:pt>
              </c:numCache>
            </c:numRef>
          </c:yVal>
          <c:smooth val="1"/>
        </c:ser>
        <c:dLbls>
          <c:showLegendKey val="0"/>
          <c:showVal val="0"/>
          <c:showCatName val="0"/>
          <c:showSerName val="0"/>
          <c:showPercent val="0"/>
          <c:showBubbleSize val="0"/>
        </c:dLbls>
        <c:axId val="195507824"/>
        <c:axId val="195610200"/>
      </c:scatterChart>
      <c:valAx>
        <c:axId val="195507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610200"/>
        <c:crosses val="autoZero"/>
        <c:crossBetween val="midCat"/>
      </c:valAx>
      <c:valAx>
        <c:axId val="195610200"/>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507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CLOSED!$C$152</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CLOSED!$B$153:$B$209</c:f>
              <c:numCache>
                <c:formatCode>m/d/yyyy</c:formatCode>
                <c:ptCount val="57"/>
                <c:pt idx="1">
                  <c:v>42233</c:v>
                </c:pt>
                <c:pt idx="2">
                  <c:v>42234</c:v>
                </c:pt>
                <c:pt idx="3">
                  <c:v>42235</c:v>
                </c:pt>
                <c:pt idx="4">
                  <c:v>42236</c:v>
                </c:pt>
                <c:pt idx="5">
                  <c:v>42237</c:v>
                </c:pt>
                <c:pt idx="6">
                  <c:v>42240</c:v>
                </c:pt>
                <c:pt idx="7">
                  <c:v>42241</c:v>
                </c:pt>
                <c:pt idx="8">
                  <c:v>42242</c:v>
                </c:pt>
                <c:pt idx="9">
                  <c:v>42243</c:v>
                </c:pt>
                <c:pt idx="10">
                  <c:v>42244</c:v>
                </c:pt>
                <c:pt idx="11">
                  <c:v>42247</c:v>
                </c:pt>
                <c:pt idx="12">
                  <c:v>42248</c:v>
                </c:pt>
                <c:pt idx="13">
                  <c:v>42249</c:v>
                </c:pt>
                <c:pt idx="14">
                  <c:v>42250</c:v>
                </c:pt>
                <c:pt idx="15">
                  <c:v>42251</c:v>
                </c:pt>
                <c:pt idx="16">
                  <c:v>42255</c:v>
                </c:pt>
                <c:pt idx="17">
                  <c:v>42256</c:v>
                </c:pt>
                <c:pt idx="18">
                  <c:v>42257</c:v>
                </c:pt>
                <c:pt idx="19">
                  <c:v>42258</c:v>
                </c:pt>
                <c:pt idx="20">
                  <c:v>42261</c:v>
                </c:pt>
                <c:pt idx="21">
                  <c:v>42262</c:v>
                </c:pt>
                <c:pt idx="22">
                  <c:v>42263</c:v>
                </c:pt>
                <c:pt idx="23">
                  <c:v>42264</c:v>
                </c:pt>
              </c:numCache>
            </c:numRef>
          </c:xVal>
          <c:yVal>
            <c:numRef>
              <c:f>CLOSED!$E$153:$E$209</c:f>
              <c:numCache>
                <c:formatCode>0.00</c:formatCode>
                <c:ptCount val="57"/>
                <c:pt idx="1">
                  <c:v>-37411.789999999979</c:v>
                </c:pt>
                <c:pt idx="2">
                  <c:v>-40005.969999999972</c:v>
                </c:pt>
                <c:pt idx="3">
                  <c:v>-48160.219999999972</c:v>
                </c:pt>
                <c:pt idx="4">
                  <c:v>-58302.590000000026</c:v>
                </c:pt>
                <c:pt idx="5">
                  <c:v>-64906.44</c:v>
                </c:pt>
                <c:pt idx="6">
                  <c:v>-76904.710000000021</c:v>
                </c:pt>
                <c:pt idx="7">
                  <c:v>-83056.789999999979</c:v>
                </c:pt>
                <c:pt idx="8">
                  <c:v>-75167.799999999988</c:v>
                </c:pt>
                <c:pt idx="9">
                  <c:v>-59257.020000000019</c:v>
                </c:pt>
                <c:pt idx="10">
                  <c:v>-52058.94</c:v>
                </c:pt>
                <c:pt idx="11">
                  <c:v>-48799.289999999979</c:v>
                </c:pt>
                <c:pt idx="12">
                  <c:v>-57559.210000000021</c:v>
                </c:pt>
                <c:pt idx="13">
                  <c:v>-53968.06</c:v>
                </c:pt>
                <c:pt idx="14">
                  <c:v>-51780.659999999974</c:v>
                </c:pt>
                <c:pt idx="15">
                  <c:v>-55070.599999999977</c:v>
                </c:pt>
                <c:pt idx="16">
                  <c:v>-48386.099999999977</c:v>
                </c:pt>
                <c:pt idx="17">
                  <c:v>-58207.520000000019</c:v>
                </c:pt>
                <c:pt idx="18">
                  <c:v>-56655.010000000009</c:v>
                </c:pt>
              </c:numCache>
            </c:numRef>
          </c:yVal>
          <c:smooth val="1"/>
        </c:ser>
        <c:dLbls>
          <c:showLegendKey val="0"/>
          <c:showVal val="0"/>
          <c:showCatName val="0"/>
          <c:showSerName val="0"/>
          <c:showPercent val="0"/>
          <c:showBubbleSize val="0"/>
        </c:dLbls>
        <c:axId val="196264584"/>
        <c:axId val="196123080"/>
      </c:scatterChart>
      <c:valAx>
        <c:axId val="196264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123080"/>
        <c:crosses val="autoZero"/>
        <c:crossBetween val="midCat"/>
      </c:valAx>
      <c:valAx>
        <c:axId val="196123080"/>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64584"/>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www.alcoa.com/global/en/investment/info_page/home.asp" TargetMode="External"/></Relationships>
</file>

<file path=xl/drawings/_rels/drawing10.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hyperlink" Target="http://www.allstateinvestors.com/phoenix.zhtml?c=93125&amp;p=irol-irhome" TargetMode="External"/></Relationships>
</file>

<file path=xl/drawings/_rels/drawing1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ttp://ir.ctwater.com/investors/overview/default.aspx" TargetMode="External"/></Relationships>
</file>

<file path=xl/drawings/_rels/drawing1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http://investors.avagotech.com/" TargetMode="External"/></Relationships>
</file>

<file path=xl/drawings/_rels/drawing1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8" Type="http://schemas.openxmlformats.org/officeDocument/2006/relationships/image" Target="../media/image30.png"/><Relationship Id="rId3" Type="http://schemas.openxmlformats.org/officeDocument/2006/relationships/image" Target="../media/image25.png"/><Relationship Id="rId7" Type="http://schemas.openxmlformats.org/officeDocument/2006/relationships/image" Target="../media/image29.jpe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11" Type="http://schemas.openxmlformats.org/officeDocument/2006/relationships/image" Target="../media/image33.jpeg"/><Relationship Id="rId5" Type="http://schemas.openxmlformats.org/officeDocument/2006/relationships/image" Target="../media/image27.png"/><Relationship Id="rId10" Type="http://schemas.openxmlformats.org/officeDocument/2006/relationships/image" Target="../media/image32.jpeg"/><Relationship Id="rId4" Type="http://schemas.openxmlformats.org/officeDocument/2006/relationships/image" Target="../media/image26.png"/><Relationship Id="rId9" Type="http://schemas.openxmlformats.org/officeDocument/2006/relationships/image" Target="../media/image3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3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5.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gif"/></Relationships>
</file>

<file path=xl/drawings/_rels/drawing29.xml.rels><?xml version="1.0" encoding="UTF-8" standalone="yes"?>
<Relationships xmlns="http://schemas.openxmlformats.org/package/2006/relationships"><Relationship Id="rId1" Type="http://schemas.openxmlformats.org/officeDocument/2006/relationships/image" Target="../media/image40.jpeg"/></Relationships>
</file>

<file path=xl/drawings/drawing1.xml><?xml version="1.0" encoding="utf-8"?>
<xdr:wsDr xmlns:xdr="http://schemas.openxmlformats.org/drawingml/2006/spreadsheetDrawing" xmlns:a="http://schemas.openxmlformats.org/drawingml/2006/main">
  <xdr:twoCellAnchor>
    <xdr:from>
      <xdr:col>6</xdr:col>
      <xdr:colOff>633411</xdr:colOff>
      <xdr:row>149</xdr:row>
      <xdr:rowOff>138112</xdr:rowOff>
    </xdr:from>
    <xdr:to>
      <xdr:col>15</xdr:col>
      <xdr:colOff>19049</xdr:colOff>
      <xdr:row>164</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165</xdr:row>
      <xdr:rowOff>9525</xdr:rowOff>
    </xdr:from>
    <xdr:to>
      <xdr:col>15</xdr:col>
      <xdr:colOff>23813</xdr:colOff>
      <xdr:row>180</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20</xdr:row>
      <xdr:rowOff>47625</xdr:rowOff>
    </xdr:from>
    <xdr:to>
      <xdr:col>2</xdr:col>
      <xdr:colOff>600075</xdr:colOff>
      <xdr:row>24</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xdr:row>
      <xdr:rowOff>133350</xdr:rowOff>
    </xdr:from>
    <xdr:to>
      <xdr:col>2</xdr:col>
      <xdr:colOff>514350</xdr:colOff>
      <xdr:row>13</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19051</xdr:colOff>
      <xdr:row>8</xdr:row>
      <xdr:rowOff>76200</xdr:rowOff>
    </xdr:from>
    <xdr:to>
      <xdr:col>18</xdr:col>
      <xdr:colOff>0</xdr:colOff>
      <xdr:row>13</xdr:row>
      <xdr:rowOff>149084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77276" y="1600200"/>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416772</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16</xdr:col>
      <xdr:colOff>685800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hp?s=CPN+Historical+Prices" adjustColumnWidth="0"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PN"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INTC+Historical+Prices" adjustColumnWidth="0"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INTC"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aa&amp;ql=1"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AA+Historical+Prices_1" adjustColumnWidth="0"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LL+Historical+Prices" adjustColumnWidth="0" connectionId="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LL" connectionId="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queryTable" Target="../queryTables/queryTable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O176"/>
  <sheetViews>
    <sheetView workbookViewId="0">
      <pane ySplit="1" topLeftCell="A151" activePane="bottomLeft" state="frozen"/>
      <selection activeCell="E5" sqref="E5"/>
      <selection pane="bottomLeft" activeCell="C179" sqref="C179"/>
    </sheetView>
  </sheetViews>
  <sheetFormatPr defaultRowHeight="18" customHeight="1" outlineLevelRow="1" x14ac:dyDescent="0.25"/>
  <cols>
    <col min="1" max="1" width="9.140625" style="33"/>
    <col min="2" max="2" width="11.28515625" style="40" customWidth="1"/>
    <col min="3" max="3" width="13.85546875" style="46" customWidth="1"/>
    <col min="4" max="4" width="12.5703125" style="40" customWidth="1"/>
    <col min="5" max="5" width="12.5703125" style="44" customWidth="1"/>
    <col min="6" max="6" width="13.7109375" style="40" customWidth="1"/>
    <col min="7" max="7" width="11.7109375" style="46" customWidth="1"/>
    <col min="8" max="8" width="12.42578125" style="40" customWidth="1"/>
    <col min="9" max="9" width="12.42578125" style="44" customWidth="1"/>
    <col min="10" max="10" width="9.28515625" style="40" bestFit="1" customWidth="1"/>
    <col min="11" max="11" width="9.28515625" style="44" bestFit="1" customWidth="1"/>
    <col min="12" max="12" width="11.42578125" style="46" bestFit="1" customWidth="1"/>
    <col min="13" max="13" width="9.28515625" style="46" bestFit="1" customWidth="1"/>
    <col min="14" max="16384" width="9.140625" style="40"/>
  </cols>
  <sheetData>
    <row r="1" spans="1:15" s="33" customFormat="1" ht="18" customHeight="1" x14ac:dyDescent="0.25">
      <c r="A1" s="33" t="s">
        <v>1</v>
      </c>
      <c r="B1" s="33" t="s">
        <v>2</v>
      </c>
      <c r="C1" s="43" t="s">
        <v>4</v>
      </c>
      <c r="D1" s="33" t="s">
        <v>5</v>
      </c>
      <c r="E1" s="33" t="s">
        <v>171</v>
      </c>
      <c r="F1" s="47" t="s">
        <v>60</v>
      </c>
      <c r="G1" s="33" t="s">
        <v>3</v>
      </c>
      <c r="H1" s="43" t="s">
        <v>6</v>
      </c>
      <c r="I1" s="33" t="s">
        <v>7</v>
      </c>
      <c r="J1" s="33" t="s">
        <v>172</v>
      </c>
      <c r="K1" s="47" t="s">
        <v>61</v>
      </c>
      <c r="L1" s="33" t="s">
        <v>84</v>
      </c>
      <c r="M1" s="47" t="s">
        <v>38</v>
      </c>
      <c r="N1" s="43" t="s">
        <v>59</v>
      </c>
      <c r="O1" s="43" t="s">
        <v>83</v>
      </c>
    </row>
    <row r="2" spans="1:15" ht="18" hidden="1" customHeight="1" outlineLevel="1" x14ac:dyDescent="0.25">
      <c r="A2" s="194" t="s">
        <v>12</v>
      </c>
      <c r="B2" s="38">
        <v>42151</v>
      </c>
      <c r="C2" s="37">
        <v>5</v>
      </c>
      <c r="D2" s="34">
        <v>42.7</v>
      </c>
      <c r="E2" s="40"/>
      <c r="F2" s="34">
        <f>C2*D2</f>
        <v>213.5</v>
      </c>
      <c r="G2" s="38">
        <v>42181</v>
      </c>
      <c r="H2" s="37">
        <v>5</v>
      </c>
      <c r="I2" s="34">
        <v>43.35</v>
      </c>
      <c r="K2" s="34">
        <f>H2*I2</f>
        <v>216.75</v>
      </c>
      <c r="L2" s="39"/>
      <c r="M2" s="34"/>
      <c r="N2" s="34"/>
      <c r="O2" s="48"/>
    </row>
    <row r="3" spans="1:15" ht="18" hidden="1" customHeight="1" outlineLevel="1" x14ac:dyDescent="0.25">
      <c r="A3" s="194"/>
      <c r="B3" s="38">
        <v>42153</v>
      </c>
      <c r="C3" s="37">
        <v>25</v>
      </c>
      <c r="D3" s="34">
        <v>41.6</v>
      </c>
      <c r="E3" s="40"/>
      <c r="F3" s="34">
        <f>C3*D3</f>
        <v>1040</v>
      </c>
      <c r="G3" s="38">
        <v>42200</v>
      </c>
      <c r="H3" s="37">
        <v>10</v>
      </c>
      <c r="I3" s="34">
        <v>41.64</v>
      </c>
      <c r="K3" s="34">
        <f>H3*I3</f>
        <v>416.4</v>
      </c>
      <c r="L3" s="39"/>
      <c r="M3" s="34"/>
      <c r="N3" s="34"/>
      <c r="O3" s="48"/>
    </row>
    <row r="4" spans="1:15" ht="18" hidden="1" customHeight="1" outlineLevel="1" x14ac:dyDescent="0.25">
      <c r="A4" s="194"/>
      <c r="B4" s="38">
        <v>42166</v>
      </c>
      <c r="C4" s="37">
        <v>10</v>
      </c>
      <c r="D4" s="34">
        <v>40</v>
      </c>
      <c r="E4" s="40"/>
      <c r="F4" s="34">
        <f>C4*D4</f>
        <v>400</v>
      </c>
      <c r="G4" s="38">
        <v>42201</v>
      </c>
      <c r="H4" s="37">
        <v>125</v>
      </c>
      <c r="I4" s="34">
        <v>42.6</v>
      </c>
      <c r="K4" s="34">
        <f>H4*I4</f>
        <v>5325</v>
      </c>
      <c r="L4" s="39"/>
      <c r="M4" s="34"/>
      <c r="N4" s="34"/>
      <c r="O4" s="48"/>
    </row>
    <row r="5" spans="1:15" ht="18" hidden="1" customHeight="1" outlineLevel="1" x14ac:dyDescent="0.25">
      <c r="A5" s="194"/>
      <c r="B5" s="38">
        <v>42166</v>
      </c>
      <c r="C5" s="37">
        <v>100</v>
      </c>
      <c r="D5" s="34">
        <v>39.799999999999997</v>
      </c>
      <c r="E5" s="40"/>
      <c r="F5" s="34">
        <f>C5*D5</f>
        <v>3979.9999999999995</v>
      </c>
      <c r="G5" s="39"/>
      <c r="H5" s="37"/>
      <c r="I5" s="34"/>
      <c r="K5" s="34">
        <f>H5*I5</f>
        <v>0</v>
      </c>
      <c r="L5" s="39"/>
      <c r="M5" s="34"/>
      <c r="N5" s="34"/>
      <c r="O5" s="48"/>
    </row>
    <row r="6" spans="1:15" ht="18" customHeight="1" collapsed="1" x14ac:dyDescent="0.25">
      <c r="A6" s="194"/>
      <c r="B6" s="38"/>
      <c r="C6" s="37">
        <f>SUM(C2:C5)</f>
        <v>140</v>
      </c>
      <c r="D6" s="34"/>
      <c r="E6" s="40"/>
      <c r="F6" s="34">
        <f>SUM(F2:F5)</f>
        <v>5633.5</v>
      </c>
      <c r="G6" s="39"/>
      <c r="H6" s="37">
        <f t="shared" ref="H6" si="0">SUM(H2:H5)</f>
        <v>140</v>
      </c>
      <c r="I6" s="34"/>
      <c r="K6" s="34">
        <f>SUM(K2:K5)</f>
        <v>5958.15</v>
      </c>
      <c r="L6" s="39"/>
      <c r="M6" s="34"/>
      <c r="N6" s="34">
        <f>K6-F6</f>
        <v>324.64999999999964</v>
      </c>
      <c r="O6" s="48">
        <f>(N6+M6)/F6</f>
        <v>5.7628472530398447E-2</v>
      </c>
    </row>
    <row r="7" spans="1:15" ht="18" hidden="1" customHeight="1" outlineLevel="1" x14ac:dyDescent="0.25">
      <c r="A7" s="195" t="s">
        <v>48</v>
      </c>
      <c r="B7" s="41"/>
      <c r="C7" s="36"/>
      <c r="D7" s="35"/>
      <c r="E7" s="35"/>
      <c r="F7" s="35"/>
      <c r="G7" s="41"/>
      <c r="H7" s="36"/>
      <c r="I7" s="35"/>
      <c r="J7" s="35"/>
      <c r="K7" s="35"/>
      <c r="L7" s="41"/>
      <c r="M7" s="35"/>
      <c r="N7" s="35"/>
      <c r="O7" s="49"/>
    </row>
    <row r="8" spans="1:15" ht="18" hidden="1" customHeight="1" outlineLevel="1" x14ac:dyDescent="0.25">
      <c r="A8" s="195"/>
      <c r="B8" s="42">
        <v>42186</v>
      </c>
      <c r="C8" s="36">
        <v>10</v>
      </c>
      <c r="D8" s="35">
        <v>101.7</v>
      </c>
      <c r="E8" s="35"/>
      <c r="F8" s="35">
        <f>C8*D8</f>
        <v>1017</v>
      </c>
      <c r="G8" s="42">
        <v>42186</v>
      </c>
      <c r="H8" s="36">
        <v>10</v>
      </c>
      <c r="I8" s="35">
        <v>103</v>
      </c>
      <c r="J8" s="35"/>
      <c r="K8" s="35">
        <f>H8*I8</f>
        <v>1030</v>
      </c>
      <c r="L8" s="41"/>
      <c r="M8" s="35"/>
      <c r="N8" s="35"/>
      <c r="O8" s="49"/>
    </row>
    <row r="9" spans="1:15" ht="18" customHeight="1" collapsed="1" x14ac:dyDescent="0.25">
      <c r="A9" s="195"/>
      <c r="B9" s="42"/>
      <c r="C9" s="36">
        <f>SUM(C8)</f>
        <v>10</v>
      </c>
      <c r="D9" s="35"/>
      <c r="E9" s="35"/>
      <c r="F9" s="35">
        <f>SUM(F8)</f>
        <v>1017</v>
      </c>
      <c r="G9" s="41"/>
      <c r="H9" s="36">
        <f>SUM(H8)</f>
        <v>10</v>
      </c>
      <c r="I9" s="35"/>
      <c r="J9" s="35"/>
      <c r="K9" s="35">
        <f>SUM(K8)</f>
        <v>1030</v>
      </c>
      <c r="L9" s="41"/>
      <c r="M9" s="35"/>
      <c r="N9" s="35">
        <f>K9-F9</f>
        <v>13</v>
      </c>
      <c r="O9" s="49">
        <f>(N9+M9)/F9</f>
        <v>1.2782694198623401E-2</v>
      </c>
    </row>
    <row r="10" spans="1:15" ht="18" hidden="1" customHeight="1" outlineLevel="1" x14ac:dyDescent="0.25">
      <c r="A10" s="194" t="s">
        <v>29</v>
      </c>
      <c r="B10" s="39"/>
      <c r="C10" s="37"/>
      <c r="D10" s="34"/>
      <c r="E10" s="40"/>
      <c r="F10" s="34"/>
      <c r="G10" s="39"/>
      <c r="H10" s="37"/>
      <c r="I10" s="34"/>
      <c r="K10" s="34"/>
      <c r="L10" s="39"/>
      <c r="M10" s="34"/>
      <c r="N10" s="34"/>
      <c r="O10" s="48"/>
    </row>
    <row r="11" spans="1:15" ht="18" hidden="1" customHeight="1" outlineLevel="1" x14ac:dyDescent="0.25">
      <c r="A11" s="194"/>
      <c r="B11" s="38">
        <v>42164</v>
      </c>
      <c r="C11" s="37">
        <v>5</v>
      </c>
      <c r="D11" s="34">
        <v>45.9</v>
      </c>
      <c r="E11" s="40"/>
      <c r="F11" s="34">
        <f>C11*D11</f>
        <v>229.5</v>
      </c>
      <c r="G11" s="38">
        <v>42195</v>
      </c>
      <c r="H11" s="37">
        <v>20</v>
      </c>
      <c r="I11" s="34">
        <v>46.15</v>
      </c>
      <c r="K11" s="34">
        <f>H11*I11</f>
        <v>923</v>
      </c>
      <c r="L11" s="39"/>
      <c r="M11" s="34"/>
      <c r="N11" s="34"/>
      <c r="O11" s="48"/>
    </row>
    <row r="12" spans="1:15" ht="18" hidden="1" customHeight="1" outlineLevel="1" x14ac:dyDescent="0.25">
      <c r="A12" s="194"/>
      <c r="B12" s="38">
        <v>42184</v>
      </c>
      <c r="C12" s="37">
        <v>5</v>
      </c>
      <c r="D12" s="34">
        <v>44.5</v>
      </c>
      <c r="E12" s="40"/>
      <c r="F12" s="34">
        <f>C12*D12</f>
        <v>222.5</v>
      </c>
      <c r="G12" s="39"/>
      <c r="H12" s="37"/>
      <c r="I12" s="34"/>
      <c r="K12" s="34"/>
      <c r="L12" s="39"/>
      <c r="M12" s="34"/>
      <c r="N12" s="34"/>
      <c r="O12" s="48"/>
    </row>
    <row r="13" spans="1:15" ht="18" hidden="1" customHeight="1" outlineLevel="1" x14ac:dyDescent="0.25">
      <c r="A13" s="194"/>
      <c r="B13" s="38">
        <v>42184</v>
      </c>
      <c r="C13" s="37">
        <v>10</v>
      </c>
      <c r="D13" s="34">
        <v>44.35</v>
      </c>
      <c r="E13" s="40"/>
      <c r="F13" s="34">
        <f>C13*D13</f>
        <v>443.5</v>
      </c>
      <c r="G13" s="39"/>
      <c r="H13" s="37"/>
      <c r="I13" s="34"/>
      <c r="K13" s="34"/>
      <c r="L13" s="39"/>
      <c r="M13" s="34"/>
      <c r="N13" s="34"/>
      <c r="O13" s="48"/>
    </row>
    <row r="14" spans="1:15" ht="18" customHeight="1" collapsed="1" x14ac:dyDescent="0.25">
      <c r="A14" s="194"/>
      <c r="B14" s="38"/>
      <c r="C14" s="37">
        <f>SUM(C11:C13)</f>
        <v>20</v>
      </c>
      <c r="D14" s="34"/>
      <c r="E14" s="40"/>
      <c r="F14" s="34">
        <f t="shared" ref="F14:K14" si="1">SUM(F11:F13)</f>
        <v>895.5</v>
      </c>
      <c r="G14" s="39"/>
      <c r="H14" s="37">
        <f t="shared" si="1"/>
        <v>20</v>
      </c>
      <c r="I14" s="34"/>
      <c r="K14" s="34">
        <f t="shared" si="1"/>
        <v>923</v>
      </c>
      <c r="L14" s="39"/>
      <c r="M14" s="34"/>
      <c r="N14" s="34">
        <f>K14-F14</f>
        <v>27.5</v>
      </c>
      <c r="O14" s="48">
        <f>(N14+M14)/F14</f>
        <v>3.0709101060859854E-2</v>
      </c>
    </row>
    <row r="15" spans="1:15" ht="18" hidden="1" customHeight="1" outlineLevel="1" x14ac:dyDescent="0.25">
      <c r="A15" s="195" t="s">
        <v>30</v>
      </c>
      <c r="B15" s="41"/>
      <c r="C15" s="36"/>
      <c r="D15" s="35"/>
      <c r="E15" s="35"/>
      <c r="F15" s="35"/>
      <c r="G15" s="41"/>
      <c r="H15" s="36"/>
      <c r="I15" s="35"/>
      <c r="J15" s="192"/>
      <c r="K15" s="35"/>
      <c r="L15" s="41"/>
      <c r="M15" s="35"/>
      <c r="N15" s="35"/>
      <c r="O15" s="49"/>
    </row>
    <row r="16" spans="1:15" ht="18" hidden="1" customHeight="1" outlineLevel="1" x14ac:dyDescent="0.25">
      <c r="A16" s="195"/>
      <c r="B16" s="42">
        <v>42164</v>
      </c>
      <c r="C16" s="36">
        <v>10</v>
      </c>
      <c r="D16" s="35">
        <v>141.4</v>
      </c>
      <c r="E16" s="35"/>
      <c r="F16" s="35">
        <f>C16*D16</f>
        <v>1414</v>
      </c>
      <c r="G16" s="42">
        <v>42216</v>
      </c>
      <c r="H16" s="36">
        <v>10</v>
      </c>
      <c r="I16" s="35">
        <v>143.35</v>
      </c>
      <c r="J16" s="35"/>
      <c r="K16" s="35">
        <f>H16*I16</f>
        <v>1433.5</v>
      </c>
      <c r="L16" s="41"/>
      <c r="M16" s="35"/>
      <c r="N16" s="35"/>
      <c r="O16" s="49"/>
    </row>
    <row r="17" spans="1:15" ht="18" customHeight="1" collapsed="1" x14ac:dyDescent="0.25">
      <c r="A17" s="195"/>
      <c r="B17" s="42"/>
      <c r="C17" s="36">
        <f>SUM(C16)</f>
        <v>10</v>
      </c>
      <c r="D17" s="35"/>
      <c r="E17" s="35"/>
      <c r="F17" s="35">
        <f>SUM(F16)</f>
        <v>1414</v>
      </c>
      <c r="G17" s="41"/>
      <c r="H17" s="36">
        <f>SUM(H16)</f>
        <v>10</v>
      </c>
      <c r="I17" s="35"/>
      <c r="J17" s="192"/>
      <c r="K17" s="35">
        <f>SUM(K16)</f>
        <v>1433.5</v>
      </c>
      <c r="L17" s="41"/>
      <c r="M17" s="35"/>
      <c r="N17" s="35">
        <f>K17-F17</f>
        <v>19.5</v>
      </c>
      <c r="O17" s="49">
        <f>(N17+M17)/F17</f>
        <v>1.3790664780763792E-2</v>
      </c>
    </row>
    <row r="18" spans="1:15" ht="18" hidden="1" customHeight="1" outlineLevel="1" x14ac:dyDescent="0.25">
      <c r="A18" s="194" t="s">
        <v>8</v>
      </c>
      <c r="B18" s="39"/>
      <c r="C18" s="37"/>
      <c r="D18" s="34"/>
      <c r="E18" s="40"/>
      <c r="F18" s="34"/>
      <c r="G18" s="39"/>
      <c r="H18" s="37"/>
      <c r="I18" s="34"/>
      <c r="K18" s="34"/>
      <c r="L18" s="39"/>
      <c r="M18" s="34"/>
      <c r="N18" s="34"/>
      <c r="O18" s="48"/>
    </row>
    <row r="19" spans="1:15" ht="18" hidden="1" customHeight="1" outlineLevel="1" x14ac:dyDescent="0.25">
      <c r="A19" s="194"/>
      <c r="B19" s="38">
        <v>42145</v>
      </c>
      <c r="C19" s="37">
        <v>50</v>
      </c>
      <c r="D19" s="34">
        <v>61.7</v>
      </c>
      <c r="E19" s="40"/>
      <c r="F19" s="34">
        <f t="shared" ref="F19:F29" si="2">C19*D19</f>
        <v>3085</v>
      </c>
      <c r="G19" s="38">
        <v>42187</v>
      </c>
      <c r="H19" s="37">
        <v>300</v>
      </c>
      <c r="I19" s="34">
        <v>57.78</v>
      </c>
      <c r="K19" s="34">
        <f>H19*I19</f>
        <v>17334</v>
      </c>
      <c r="L19" s="38">
        <v>42185</v>
      </c>
      <c r="M19" s="34">
        <v>44.61</v>
      </c>
      <c r="N19" s="34"/>
      <c r="O19" s="48"/>
    </row>
    <row r="20" spans="1:15" ht="18" hidden="1" customHeight="1" outlineLevel="1" x14ac:dyDescent="0.25">
      <c r="A20" s="194"/>
      <c r="B20" s="38">
        <v>42146</v>
      </c>
      <c r="C20" s="37">
        <v>10</v>
      </c>
      <c r="D20" s="34">
        <v>61.37</v>
      </c>
      <c r="E20" s="40"/>
      <c r="F20" s="34">
        <f t="shared" si="2"/>
        <v>613.69999999999993</v>
      </c>
      <c r="G20" s="38">
        <v>42216</v>
      </c>
      <c r="H20" s="37">
        <v>300</v>
      </c>
      <c r="I20" s="34">
        <v>62</v>
      </c>
      <c r="K20" s="34">
        <f>H20*I20</f>
        <v>18600</v>
      </c>
      <c r="L20" s="39"/>
      <c r="M20" s="34"/>
      <c r="N20" s="34"/>
      <c r="O20" s="48"/>
    </row>
    <row r="21" spans="1:15" ht="18" hidden="1" customHeight="1" outlineLevel="1" x14ac:dyDescent="0.25">
      <c r="A21" s="194"/>
      <c r="B21" s="38">
        <v>42146</v>
      </c>
      <c r="C21" s="37">
        <v>20</v>
      </c>
      <c r="D21" s="34">
        <v>61.12</v>
      </c>
      <c r="E21" s="40"/>
      <c r="F21" s="34">
        <f t="shared" si="2"/>
        <v>1222.3999999999999</v>
      </c>
      <c r="G21" s="39"/>
      <c r="H21" s="37"/>
      <c r="I21" s="34"/>
      <c r="K21" s="34"/>
      <c r="L21" s="39"/>
      <c r="M21" s="34"/>
      <c r="N21" s="34"/>
      <c r="O21" s="48"/>
    </row>
    <row r="22" spans="1:15" ht="18" hidden="1" customHeight="1" outlineLevel="1" x14ac:dyDescent="0.25">
      <c r="A22" s="194"/>
      <c r="B22" s="38">
        <v>42146</v>
      </c>
      <c r="C22" s="37">
        <v>20</v>
      </c>
      <c r="D22" s="34">
        <v>61.1</v>
      </c>
      <c r="E22" s="40"/>
      <c r="F22" s="34">
        <f t="shared" si="2"/>
        <v>1222</v>
      </c>
      <c r="G22" s="39"/>
      <c r="H22" s="37"/>
      <c r="I22" s="34"/>
      <c r="K22" s="34"/>
      <c r="L22" s="39"/>
      <c r="M22" s="34"/>
      <c r="N22" s="34"/>
      <c r="O22" s="48"/>
    </row>
    <row r="23" spans="1:15" ht="18" hidden="1" customHeight="1" outlineLevel="1" x14ac:dyDescent="0.25">
      <c r="A23" s="194"/>
      <c r="B23" s="38">
        <v>42146</v>
      </c>
      <c r="C23" s="37">
        <v>10</v>
      </c>
      <c r="D23" s="34">
        <v>60.8</v>
      </c>
      <c r="E23" s="40"/>
      <c r="F23" s="34">
        <f t="shared" si="2"/>
        <v>608</v>
      </c>
      <c r="G23" s="39"/>
      <c r="H23" s="37"/>
      <c r="I23" s="34"/>
      <c r="K23" s="34"/>
      <c r="L23" s="39"/>
      <c r="M23" s="34"/>
      <c r="N23" s="34"/>
      <c r="O23" s="48"/>
    </row>
    <row r="24" spans="1:15" ht="18" hidden="1" customHeight="1" outlineLevel="1" x14ac:dyDescent="0.25">
      <c r="A24" s="194"/>
      <c r="B24" s="38">
        <v>42146</v>
      </c>
      <c r="C24" s="37">
        <v>20</v>
      </c>
      <c r="D24" s="34">
        <v>60.7</v>
      </c>
      <c r="E24" s="40"/>
      <c r="F24" s="34">
        <f t="shared" si="2"/>
        <v>1214</v>
      </c>
      <c r="G24" s="39"/>
      <c r="H24" s="37"/>
      <c r="I24" s="34"/>
      <c r="K24" s="34"/>
      <c r="L24" s="39"/>
      <c r="M24" s="34"/>
      <c r="N24" s="34"/>
      <c r="O24" s="48"/>
    </row>
    <row r="25" spans="1:15" ht="18" hidden="1" customHeight="1" outlineLevel="1" x14ac:dyDescent="0.25">
      <c r="A25" s="194"/>
      <c r="B25" s="38">
        <v>42150</v>
      </c>
      <c r="C25" s="37">
        <v>20</v>
      </c>
      <c r="D25" s="34">
        <v>60.6</v>
      </c>
      <c r="E25" s="40"/>
      <c r="F25" s="34">
        <f t="shared" si="2"/>
        <v>1212</v>
      </c>
      <c r="G25" s="39"/>
      <c r="H25" s="37"/>
      <c r="I25" s="34"/>
      <c r="K25" s="34"/>
      <c r="L25" s="39"/>
      <c r="M25" s="34"/>
      <c r="N25" s="34"/>
      <c r="O25" s="48"/>
    </row>
    <row r="26" spans="1:15" ht="18" hidden="1" customHeight="1" outlineLevel="1" x14ac:dyDescent="0.25">
      <c r="A26" s="194"/>
      <c r="B26" s="38">
        <v>42152</v>
      </c>
      <c r="C26" s="37">
        <v>30</v>
      </c>
      <c r="D26" s="34">
        <v>60.33</v>
      </c>
      <c r="E26" s="40"/>
      <c r="F26" s="34">
        <f t="shared" si="2"/>
        <v>1809.8999999999999</v>
      </c>
      <c r="G26" s="39"/>
      <c r="H26" s="37"/>
      <c r="I26" s="34"/>
      <c r="K26" s="34"/>
      <c r="L26" s="39"/>
      <c r="M26" s="34"/>
      <c r="N26" s="34"/>
      <c r="O26" s="48"/>
    </row>
    <row r="27" spans="1:15" ht="18" hidden="1" customHeight="1" outlineLevel="1" x14ac:dyDescent="0.25">
      <c r="A27" s="194"/>
      <c r="B27" s="38">
        <v>42152</v>
      </c>
      <c r="C27" s="37">
        <v>30</v>
      </c>
      <c r="D27" s="34">
        <v>60.39</v>
      </c>
      <c r="E27" s="40"/>
      <c r="F27" s="34">
        <f t="shared" si="2"/>
        <v>1811.7</v>
      </c>
      <c r="G27" s="39"/>
      <c r="H27" s="37"/>
      <c r="I27" s="34"/>
      <c r="K27" s="34"/>
      <c r="L27" s="39"/>
      <c r="M27" s="34"/>
      <c r="N27" s="34"/>
      <c r="O27" s="48"/>
    </row>
    <row r="28" spans="1:15" ht="18" hidden="1" customHeight="1" outlineLevel="1" x14ac:dyDescent="0.25">
      <c r="A28" s="194"/>
      <c r="B28" s="38">
        <v>42166</v>
      </c>
      <c r="C28" s="37">
        <v>100</v>
      </c>
      <c r="D28" s="34">
        <v>58</v>
      </c>
      <c r="E28" s="40"/>
      <c r="F28" s="34">
        <f t="shared" si="2"/>
        <v>5800</v>
      </c>
      <c r="G28" s="39"/>
      <c r="H28" s="37"/>
      <c r="I28" s="34"/>
      <c r="K28" s="34"/>
      <c r="L28" s="39"/>
      <c r="M28" s="34"/>
      <c r="N28" s="34"/>
      <c r="O28" s="48"/>
    </row>
    <row r="29" spans="1:15" ht="18" hidden="1" customHeight="1" outlineLevel="1" x14ac:dyDescent="0.25">
      <c r="A29" s="194"/>
      <c r="B29" s="38">
        <v>42187</v>
      </c>
      <c r="C29" s="37">
        <v>290</v>
      </c>
      <c r="D29" s="34">
        <v>57.85</v>
      </c>
      <c r="E29" s="40"/>
      <c r="F29" s="34">
        <f t="shared" si="2"/>
        <v>16776.5</v>
      </c>
      <c r="G29" s="39"/>
      <c r="H29" s="37"/>
      <c r="I29" s="34"/>
      <c r="K29" s="34"/>
      <c r="L29" s="39"/>
      <c r="M29" s="34"/>
      <c r="N29" s="34"/>
      <c r="O29" s="48"/>
    </row>
    <row r="30" spans="1:15" ht="18" customHeight="1" collapsed="1" x14ac:dyDescent="0.25">
      <c r="A30" s="194"/>
      <c r="B30" s="38"/>
      <c r="C30" s="37">
        <f>SUM(C19:C29)</f>
        <v>600</v>
      </c>
      <c r="D30" s="34"/>
      <c r="E30" s="40"/>
      <c r="F30" s="34">
        <f>SUM(F19:F29)</f>
        <v>35375.199999999997</v>
      </c>
      <c r="G30" s="39"/>
      <c r="H30" s="37">
        <f>SUM(H19:H29)</f>
        <v>600</v>
      </c>
      <c r="I30" s="34"/>
      <c r="K30" s="34">
        <f>SUM(K19:K29)</f>
        <v>35934</v>
      </c>
      <c r="L30" s="39"/>
      <c r="M30" s="34">
        <f>SUM(M19:M29)</f>
        <v>44.61</v>
      </c>
      <c r="N30" s="34">
        <f>K30-F30</f>
        <v>558.80000000000291</v>
      </c>
      <c r="O30" s="48">
        <f>(N30+M30)/F30</f>
        <v>1.7057430063999721E-2</v>
      </c>
    </row>
    <row r="31" spans="1:15" ht="18" hidden="1" customHeight="1" outlineLevel="1" x14ac:dyDescent="0.25">
      <c r="A31" s="195" t="s">
        <v>40</v>
      </c>
      <c r="B31" s="41"/>
      <c r="C31" s="36"/>
      <c r="D31" s="35"/>
      <c r="E31" s="192"/>
      <c r="F31" s="35"/>
      <c r="G31" s="41"/>
      <c r="H31" s="36"/>
      <c r="I31" s="35"/>
      <c r="J31" s="35"/>
      <c r="K31" s="35"/>
      <c r="L31" s="41"/>
      <c r="M31" s="35"/>
      <c r="N31" s="35"/>
      <c r="O31" s="49"/>
    </row>
    <row r="32" spans="1:15" ht="18" hidden="1" customHeight="1" outlineLevel="1" x14ac:dyDescent="0.25">
      <c r="A32" s="195"/>
      <c r="B32" s="42">
        <v>42184</v>
      </c>
      <c r="C32" s="36">
        <v>20</v>
      </c>
      <c r="D32" s="35">
        <v>164.18</v>
      </c>
      <c r="E32" s="35"/>
      <c r="F32" s="35">
        <f>C32*D32</f>
        <v>3283.6000000000004</v>
      </c>
      <c r="G32" s="42">
        <v>42216</v>
      </c>
      <c r="H32" s="36">
        <v>20</v>
      </c>
      <c r="I32" s="35">
        <v>158</v>
      </c>
      <c r="J32" s="35"/>
      <c r="K32" s="35">
        <f>H32*I32</f>
        <v>3160</v>
      </c>
      <c r="L32" s="41"/>
      <c r="M32" s="35"/>
      <c r="N32" s="35"/>
      <c r="O32" s="36"/>
    </row>
    <row r="33" spans="1:15" ht="18" hidden="1" customHeight="1" outlineLevel="1" x14ac:dyDescent="0.25">
      <c r="A33" s="195"/>
      <c r="B33" s="42">
        <v>42209</v>
      </c>
      <c r="C33" s="36">
        <v>10</v>
      </c>
      <c r="D33" s="35">
        <v>148</v>
      </c>
      <c r="E33" s="35"/>
      <c r="F33" s="35">
        <f>C33*D33</f>
        <v>1480</v>
      </c>
      <c r="G33" s="42">
        <v>42235</v>
      </c>
      <c r="H33" s="36">
        <v>20</v>
      </c>
      <c r="I33" s="35">
        <v>159.80000000000001</v>
      </c>
      <c r="J33" s="35"/>
      <c r="K33" s="35">
        <f>H33*I33</f>
        <v>3196</v>
      </c>
      <c r="L33" s="41"/>
      <c r="M33" s="35"/>
      <c r="N33" s="35"/>
      <c r="O33" s="36"/>
    </row>
    <row r="34" spans="1:15" ht="18" hidden="1" customHeight="1" outlineLevel="1" x14ac:dyDescent="0.25">
      <c r="A34" s="195"/>
      <c r="B34" s="42">
        <v>42209</v>
      </c>
      <c r="C34" s="36">
        <v>10</v>
      </c>
      <c r="D34" s="35">
        <v>146.69999999999999</v>
      </c>
      <c r="E34" s="35"/>
      <c r="F34" s="35">
        <f>C34*D34</f>
        <v>1467</v>
      </c>
      <c r="G34" s="41"/>
      <c r="H34" s="36"/>
      <c r="I34" s="35"/>
      <c r="J34" s="35"/>
      <c r="K34" s="35"/>
      <c r="L34" s="41"/>
      <c r="M34" s="35"/>
      <c r="N34" s="35"/>
      <c r="O34" s="36"/>
    </row>
    <row r="35" spans="1:15" ht="18" customHeight="1" collapsed="1" x14ac:dyDescent="0.25">
      <c r="A35" s="195"/>
      <c r="B35" s="41"/>
      <c r="C35" s="36">
        <f>SUM(C32:C34)</f>
        <v>40</v>
      </c>
      <c r="D35" s="35"/>
      <c r="E35" s="35"/>
      <c r="F35" s="35">
        <f>SUM(F32:F34)</f>
        <v>6230.6</v>
      </c>
      <c r="G35" s="41"/>
      <c r="H35" s="36">
        <f>SUM(H32:H34)</f>
        <v>40</v>
      </c>
      <c r="I35" s="35"/>
      <c r="J35" s="35"/>
      <c r="K35" s="35">
        <f>SUM(K32:K34)</f>
        <v>6356</v>
      </c>
      <c r="L35" s="41"/>
      <c r="M35" s="35"/>
      <c r="N35" s="35">
        <f>K35-F35</f>
        <v>125.39999999999964</v>
      </c>
      <c r="O35" s="49">
        <f>(N35+M35)/F35</f>
        <v>2.012647257085989E-2</v>
      </c>
    </row>
    <row r="36" spans="1:15" ht="18" hidden="1" customHeight="1" outlineLevel="1" x14ac:dyDescent="0.25">
      <c r="A36" s="194" t="s">
        <v>32</v>
      </c>
      <c r="B36" s="39"/>
      <c r="C36" s="37"/>
      <c r="D36" s="34"/>
      <c r="E36" s="40"/>
      <c r="F36" s="34"/>
      <c r="G36" s="39"/>
      <c r="H36" s="37"/>
      <c r="I36" s="34"/>
      <c r="K36" s="34"/>
      <c r="L36" s="39"/>
      <c r="M36" s="34"/>
      <c r="N36" s="34"/>
      <c r="O36" s="48"/>
    </row>
    <row r="37" spans="1:15" ht="18" hidden="1" customHeight="1" outlineLevel="1" x14ac:dyDescent="0.25">
      <c r="A37" s="194"/>
      <c r="B37" s="38">
        <v>42166</v>
      </c>
      <c r="C37" s="37">
        <v>25</v>
      </c>
      <c r="D37" s="34">
        <v>41.2</v>
      </c>
      <c r="E37" s="40"/>
      <c r="F37" s="34">
        <f>C37*D37</f>
        <v>1030</v>
      </c>
      <c r="G37" s="38">
        <v>42200</v>
      </c>
      <c r="H37" s="37">
        <v>50</v>
      </c>
      <c r="I37" s="34">
        <v>42.08</v>
      </c>
      <c r="K37" s="34">
        <f>H37*I37</f>
        <v>2104</v>
      </c>
      <c r="L37" s="39"/>
      <c r="M37" s="34"/>
      <c r="N37" s="34"/>
      <c r="O37" s="48"/>
    </row>
    <row r="38" spans="1:15" ht="18" hidden="1" customHeight="1" outlineLevel="1" x14ac:dyDescent="0.25">
      <c r="A38" s="194"/>
      <c r="B38" s="38">
        <v>42167</v>
      </c>
      <c r="C38" s="37">
        <v>25</v>
      </c>
      <c r="D38" s="34">
        <v>39.1</v>
      </c>
      <c r="E38" s="40"/>
      <c r="F38" s="34">
        <f>C38*D38</f>
        <v>977.5</v>
      </c>
      <c r="G38" s="39"/>
      <c r="H38" s="37"/>
      <c r="I38" s="34"/>
      <c r="K38" s="34"/>
      <c r="L38" s="39"/>
      <c r="M38" s="34"/>
      <c r="N38" s="34"/>
      <c r="O38" s="48"/>
    </row>
    <row r="39" spans="1:15" ht="18" customHeight="1" collapsed="1" x14ac:dyDescent="0.25">
      <c r="A39" s="194"/>
      <c r="B39" s="38"/>
      <c r="C39" s="37">
        <f>SUM(C37:C38)</f>
        <v>50</v>
      </c>
      <c r="D39" s="34"/>
      <c r="E39" s="40"/>
      <c r="F39" s="34">
        <f>SUM(F37:F38)</f>
        <v>2007.5</v>
      </c>
      <c r="G39" s="39"/>
      <c r="H39" s="37">
        <f>SUM(H37:H38)</f>
        <v>50</v>
      </c>
      <c r="I39" s="34"/>
      <c r="K39" s="34">
        <f>SUM(K37:K38)</f>
        <v>2104</v>
      </c>
      <c r="L39" s="39"/>
      <c r="M39" s="34"/>
      <c r="N39" s="34">
        <f>K39-F39</f>
        <v>96.5</v>
      </c>
      <c r="O39" s="48">
        <f>(N39+M39)/F39</f>
        <v>4.8069738480697385E-2</v>
      </c>
    </row>
    <row r="40" spans="1:15" ht="18" hidden="1" customHeight="1" outlineLevel="1" x14ac:dyDescent="0.25">
      <c r="A40" s="195" t="s">
        <v>16</v>
      </c>
      <c r="B40" s="41"/>
      <c r="C40" s="36"/>
      <c r="D40" s="35"/>
      <c r="E40" s="35"/>
      <c r="F40" s="35"/>
      <c r="G40" s="41"/>
      <c r="H40" s="36"/>
      <c r="I40" s="35"/>
      <c r="J40" s="192"/>
      <c r="K40" s="35"/>
      <c r="L40" s="41"/>
      <c r="M40" s="35"/>
      <c r="N40" s="35"/>
      <c r="O40" s="49"/>
    </row>
    <row r="41" spans="1:15" ht="18" hidden="1" customHeight="1" outlineLevel="1" x14ac:dyDescent="0.25">
      <c r="A41" s="195"/>
      <c r="B41" s="42">
        <v>42153</v>
      </c>
      <c r="C41" s="36">
        <v>1</v>
      </c>
      <c r="D41" s="35">
        <v>20.3</v>
      </c>
      <c r="E41" s="35"/>
      <c r="F41" s="35">
        <f>C41*D41</f>
        <v>20.3</v>
      </c>
      <c r="G41" s="42">
        <v>42187</v>
      </c>
      <c r="H41" s="36">
        <v>1</v>
      </c>
      <c r="I41" s="35">
        <v>28.5</v>
      </c>
      <c r="J41" s="35"/>
      <c r="K41" s="35">
        <f>H41*I41</f>
        <v>28.5</v>
      </c>
      <c r="L41" s="41"/>
      <c r="M41" s="35"/>
      <c r="N41" s="35"/>
      <c r="O41" s="49"/>
    </row>
    <row r="42" spans="1:15" ht="18" customHeight="1" collapsed="1" x14ac:dyDescent="0.25">
      <c r="A42" s="195"/>
      <c r="B42" s="41"/>
      <c r="C42" s="36">
        <f>SUM(C41)</f>
        <v>1</v>
      </c>
      <c r="D42" s="35"/>
      <c r="E42" s="35"/>
      <c r="F42" s="35">
        <f>SUM(F41)</f>
        <v>20.3</v>
      </c>
      <c r="G42" s="41"/>
      <c r="H42" s="36">
        <f>SUM(H41)</f>
        <v>1</v>
      </c>
      <c r="I42" s="35"/>
      <c r="J42" s="35"/>
      <c r="K42" s="35">
        <f>SUM(K41)</f>
        <v>28.5</v>
      </c>
      <c r="L42" s="41"/>
      <c r="M42" s="35"/>
      <c r="N42" s="35">
        <f>K42-F42</f>
        <v>8.1999999999999993</v>
      </c>
      <c r="O42" s="49">
        <f>(N42+M42)/F42</f>
        <v>0.40394088669950734</v>
      </c>
    </row>
    <row r="43" spans="1:15" ht="18" hidden="1" customHeight="1" outlineLevel="1" x14ac:dyDescent="0.25">
      <c r="A43" s="194" t="s">
        <v>21</v>
      </c>
      <c r="B43" s="39"/>
      <c r="C43" s="37"/>
      <c r="D43" s="34"/>
      <c r="E43" s="40"/>
      <c r="F43" s="34"/>
      <c r="G43" s="39"/>
      <c r="H43" s="37"/>
      <c r="I43" s="34"/>
      <c r="K43" s="34"/>
      <c r="L43" s="39"/>
      <c r="M43" s="34"/>
      <c r="N43" s="34"/>
      <c r="O43" s="48"/>
    </row>
    <row r="44" spans="1:15" ht="18" hidden="1" customHeight="1" outlineLevel="1" x14ac:dyDescent="0.25">
      <c r="A44" s="194"/>
      <c r="B44" s="38">
        <v>42153</v>
      </c>
      <c r="C44" s="37">
        <v>10</v>
      </c>
      <c r="D44" s="34">
        <v>17.399999999999999</v>
      </c>
      <c r="E44" s="40"/>
      <c r="F44" s="34">
        <f>C44*D44</f>
        <v>174</v>
      </c>
      <c r="G44" s="38">
        <v>42186</v>
      </c>
      <c r="H44" s="37">
        <v>10</v>
      </c>
      <c r="I44" s="34">
        <v>24.2</v>
      </c>
      <c r="K44" s="34">
        <f>H44*I44</f>
        <v>242</v>
      </c>
      <c r="L44" s="39"/>
      <c r="M44" s="34"/>
      <c r="N44" s="34"/>
      <c r="O44" s="48"/>
    </row>
    <row r="45" spans="1:15" ht="18" hidden="1" customHeight="1" outlineLevel="1" x14ac:dyDescent="0.25">
      <c r="A45" s="194"/>
      <c r="B45" s="38">
        <v>42187</v>
      </c>
      <c r="C45" s="37">
        <v>1000</v>
      </c>
      <c r="D45" s="34">
        <v>22.12</v>
      </c>
      <c r="E45" s="40"/>
      <c r="F45" s="34">
        <f>C45*D45</f>
        <v>22120</v>
      </c>
      <c r="G45" s="38">
        <v>42187</v>
      </c>
      <c r="H45" s="37">
        <v>4000</v>
      </c>
      <c r="I45" s="34">
        <v>21.81</v>
      </c>
      <c r="K45" s="34">
        <f>H45*I45</f>
        <v>87240</v>
      </c>
      <c r="L45" s="39"/>
      <c r="M45" s="34"/>
      <c r="N45" s="34"/>
      <c r="O45" s="48"/>
    </row>
    <row r="46" spans="1:15" ht="18" hidden="1" customHeight="1" outlineLevel="1" x14ac:dyDescent="0.25">
      <c r="A46" s="194"/>
      <c r="B46" s="38">
        <v>42187</v>
      </c>
      <c r="C46" s="37">
        <v>1000</v>
      </c>
      <c r="D46" s="34">
        <v>21.7</v>
      </c>
      <c r="E46" s="40"/>
      <c r="F46" s="34">
        <f>C46*D46</f>
        <v>21700</v>
      </c>
      <c r="G46" s="38"/>
      <c r="H46" s="37"/>
      <c r="I46" s="34"/>
      <c r="K46" s="34">
        <f>H46*I46</f>
        <v>0</v>
      </c>
      <c r="L46" s="39"/>
      <c r="M46" s="34"/>
      <c r="N46" s="34"/>
      <c r="O46" s="48"/>
    </row>
    <row r="47" spans="1:15" ht="18" hidden="1" customHeight="1" outlineLevel="1" x14ac:dyDescent="0.25">
      <c r="A47" s="194"/>
      <c r="B47" s="38">
        <v>42187</v>
      </c>
      <c r="C47" s="37">
        <v>2000</v>
      </c>
      <c r="D47" s="34">
        <v>21.49</v>
      </c>
      <c r="E47" s="40"/>
      <c r="F47" s="34">
        <f>C47*D47</f>
        <v>42980</v>
      </c>
      <c r="G47" s="38"/>
      <c r="H47" s="37"/>
      <c r="I47" s="34"/>
      <c r="K47" s="34">
        <f>H47*I47</f>
        <v>0</v>
      </c>
      <c r="L47" s="39"/>
      <c r="M47" s="34"/>
      <c r="N47" s="34"/>
      <c r="O47" s="48"/>
    </row>
    <row r="48" spans="1:15" ht="18" customHeight="1" collapsed="1" x14ac:dyDescent="0.25">
      <c r="A48" s="194"/>
      <c r="B48" s="38"/>
      <c r="C48" s="37">
        <f>SUM(C44:C47)</f>
        <v>4010</v>
      </c>
      <c r="D48" s="34"/>
      <c r="E48" s="40"/>
      <c r="F48" s="34">
        <f>SUM(F44:F47)</f>
        <v>86974</v>
      </c>
      <c r="G48" s="39"/>
      <c r="H48" s="37">
        <f>SUM(H44:H47)</f>
        <v>4010</v>
      </c>
      <c r="I48" s="34"/>
      <c r="K48" s="34">
        <f>SUM(K44:K47)</f>
        <v>87482</v>
      </c>
      <c r="L48" s="39"/>
      <c r="M48" s="34"/>
      <c r="N48" s="34">
        <f>K48-F48</f>
        <v>508</v>
      </c>
      <c r="O48" s="48">
        <f>(N48+M48)/F48</f>
        <v>5.8408259939752112E-3</v>
      </c>
    </row>
    <row r="49" spans="1:15" ht="18" hidden="1" customHeight="1" outlineLevel="1" x14ac:dyDescent="0.25">
      <c r="A49" s="195" t="s">
        <v>9</v>
      </c>
      <c r="B49" s="41"/>
      <c r="C49" s="36"/>
      <c r="D49" s="35"/>
      <c r="E49" s="192"/>
      <c r="F49" s="35"/>
      <c r="G49" s="41"/>
      <c r="H49" s="36"/>
      <c r="I49" s="35"/>
      <c r="J49" s="35"/>
      <c r="K49" s="35"/>
      <c r="L49" s="41"/>
      <c r="M49" s="35"/>
      <c r="N49" s="36"/>
      <c r="O49" s="36"/>
    </row>
    <row r="50" spans="1:15" ht="18" hidden="1" customHeight="1" outlineLevel="1" x14ac:dyDescent="0.25">
      <c r="A50" s="195"/>
      <c r="B50" s="42">
        <v>42145</v>
      </c>
      <c r="C50" s="36">
        <v>100</v>
      </c>
      <c r="D50" s="35">
        <v>5.55</v>
      </c>
      <c r="E50" s="35"/>
      <c r="F50" s="35">
        <f t="shared" ref="F50:F79" si="3">C50*D50</f>
        <v>555</v>
      </c>
      <c r="G50" s="42">
        <v>42187</v>
      </c>
      <c r="H50" s="36">
        <v>4200</v>
      </c>
      <c r="I50" s="35">
        <v>5.0199999999999996</v>
      </c>
      <c r="J50" s="35"/>
      <c r="K50" s="35">
        <f t="shared" ref="K50:K59" si="4">H50*I50</f>
        <v>21084</v>
      </c>
      <c r="L50" s="42">
        <v>42185</v>
      </c>
      <c r="M50" s="35">
        <v>656.25</v>
      </c>
      <c r="N50" s="36"/>
      <c r="O50" s="36"/>
    </row>
    <row r="51" spans="1:15" ht="18" hidden="1" customHeight="1" outlineLevel="1" x14ac:dyDescent="0.25">
      <c r="A51" s="195"/>
      <c r="B51" s="42">
        <v>42146</v>
      </c>
      <c r="C51" s="36">
        <v>100</v>
      </c>
      <c r="D51" s="35">
        <v>5.47</v>
      </c>
      <c r="E51" s="35"/>
      <c r="F51" s="35">
        <f t="shared" si="3"/>
        <v>547</v>
      </c>
      <c r="G51" s="42">
        <v>42207</v>
      </c>
      <c r="H51" s="36">
        <v>1000</v>
      </c>
      <c r="I51" s="35">
        <v>5.12</v>
      </c>
      <c r="J51" s="35"/>
      <c r="K51" s="35">
        <f t="shared" si="4"/>
        <v>5120</v>
      </c>
      <c r="L51" s="41"/>
      <c r="M51" s="35"/>
      <c r="N51" s="36"/>
      <c r="O51" s="36"/>
    </row>
    <row r="52" spans="1:15" ht="18" hidden="1" customHeight="1" outlineLevel="1" x14ac:dyDescent="0.25">
      <c r="A52" s="195"/>
      <c r="B52" s="42">
        <v>42146</v>
      </c>
      <c r="C52" s="36">
        <v>100</v>
      </c>
      <c r="D52" s="35">
        <v>5.43</v>
      </c>
      <c r="E52" s="35"/>
      <c r="F52" s="35">
        <f t="shared" si="3"/>
        <v>543</v>
      </c>
      <c r="G52" s="42">
        <v>42207</v>
      </c>
      <c r="H52" s="36">
        <v>2000</v>
      </c>
      <c r="I52" s="35">
        <v>5.16</v>
      </c>
      <c r="J52" s="35"/>
      <c r="K52" s="35">
        <f t="shared" si="4"/>
        <v>10320</v>
      </c>
      <c r="L52" s="41"/>
      <c r="M52" s="35"/>
      <c r="N52" s="36"/>
      <c r="O52" s="36"/>
    </row>
    <row r="53" spans="1:15" ht="18" hidden="1" customHeight="1" outlineLevel="1" x14ac:dyDescent="0.25">
      <c r="A53" s="195"/>
      <c r="B53" s="42">
        <v>42146</v>
      </c>
      <c r="C53" s="36">
        <v>100</v>
      </c>
      <c r="D53" s="35">
        <v>5.4</v>
      </c>
      <c r="E53" s="35"/>
      <c r="F53" s="35">
        <f t="shared" si="3"/>
        <v>540</v>
      </c>
      <c r="G53" s="42">
        <v>42207</v>
      </c>
      <c r="H53" s="36">
        <v>1000</v>
      </c>
      <c r="I53" s="35">
        <v>5.07</v>
      </c>
      <c r="J53" s="35"/>
      <c r="K53" s="35">
        <f t="shared" si="4"/>
        <v>5070</v>
      </c>
      <c r="L53" s="41"/>
      <c r="M53" s="35"/>
      <c r="N53" s="36"/>
      <c r="O53" s="36"/>
    </row>
    <row r="54" spans="1:15" ht="18" hidden="1" customHeight="1" outlineLevel="1" x14ac:dyDescent="0.25">
      <c r="A54" s="195"/>
      <c r="B54" s="42">
        <v>42146</v>
      </c>
      <c r="C54" s="36">
        <v>200</v>
      </c>
      <c r="D54" s="35">
        <v>5.35</v>
      </c>
      <c r="E54" s="35"/>
      <c r="F54" s="35">
        <f t="shared" si="3"/>
        <v>1070</v>
      </c>
      <c r="G54" s="42">
        <v>42207</v>
      </c>
      <c r="H54" s="36">
        <v>1000</v>
      </c>
      <c r="I54" s="35">
        <v>5.09</v>
      </c>
      <c r="J54" s="35"/>
      <c r="K54" s="35">
        <f t="shared" si="4"/>
        <v>5090</v>
      </c>
      <c r="L54" s="41"/>
      <c r="M54" s="35"/>
      <c r="N54" s="36"/>
      <c r="O54" s="36"/>
    </row>
    <row r="55" spans="1:15" ht="18" hidden="1" customHeight="1" outlineLevel="1" x14ac:dyDescent="0.25">
      <c r="A55" s="195"/>
      <c r="B55" s="42">
        <v>42152</v>
      </c>
      <c r="C55" s="36">
        <v>250</v>
      </c>
      <c r="D55" s="35">
        <v>5.3</v>
      </c>
      <c r="E55" s="35"/>
      <c r="F55" s="35">
        <f t="shared" si="3"/>
        <v>1325</v>
      </c>
      <c r="G55" s="42">
        <v>42207</v>
      </c>
      <c r="H55" s="36">
        <v>2000</v>
      </c>
      <c r="I55" s="35">
        <v>5.23</v>
      </c>
      <c r="J55" s="35"/>
      <c r="K55" s="35">
        <f t="shared" si="4"/>
        <v>10460</v>
      </c>
      <c r="L55" s="41"/>
      <c r="M55" s="35"/>
      <c r="N55" s="36"/>
      <c r="O55" s="36"/>
    </row>
    <row r="56" spans="1:15" ht="18" hidden="1" customHeight="1" outlineLevel="1" x14ac:dyDescent="0.25">
      <c r="A56" s="195"/>
      <c r="B56" s="42">
        <v>42152</v>
      </c>
      <c r="C56" s="36">
        <v>200</v>
      </c>
      <c r="D56" s="35">
        <v>5.26</v>
      </c>
      <c r="E56" s="35"/>
      <c r="F56" s="35">
        <f t="shared" si="3"/>
        <v>1052</v>
      </c>
      <c r="G56" s="42">
        <v>42222</v>
      </c>
      <c r="H56" s="36">
        <v>5000</v>
      </c>
      <c r="I56" s="35">
        <v>5.12</v>
      </c>
      <c r="J56" s="35"/>
      <c r="K56" s="35">
        <f t="shared" si="4"/>
        <v>25600</v>
      </c>
      <c r="L56" s="41"/>
      <c r="M56" s="35"/>
      <c r="N56" s="36"/>
      <c r="O56" s="36"/>
    </row>
    <row r="57" spans="1:15" ht="18" hidden="1" customHeight="1" outlineLevel="1" x14ac:dyDescent="0.25">
      <c r="A57" s="195"/>
      <c r="B57" s="42">
        <v>42152</v>
      </c>
      <c r="C57" s="36">
        <v>200</v>
      </c>
      <c r="D57" s="35">
        <v>5.22</v>
      </c>
      <c r="E57" s="35"/>
      <c r="F57" s="35">
        <f t="shared" si="3"/>
        <v>1044</v>
      </c>
      <c r="G57" s="42">
        <v>42222</v>
      </c>
      <c r="H57" s="36">
        <v>1000</v>
      </c>
      <c r="I57" s="35">
        <v>5.1100000000000003</v>
      </c>
      <c r="J57" s="35"/>
      <c r="K57" s="35">
        <f t="shared" si="4"/>
        <v>5110</v>
      </c>
      <c r="L57" s="41"/>
      <c r="M57" s="35"/>
      <c r="N57" s="36"/>
      <c r="O57" s="36"/>
    </row>
    <row r="58" spans="1:15" ht="18" hidden="1" customHeight="1" outlineLevel="1" x14ac:dyDescent="0.25">
      <c r="A58" s="195"/>
      <c r="B58" s="42">
        <v>42152</v>
      </c>
      <c r="C58" s="36">
        <v>1000</v>
      </c>
      <c r="D58" s="35">
        <v>5.19</v>
      </c>
      <c r="E58" s="35"/>
      <c r="F58" s="35">
        <f t="shared" si="3"/>
        <v>5190</v>
      </c>
      <c r="G58" s="42">
        <v>42223</v>
      </c>
      <c r="H58" s="36">
        <v>1950</v>
      </c>
      <c r="I58" s="35">
        <v>5.2</v>
      </c>
      <c r="J58" s="35"/>
      <c r="K58" s="35">
        <f t="shared" si="4"/>
        <v>10140</v>
      </c>
      <c r="L58" s="41"/>
      <c r="M58" s="35"/>
      <c r="N58" s="36"/>
      <c r="O58" s="36"/>
    </row>
    <row r="59" spans="1:15" ht="18" hidden="1" customHeight="1" outlineLevel="1" x14ac:dyDescent="0.25">
      <c r="A59" s="195"/>
      <c r="B59" s="42">
        <v>42152</v>
      </c>
      <c r="C59" s="36">
        <v>2000</v>
      </c>
      <c r="D59" s="35">
        <v>5.17</v>
      </c>
      <c r="E59" s="35"/>
      <c r="F59" s="35">
        <f t="shared" si="3"/>
        <v>10340</v>
      </c>
      <c r="G59" s="42">
        <v>42229</v>
      </c>
      <c r="H59" s="36">
        <v>50</v>
      </c>
      <c r="I59" s="35">
        <v>5.28</v>
      </c>
      <c r="J59" s="35"/>
      <c r="K59" s="35">
        <f t="shared" si="4"/>
        <v>264</v>
      </c>
      <c r="L59" s="41"/>
      <c r="M59" s="35"/>
      <c r="N59" s="36"/>
      <c r="O59" s="36"/>
    </row>
    <row r="60" spans="1:15" ht="18" hidden="1" customHeight="1" outlineLevel="1" x14ac:dyDescent="0.25">
      <c r="A60" s="195"/>
      <c r="B60" s="42">
        <v>42152</v>
      </c>
      <c r="C60" s="36">
        <v>2000</v>
      </c>
      <c r="D60" s="35">
        <v>5.15</v>
      </c>
      <c r="E60" s="35"/>
      <c r="F60" s="35">
        <f t="shared" si="3"/>
        <v>10300</v>
      </c>
      <c r="G60" s="41"/>
      <c r="H60" s="36"/>
      <c r="I60" s="35"/>
      <c r="J60" s="35"/>
      <c r="K60" s="35"/>
      <c r="L60" s="41"/>
      <c r="M60" s="35"/>
      <c r="N60" s="36"/>
      <c r="O60" s="36"/>
    </row>
    <row r="61" spans="1:15" ht="18" hidden="1" customHeight="1" outlineLevel="1" x14ac:dyDescent="0.25">
      <c r="A61" s="195"/>
      <c r="B61" s="42">
        <v>42158</v>
      </c>
      <c r="C61" s="36">
        <v>500</v>
      </c>
      <c r="D61" s="35">
        <v>5.09</v>
      </c>
      <c r="E61" s="35"/>
      <c r="F61" s="35">
        <f t="shared" si="3"/>
        <v>2545</v>
      </c>
      <c r="G61" s="41"/>
      <c r="H61" s="36"/>
      <c r="I61" s="35"/>
      <c r="J61" s="35"/>
      <c r="K61" s="35"/>
      <c r="L61" s="41"/>
      <c r="M61" s="35"/>
      <c r="N61" s="36"/>
      <c r="O61" s="36"/>
    </row>
    <row r="62" spans="1:15" ht="18" hidden="1" customHeight="1" outlineLevel="1" x14ac:dyDescent="0.25">
      <c r="A62" s="195"/>
      <c r="B62" s="42">
        <v>42158</v>
      </c>
      <c r="C62" s="36">
        <v>1000</v>
      </c>
      <c r="D62" s="35">
        <v>5.04</v>
      </c>
      <c r="E62" s="192"/>
      <c r="F62" s="35">
        <f t="shared" si="3"/>
        <v>5040</v>
      </c>
      <c r="G62" s="41"/>
      <c r="H62" s="36"/>
      <c r="I62" s="35"/>
      <c r="J62" s="35"/>
      <c r="K62" s="35"/>
      <c r="L62" s="41"/>
      <c r="M62" s="35"/>
      <c r="N62" s="36"/>
      <c r="O62" s="36"/>
    </row>
    <row r="63" spans="1:15" ht="18" hidden="1" customHeight="1" outlineLevel="1" x14ac:dyDescent="0.25">
      <c r="A63" s="195"/>
      <c r="B63" s="42">
        <v>42158</v>
      </c>
      <c r="C63" s="36">
        <v>200</v>
      </c>
      <c r="D63" s="35">
        <v>5.05</v>
      </c>
      <c r="E63" s="35"/>
      <c r="F63" s="35">
        <f t="shared" si="3"/>
        <v>1010</v>
      </c>
      <c r="G63" s="41"/>
      <c r="H63" s="36"/>
      <c r="I63" s="35"/>
      <c r="J63" s="35"/>
      <c r="K63" s="35"/>
      <c r="L63" s="41"/>
      <c r="M63" s="35"/>
      <c r="N63" s="36"/>
      <c r="O63" s="36"/>
    </row>
    <row r="64" spans="1:15" ht="18" hidden="1" customHeight="1" outlineLevel="1" x14ac:dyDescent="0.25">
      <c r="A64" s="195"/>
      <c r="B64" s="42">
        <v>42164</v>
      </c>
      <c r="C64" s="36">
        <v>500</v>
      </c>
      <c r="D64" s="35">
        <v>5.07</v>
      </c>
      <c r="E64" s="35"/>
      <c r="F64" s="35">
        <f t="shared" si="3"/>
        <v>2535</v>
      </c>
      <c r="G64" s="41"/>
      <c r="H64" s="36"/>
      <c r="I64" s="35"/>
      <c r="J64" s="35"/>
      <c r="K64" s="35"/>
      <c r="L64" s="41"/>
      <c r="M64" s="35"/>
      <c r="N64" s="36"/>
      <c r="O64" s="36"/>
    </row>
    <row r="65" spans="1:15" ht="18" hidden="1" customHeight="1" outlineLevel="1" x14ac:dyDescent="0.25">
      <c r="A65" s="195"/>
      <c r="B65" s="42">
        <v>42164</v>
      </c>
      <c r="C65" s="36">
        <v>1000</v>
      </c>
      <c r="D65" s="35">
        <v>5.04</v>
      </c>
      <c r="E65" s="35"/>
      <c r="F65" s="35">
        <f t="shared" si="3"/>
        <v>5040</v>
      </c>
      <c r="G65" s="41"/>
      <c r="H65" s="36"/>
      <c r="I65" s="35"/>
      <c r="J65" s="35"/>
      <c r="K65" s="35"/>
      <c r="L65" s="41"/>
      <c r="M65" s="35"/>
      <c r="N65" s="36"/>
      <c r="O65" s="36"/>
    </row>
    <row r="66" spans="1:15" ht="18" hidden="1" customHeight="1" outlineLevel="1" x14ac:dyDescent="0.25">
      <c r="A66" s="195"/>
      <c r="B66" s="42">
        <v>42164</v>
      </c>
      <c r="C66" s="36">
        <v>1000</v>
      </c>
      <c r="D66" s="35">
        <v>5.01</v>
      </c>
      <c r="E66" s="35"/>
      <c r="F66" s="35">
        <f t="shared" si="3"/>
        <v>5010</v>
      </c>
      <c r="G66" s="41"/>
      <c r="H66" s="36"/>
      <c r="I66" s="35"/>
      <c r="J66" s="35"/>
      <c r="K66" s="35"/>
      <c r="L66" s="41"/>
      <c r="M66" s="35"/>
      <c r="N66" s="36"/>
      <c r="O66" s="36"/>
    </row>
    <row r="67" spans="1:15" ht="18" hidden="1" customHeight="1" outlineLevel="1" x14ac:dyDescent="0.25">
      <c r="A67" s="195"/>
      <c r="B67" s="42">
        <v>42173</v>
      </c>
      <c r="C67" s="36">
        <v>500</v>
      </c>
      <c r="D67" s="35">
        <v>4.88</v>
      </c>
      <c r="E67" s="35"/>
      <c r="F67" s="35">
        <f t="shared" si="3"/>
        <v>2440</v>
      </c>
      <c r="G67" s="41"/>
      <c r="H67" s="36"/>
      <c r="I67" s="35"/>
      <c r="J67" s="35"/>
      <c r="K67" s="35"/>
      <c r="L67" s="41"/>
      <c r="M67" s="35"/>
      <c r="N67" s="36"/>
      <c r="O67" s="36"/>
    </row>
    <row r="68" spans="1:15" ht="18" hidden="1" customHeight="1" outlineLevel="1" x14ac:dyDescent="0.25">
      <c r="A68" s="195"/>
      <c r="B68" s="42">
        <v>42187</v>
      </c>
      <c r="C68" s="36">
        <v>2000</v>
      </c>
      <c r="D68" s="35">
        <v>4.9800000000000004</v>
      </c>
      <c r="E68" s="35"/>
      <c r="F68" s="35">
        <f t="shared" si="3"/>
        <v>9960</v>
      </c>
      <c r="G68" s="41"/>
      <c r="H68" s="36"/>
      <c r="I68" s="35"/>
      <c r="J68" s="35"/>
      <c r="K68" s="35"/>
      <c r="L68" s="41"/>
      <c r="M68" s="35"/>
      <c r="N68" s="36"/>
      <c r="O68" s="36"/>
    </row>
    <row r="69" spans="1:15" ht="18" hidden="1" customHeight="1" outlineLevel="1" x14ac:dyDescent="0.25">
      <c r="A69" s="195"/>
      <c r="B69" s="42">
        <v>42187</v>
      </c>
      <c r="C69" s="36">
        <v>100</v>
      </c>
      <c r="D69" s="35">
        <v>4.9800000000000004</v>
      </c>
      <c r="E69" s="35"/>
      <c r="F69" s="35">
        <f t="shared" si="3"/>
        <v>498.00000000000006</v>
      </c>
      <c r="G69" s="41"/>
      <c r="H69" s="36"/>
      <c r="I69" s="35"/>
      <c r="J69" s="35"/>
      <c r="K69" s="35"/>
      <c r="L69" s="41"/>
      <c r="M69" s="35"/>
      <c r="N69" s="36"/>
      <c r="O69" s="36"/>
    </row>
    <row r="70" spans="1:15" ht="18" hidden="1" customHeight="1" outlineLevel="1" x14ac:dyDescent="0.25">
      <c r="A70" s="195"/>
      <c r="B70" s="42">
        <v>42187</v>
      </c>
      <c r="C70" s="36">
        <v>100</v>
      </c>
      <c r="D70" s="35">
        <v>4.9800000000000004</v>
      </c>
      <c r="E70" s="35"/>
      <c r="F70" s="35">
        <f t="shared" si="3"/>
        <v>498.00000000000006</v>
      </c>
      <c r="G70" s="41"/>
      <c r="H70" s="36"/>
      <c r="I70" s="35"/>
      <c r="J70" s="35"/>
      <c r="K70" s="35"/>
      <c r="L70" s="41"/>
      <c r="M70" s="35"/>
      <c r="N70" s="36"/>
      <c r="O70" s="36"/>
    </row>
    <row r="71" spans="1:15" ht="18" hidden="1" customHeight="1" outlineLevel="1" x14ac:dyDescent="0.25">
      <c r="A71" s="195"/>
      <c r="B71" s="42">
        <v>42187</v>
      </c>
      <c r="C71" s="36">
        <v>2000</v>
      </c>
      <c r="D71" s="35">
        <v>4.97</v>
      </c>
      <c r="E71" s="35"/>
      <c r="F71" s="35">
        <f t="shared" si="3"/>
        <v>9940</v>
      </c>
      <c r="G71" s="41"/>
      <c r="H71" s="36"/>
      <c r="I71" s="35"/>
      <c r="J71" s="35"/>
      <c r="K71" s="35"/>
      <c r="L71" s="41"/>
      <c r="M71" s="35"/>
      <c r="N71" s="36"/>
      <c r="O71" s="36"/>
    </row>
    <row r="72" spans="1:15" ht="18" hidden="1" customHeight="1" outlineLevel="1" x14ac:dyDescent="0.25">
      <c r="A72" s="195"/>
      <c r="B72" s="42">
        <v>42199</v>
      </c>
      <c r="C72" s="36">
        <v>500</v>
      </c>
      <c r="D72" s="35">
        <v>4.8</v>
      </c>
      <c r="E72" s="35"/>
      <c r="F72" s="35">
        <f t="shared" si="3"/>
        <v>2400</v>
      </c>
      <c r="G72" s="41"/>
      <c r="H72" s="36"/>
      <c r="I72" s="35"/>
      <c r="J72" s="35"/>
      <c r="K72" s="35"/>
      <c r="L72" s="41"/>
      <c r="M72" s="35"/>
      <c r="N72" s="36"/>
      <c r="O72" s="36"/>
    </row>
    <row r="73" spans="1:15" ht="18" hidden="1" customHeight="1" outlineLevel="1" x14ac:dyDescent="0.25">
      <c r="A73" s="195"/>
      <c r="B73" s="42">
        <v>42212</v>
      </c>
      <c r="C73" s="36">
        <v>300</v>
      </c>
      <c r="D73" s="35">
        <v>4.76</v>
      </c>
      <c r="E73" s="35"/>
      <c r="F73" s="35">
        <f t="shared" si="3"/>
        <v>1428</v>
      </c>
      <c r="G73" s="41"/>
      <c r="H73" s="36"/>
      <c r="I73" s="35"/>
      <c r="J73" s="35"/>
      <c r="K73" s="35"/>
      <c r="L73" s="41"/>
      <c r="M73" s="35"/>
      <c r="N73" s="36"/>
      <c r="O73" s="36"/>
    </row>
    <row r="74" spans="1:15" ht="18" hidden="1" customHeight="1" outlineLevel="1" x14ac:dyDescent="0.25">
      <c r="A74" s="195"/>
      <c r="B74" s="42">
        <v>42212</v>
      </c>
      <c r="C74" s="36">
        <v>1700</v>
      </c>
      <c r="D74" s="35">
        <v>4.76</v>
      </c>
      <c r="E74" s="35"/>
      <c r="F74" s="35">
        <f t="shared" si="3"/>
        <v>8092</v>
      </c>
      <c r="G74" s="41"/>
      <c r="H74" s="36"/>
      <c r="I74" s="35"/>
      <c r="J74" s="35"/>
      <c r="K74" s="35"/>
      <c r="L74" s="41"/>
      <c r="M74" s="35"/>
      <c r="N74" s="36"/>
      <c r="O74" s="36"/>
    </row>
    <row r="75" spans="1:15" ht="18" hidden="1" customHeight="1" outlineLevel="1" x14ac:dyDescent="0.25">
      <c r="A75" s="195"/>
      <c r="B75" s="42">
        <v>42214</v>
      </c>
      <c r="C75" s="36">
        <v>500</v>
      </c>
      <c r="D75" s="35">
        <v>4.68</v>
      </c>
      <c r="E75" s="35"/>
      <c r="F75" s="35">
        <f t="shared" si="3"/>
        <v>2340</v>
      </c>
      <c r="G75" s="41"/>
      <c r="H75" s="36"/>
      <c r="I75" s="35"/>
      <c r="J75" s="35"/>
      <c r="K75" s="35"/>
      <c r="L75" s="41"/>
      <c r="M75" s="35"/>
      <c r="N75" s="36"/>
      <c r="O75" s="36"/>
    </row>
    <row r="76" spans="1:15" ht="18" hidden="1" customHeight="1" outlineLevel="1" x14ac:dyDescent="0.25">
      <c r="A76" s="195"/>
      <c r="B76" s="42">
        <v>42214</v>
      </c>
      <c r="C76" s="36">
        <v>50</v>
      </c>
      <c r="D76" s="35">
        <v>4.6500000000000004</v>
      </c>
      <c r="E76" s="35"/>
      <c r="F76" s="35">
        <f t="shared" si="3"/>
        <v>232.50000000000003</v>
      </c>
      <c r="G76" s="41"/>
      <c r="H76" s="36"/>
      <c r="I76" s="35"/>
      <c r="J76" s="35"/>
      <c r="K76" s="35"/>
      <c r="L76" s="41"/>
      <c r="M76" s="35"/>
      <c r="N76" s="36"/>
      <c r="O76" s="36"/>
    </row>
    <row r="77" spans="1:15" ht="18" hidden="1" customHeight="1" outlineLevel="1" x14ac:dyDescent="0.25">
      <c r="A77" s="195"/>
      <c r="B77" s="42">
        <v>42214</v>
      </c>
      <c r="C77" s="36">
        <v>200</v>
      </c>
      <c r="D77" s="35">
        <v>4.63</v>
      </c>
      <c r="E77" s="35"/>
      <c r="F77" s="35">
        <f t="shared" si="3"/>
        <v>926</v>
      </c>
      <c r="G77" s="41"/>
      <c r="H77" s="36"/>
      <c r="I77" s="35"/>
      <c r="J77" s="35"/>
      <c r="K77" s="35"/>
      <c r="L77" s="41"/>
      <c r="M77" s="35"/>
      <c r="N77" s="36"/>
      <c r="O77" s="36"/>
    </row>
    <row r="78" spans="1:15" ht="18" hidden="1" customHeight="1" outlineLevel="1" x14ac:dyDescent="0.25">
      <c r="A78" s="195"/>
      <c r="B78" s="42">
        <v>42214</v>
      </c>
      <c r="C78" s="36">
        <v>300</v>
      </c>
      <c r="D78" s="35">
        <v>4.59</v>
      </c>
      <c r="E78" s="35"/>
      <c r="F78" s="35">
        <f t="shared" si="3"/>
        <v>1377</v>
      </c>
      <c r="G78" s="41"/>
      <c r="H78" s="36"/>
      <c r="I78" s="35"/>
      <c r="J78" s="35"/>
      <c r="K78" s="35"/>
      <c r="L78" s="41"/>
      <c r="M78" s="35"/>
      <c r="N78" s="36"/>
      <c r="O78" s="36"/>
    </row>
    <row r="79" spans="1:15" ht="18" hidden="1" customHeight="1" outlineLevel="1" x14ac:dyDescent="0.25">
      <c r="A79" s="195"/>
      <c r="B79" s="42">
        <v>42214</v>
      </c>
      <c r="C79" s="36">
        <v>500</v>
      </c>
      <c r="D79" s="35">
        <v>4.54</v>
      </c>
      <c r="E79" s="35"/>
      <c r="F79" s="35">
        <f t="shared" si="3"/>
        <v>2270</v>
      </c>
      <c r="G79" s="41"/>
      <c r="H79" s="36"/>
      <c r="I79" s="35"/>
      <c r="J79" s="35"/>
      <c r="K79" s="35"/>
      <c r="L79" s="41"/>
      <c r="M79" s="35"/>
      <c r="N79" s="36"/>
      <c r="O79" s="36"/>
    </row>
    <row r="80" spans="1:15" ht="18" customHeight="1" collapsed="1" x14ac:dyDescent="0.25">
      <c r="A80" s="195"/>
      <c r="B80" s="41"/>
      <c r="C80" s="36">
        <f>SUM(C50:C79)</f>
        <v>19200</v>
      </c>
      <c r="D80" s="35"/>
      <c r="E80" s="35"/>
      <c r="F80" s="35">
        <f>SUM(F50:F79)</f>
        <v>96087.5</v>
      </c>
      <c r="G80" s="41"/>
      <c r="H80" s="36">
        <f>SUM(H50:H79)</f>
        <v>19200</v>
      </c>
      <c r="I80" s="35"/>
      <c r="J80" s="35"/>
      <c r="K80" s="35">
        <f>SUM(K50:K79)</f>
        <v>98258</v>
      </c>
      <c r="L80" s="41"/>
      <c r="M80" s="35">
        <f>SUM(M50:M79)</f>
        <v>656.25</v>
      </c>
      <c r="N80" s="35">
        <f>K80-F80</f>
        <v>2170.5</v>
      </c>
      <c r="O80" s="49">
        <f>(N80+M80)/F80</f>
        <v>2.9418498764147261E-2</v>
      </c>
    </row>
    <row r="81" spans="1:15" ht="18" hidden="1" customHeight="1" outlineLevel="1" x14ac:dyDescent="0.25">
      <c r="A81" s="194" t="s">
        <v>25</v>
      </c>
      <c r="B81" s="39"/>
      <c r="C81" s="37"/>
      <c r="D81" s="34"/>
      <c r="E81" s="40"/>
      <c r="F81" s="34"/>
      <c r="G81" s="39"/>
      <c r="H81" s="37"/>
      <c r="I81" s="34"/>
      <c r="K81" s="34"/>
      <c r="L81" s="39"/>
      <c r="M81" s="34"/>
      <c r="N81" s="34"/>
      <c r="O81" s="48"/>
    </row>
    <row r="82" spans="1:15" ht="18" hidden="1" customHeight="1" outlineLevel="1" x14ac:dyDescent="0.25">
      <c r="A82" s="194"/>
      <c r="B82" s="38">
        <v>42163</v>
      </c>
      <c r="C82" s="37">
        <v>1</v>
      </c>
      <c r="D82" s="34">
        <v>117.3</v>
      </c>
      <c r="E82" s="40"/>
      <c r="F82" s="34">
        <f>C82*D82</f>
        <v>117.3</v>
      </c>
      <c r="G82" s="38">
        <v>42186</v>
      </c>
      <c r="H82" s="37">
        <v>1</v>
      </c>
      <c r="I82" s="34">
        <v>121.6</v>
      </c>
      <c r="K82" s="34">
        <f>H82*I82</f>
        <v>121.6</v>
      </c>
      <c r="L82" s="39"/>
      <c r="M82" s="34"/>
      <c r="N82" s="34"/>
      <c r="O82" s="48"/>
    </row>
    <row r="83" spans="1:15" ht="18" customHeight="1" collapsed="1" x14ac:dyDescent="0.25">
      <c r="A83" s="194"/>
      <c r="B83" s="38"/>
      <c r="C83" s="37">
        <f>SUM(C82)</f>
        <v>1</v>
      </c>
      <c r="D83" s="34"/>
      <c r="E83" s="40"/>
      <c r="F83" s="34">
        <f>SUM(F82)</f>
        <v>117.3</v>
      </c>
      <c r="G83" s="39"/>
      <c r="H83" s="37">
        <f>SUM(H82)</f>
        <v>1</v>
      </c>
      <c r="I83" s="34"/>
      <c r="K83" s="34">
        <f>SUM(K82)</f>
        <v>121.6</v>
      </c>
      <c r="L83" s="39"/>
      <c r="M83" s="34"/>
      <c r="N83" s="34">
        <f>K83-F83</f>
        <v>4.2999999999999972</v>
      </c>
      <c r="O83" s="48">
        <f>(N83+M83)/F83</f>
        <v>3.6658141517476532E-2</v>
      </c>
    </row>
    <row r="84" spans="1:15" ht="18" hidden="1" customHeight="1" outlineLevel="1" x14ac:dyDescent="0.25">
      <c r="A84" s="195" t="s">
        <v>36</v>
      </c>
      <c r="B84" s="41"/>
      <c r="C84" s="36"/>
      <c r="D84" s="35"/>
      <c r="E84" s="35"/>
      <c r="F84" s="35"/>
      <c r="G84" s="41"/>
      <c r="H84" s="36"/>
      <c r="I84" s="35"/>
      <c r="J84" s="35"/>
      <c r="K84" s="35"/>
      <c r="L84" s="41"/>
      <c r="M84" s="35"/>
      <c r="N84" s="35"/>
      <c r="O84" s="49"/>
    </row>
    <row r="85" spans="1:15" ht="18" hidden="1" customHeight="1" outlineLevel="1" x14ac:dyDescent="0.25">
      <c r="A85" s="195"/>
      <c r="B85" s="42">
        <v>42167</v>
      </c>
      <c r="C85" s="36">
        <v>25</v>
      </c>
      <c r="D85" s="35">
        <v>34.15</v>
      </c>
      <c r="E85" s="35"/>
      <c r="F85" s="35">
        <f>C85*D85</f>
        <v>853.75</v>
      </c>
      <c r="G85" s="42">
        <v>42186</v>
      </c>
      <c r="H85" s="36">
        <v>35</v>
      </c>
      <c r="I85" s="35">
        <v>34.799999999999997</v>
      </c>
      <c r="J85" s="35"/>
      <c r="K85" s="35">
        <f>H85*I85</f>
        <v>1218</v>
      </c>
      <c r="L85" s="41"/>
      <c r="M85" s="35"/>
      <c r="N85" s="35"/>
      <c r="O85" s="49"/>
    </row>
    <row r="86" spans="1:15" ht="18" hidden="1" customHeight="1" outlineLevel="1" x14ac:dyDescent="0.25">
      <c r="A86" s="195"/>
      <c r="B86" s="42">
        <v>42178</v>
      </c>
      <c r="C86" s="36">
        <v>10</v>
      </c>
      <c r="D86" s="35">
        <v>33.119999999999997</v>
      </c>
      <c r="E86" s="35"/>
      <c r="F86" s="35">
        <f>C86*D86</f>
        <v>331.2</v>
      </c>
      <c r="G86" s="41"/>
      <c r="H86" s="36"/>
      <c r="I86" s="35"/>
      <c r="J86" s="35"/>
      <c r="K86" s="35">
        <f>H86*I86</f>
        <v>0</v>
      </c>
      <c r="L86" s="41"/>
      <c r="M86" s="35"/>
      <c r="N86" s="35"/>
      <c r="O86" s="49"/>
    </row>
    <row r="87" spans="1:15" ht="18" customHeight="1" collapsed="1" x14ac:dyDescent="0.25">
      <c r="A87" s="195"/>
      <c r="B87" s="42"/>
      <c r="C87" s="36">
        <f>SUM(C85:C86)</f>
        <v>35</v>
      </c>
      <c r="D87" s="35"/>
      <c r="E87" s="35"/>
      <c r="F87" s="35">
        <f>SUM(F85:F86)</f>
        <v>1184.95</v>
      </c>
      <c r="G87" s="41"/>
      <c r="H87" s="36">
        <f>SUM(H85:H86)</f>
        <v>35</v>
      </c>
      <c r="I87" s="35"/>
      <c r="J87" s="35"/>
      <c r="K87" s="35">
        <f>SUM(K85:K86)</f>
        <v>1218</v>
      </c>
      <c r="L87" s="41"/>
      <c r="M87" s="35"/>
      <c r="N87" s="35">
        <f>K87-F87</f>
        <v>33.049999999999955</v>
      </c>
      <c r="O87" s="49">
        <f>(N87+M87)/F87</f>
        <v>2.7891472214017429E-2</v>
      </c>
    </row>
    <row r="88" spans="1:15" ht="18" hidden="1" customHeight="1" outlineLevel="1" x14ac:dyDescent="0.25">
      <c r="A88" s="194" t="s">
        <v>14</v>
      </c>
      <c r="B88" s="39"/>
      <c r="C88" s="37"/>
      <c r="D88" s="34"/>
      <c r="E88" s="40"/>
      <c r="F88" s="34"/>
      <c r="G88" s="39"/>
      <c r="H88" s="37"/>
      <c r="I88" s="34"/>
      <c r="K88" s="34"/>
      <c r="L88" s="39"/>
      <c r="M88" s="34"/>
      <c r="N88" s="34"/>
      <c r="O88" s="48"/>
    </row>
    <row r="89" spans="1:15" ht="18" hidden="1" customHeight="1" outlineLevel="1" x14ac:dyDescent="0.25">
      <c r="A89" s="194"/>
      <c r="B89" s="38">
        <v>42152</v>
      </c>
      <c r="C89" s="37">
        <v>2</v>
      </c>
      <c r="D89" s="34">
        <v>51.22</v>
      </c>
      <c r="E89" s="40"/>
      <c r="F89" s="34">
        <f>C89*D89</f>
        <v>102.44</v>
      </c>
      <c r="G89" s="38">
        <v>42187</v>
      </c>
      <c r="H89" s="37">
        <v>150</v>
      </c>
      <c r="I89" s="34">
        <v>48.92</v>
      </c>
      <c r="K89" s="34">
        <f>H89*I89</f>
        <v>7338</v>
      </c>
      <c r="L89" s="38">
        <v>42195</v>
      </c>
      <c r="M89" s="34">
        <v>52</v>
      </c>
      <c r="N89" s="34"/>
      <c r="O89" s="48"/>
    </row>
    <row r="90" spans="1:15" ht="18" hidden="1" customHeight="1" outlineLevel="1" x14ac:dyDescent="0.25">
      <c r="A90" s="194"/>
      <c r="B90" s="38">
        <v>42164</v>
      </c>
      <c r="C90" s="37">
        <v>48</v>
      </c>
      <c r="D90" s="34">
        <v>49.9</v>
      </c>
      <c r="E90" s="40"/>
      <c r="F90" s="34">
        <f>C90*D90</f>
        <v>2395.1999999999998</v>
      </c>
      <c r="G90" s="39"/>
      <c r="H90" s="37"/>
      <c r="I90" s="34"/>
      <c r="K90" s="34"/>
      <c r="L90" s="39"/>
      <c r="M90" s="34"/>
      <c r="N90" s="34"/>
      <c r="O90" s="48"/>
    </row>
    <row r="91" spans="1:15" ht="18" hidden="1" customHeight="1" outlineLevel="1" x14ac:dyDescent="0.25">
      <c r="A91" s="194"/>
      <c r="B91" s="38">
        <v>42165</v>
      </c>
      <c r="C91" s="37">
        <v>50</v>
      </c>
      <c r="D91" s="34">
        <v>48.6</v>
      </c>
      <c r="E91" s="40"/>
      <c r="F91" s="34">
        <f>C91*D91</f>
        <v>2430</v>
      </c>
      <c r="G91" s="39"/>
      <c r="H91" s="37"/>
      <c r="I91" s="34"/>
      <c r="K91" s="34">
        <f>H91*I91</f>
        <v>0</v>
      </c>
      <c r="L91" s="39"/>
      <c r="M91" s="34"/>
      <c r="N91" s="34"/>
      <c r="O91" s="48"/>
    </row>
    <row r="92" spans="1:15" ht="18" hidden="1" customHeight="1" outlineLevel="1" x14ac:dyDescent="0.25">
      <c r="A92" s="194"/>
      <c r="B92" s="38">
        <v>42173</v>
      </c>
      <c r="C92" s="37">
        <v>25</v>
      </c>
      <c r="D92" s="34">
        <v>47.62</v>
      </c>
      <c r="E92" s="40"/>
      <c r="F92" s="34">
        <f>C92*D92</f>
        <v>1190.5</v>
      </c>
      <c r="G92" s="39"/>
      <c r="H92" s="37"/>
      <c r="I92" s="34"/>
      <c r="K92" s="34">
        <f>H92*I92</f>
        <v>0</v>
      </c>
      <c r="L92" s="39"/>
      <c r="M92" s="34"/>
      <c r="N92" s="34"/>
      <c r="O92" s="48"/>
    </row>
    <row r="93" spans="1:15" ht="18" hidden="1" customHeight="1" outlineLevel="1" x14ac:dyDescent="0.25">
      <c r="A93" s="194"/>
      <c r="B93" s="38">
        <v>42173</v>
      </c>
      <c r="C93" s="37">
        <v>25</v>
      </c>
      <c r="D93" s="34">
        <v>47.54</v>
      </c>
      <c r="E93" s="40"/>
      <c r="F93" s="34">
        <f>C93*D93</f>
        <v>1188.5</v>
      </c>
      <c r="G93" s="39"/>
      <c r="H93" s="37"/>
      <c r="I93" s="34"/>
      <c r="K93" s="34">
        <f>H93*I93</f>
        <v>0</v>
      </c>
      <c r="L93" s="39"/>
      <c r="M93" s="34"/>
      <c r="N93" s="34"/>
      <c r="O93" s="48"/>
    </row>
    <row r="94" spans="1:15" ht="18" customHeight="1" collapsed="1" x14ac:dyDescent="0.25">
      <c r="A94" s="194"/>
      <c r="B94" s="38"/>
      <c r="C94" s="37">
        <f>SUM(C89:C93)</f>
        <v>150</v>
      </c>
      <c r="D94" s="34"/>
      <c r="E94" s="40"/>
      <c r="F94" s="34">
        <f t="shared" ref="F94:M94" si="5">SUM(F89:F93)</f>
        <v>7306.6399999999994</v>
      </c>
      <c r="G94" s="39"/>
      <c r="H94" s="37">
        <f t="shared" si="5"/>
        <v>150</v>
      </c>
      <c r="I94" s="34"/>
      <c r="K94" s="34">
        <f t="shared" si="5"/>
        <v>7338</v>
      </c>
      <c r="L94" s="39"/>
      <c r="M94" s="34">
        <f t="shared" si="5"/>
        <v>52</v>
      </c>
      <c r="N94" s="34">
        <f>K94-F94</f>
        <v>31.360000000000582</v>
      </c>
      <c r="O94" s="48">
        <f>(N94+M94)/F94</f>
        <v>1.1408800762046657E-2</v>
      </c>
    </row>
    <row r="95" spans="1:15" ht="18" hidden="1" customHeight="1" outlineLevel="1" x14ac:dyDescent="0.25">
      <c r="A95" s="198" t="s">
        <v>26</v>
      </c>
      <c r="B95" s="42"/>
      <c r="C95" s="36"/>
      <c r="D95" s="35"/>
      <c r="E95" s="36"/>
      <c r="F95" s="35"/>
      <c r="G95" s="41"/>
      <c r="H95" s="36"/>
      <c r="I95" s="35"/>
      <c r="J95" s="36"/>
      <c r="K95" s="35"/>
      <c r="L95" s="41"/>
      <c r="M95" s="35"/>
      <c r="N95" s="36"/>
      <c r="O95" s="36"/>
    </row>
    <row r="96" spans="1:15" ht="18" hidden="1" customHeight="1" outlineLevel="1" x14ac:dyDescent="0.25">
      <c r="A96" s="199"/>
      <c r="B96" s="42">
        <v>42163</v>
      </c>
      <c r="C96" s="36">
        <v>50</v>
      </c>
      <c r="D96" s="35">
        <v>5.9</v>
      </c>
      <c r="E96" s="36">
        <v>0</v>
      </c>
      <c r="F96" s="35">
        <v>295</v>
      </c>
      <c r="G96" s="41">
        <v>42187</v>
      </c>
      <c r="H96" s="36">
        <v>200</v>
      </c>
      <c r="I96" s="35">
        <v>6.45</v>
      </c>
      <c r="J96" s="36">
        <v>0.02</v>
      </c>
      <c r="K96" s="35">
        <v>1289.98</v>
      </c>
      <c r="L96" s="41"/>
      <c r="M96" s="35"/>
      <c r="N96" s="36"/>
      <c r="O96" s="36"/>
    </row>
    <row r="97" spans="1:15" ht="18" hidden="1" customHeight="1" outlineLevel="1" x14ac:dyDescent="0.25">
      <c r="A97" s="199"/>
      <c r="B97" s="42">
        <v>42163</v>
      </c>
      <c r="C97" s="36">
        <v>100</v>
      </c>
      <c r="D97" s="35">
        <v>6.2</v>
      </c>
      <c r="E97" s="36">
        <v>0</v>
      </c>
      <c r="F97" s="35">
        <v>620</v>
      </c>
      <c r="G97" s="41">
        <v>42261</v>
      </c>
      <c r="H97" s="36">
        <v>450</v>
      </c>
      <c r="I97" s="35">
        <v>6.23</v>
      </c>
      <c r="J97" s="36">
        <v>0.05</v>
      </c>
      <c r="K97" s="35">
        <v>2803.45</v>
      </c>
      <c r="L97" s="41"/>
      <c r="M97" s="35"/>
      <c r="N97" s="36"/>
      <c r="O97" s="36"/>
    </row>
    <row r="98" spans="1:15" ht="18" hidden="1" customHeight="1" outlineLevel="1" x14ac:dyDescent="0.25">
      <c r="A98" s="199"/>
      <c r="B98" s="42">
        <v>42187</v>
      </c>
      <c r="C98" s="36">
        <v>200</v>
      </c>
      <c r="D98" s="35">
        <v>6.3</v>
      </c>
      <c r="E98" s="36">
        <v>0</v>
      </c>
      <c r="F98" s="35">
        <v>1260</v>
      </c>
      <c r="G98" s="41"/>
      <c r="H98" s="36"/>
      <c r="I98" s="35"/>
      <c r="J98" s="36"/>
      <c r="K98" s="35"/>
      <c r="L98" s="41"/>
      <c r="M98" s="35"/>
      <c r="N98" s="36"/>
      <c r="O98" s="36"/>
    </row>
    <row r="99" spans="1:15" ht="18" hidden="1" customHeight="1" outlineLevel="1" x14ac:dyDescent="0.25">
      <c r="A99" s="199"/>
      <c r="B99" s="42">
        <v>42194</v>
      </c>
      <c r="C99" s="36">
        <v>150</v>
      </c>
      <c r="D99" s="35">
        <v>6.1</v>
      </c>
      <c r="E99" s="36">
        <v>0</v>
      </c>
      <c r="F99" s="35">
        <v>915</v>
      </c>
      <c r="G99" s="41"/>
      <c r="H99" s="36"/>
      <c r="I99" s="35"/>
      <c r="J99" s="36"/>
      <c r="K99" s="35"/>
      <c r="L99" s="41"/>
      <c r="M99" s="35"/>
      <c r="N99" s="36"/>
      <c r="O99" s="36"/>
    </row>
    <row r="100" spans="1:15" ht="18" hidden="1" customHeight="1" outlineLevel="1" x14ac:dyDescent="0.25">
      <c r="A100" s="199"/>
      <c r="B100" s="42">
        <v>42240</v>
      </c>
      <c r="C100" s="36">
        <v>150</v>
      </c>
      <c r="D100" s="35">
        <v>5.69</v>
      </c>
      <c r="E100" s="36">
        <v>0</v>
      </c>
      <c r="F100" s="35">
        <v>853.50000000000011</v>
      </c>
      <c r="G100" s="41"/>
      <c r="H100" s="36"/>
      <c r="I100" s="35"/>
      <c r="J100" s="36"/>
      <c r="K100" s="35"/>
      <c r="L100" s="41"/>
      <c r="M100" s="35"/>
      <c r="N100" s="36"/>
      <c r="O100" s="36"/>
    </row>
    <row r="101" spans="1:15" ht="18" customHeight="1" collapsed="1" x14ac:dyDescent="0.25">
      <c r="A101" s="199"/>
      <c r="B101" s="42"/>
      <c r="C101" s="36">
        <v>650</v>
      </c>
      <c r="D101" s="35"/>
      <c r="E101" s="36"/>
      <c r="F101" s="35">
        <v>3943.5</v>
      </c>
      <c r="G101" s="41"/>
      <c r="H101" s="36">
        <v>650</v>
      </c>
      <c r="I101" s="35"/>
      <c r="J101" s="36"/>
      <c r="K101" s="35">
        <v>4093.43</v>
      </c>
      <c r="L101" s="41"/>
      <c r="M101" s="35"/>
      <c r="N101" s="35">
        <f>K101-F101</f>
        <v>149.92999999999984</v>
      </c>
      <c r="O101" s="49">
        <f>N101/K101</f>
        <v>3.6626985193346374E-2</v>
      </c>
    </row>
    <row r="102" spans="1:15" ht="18" hidden="1" customHeight="1" outlineLevel="1" x14ac:dyDescent="0.25">
      <c r="A102" s="209" t="s">
        <v>23</v>
      </c>
      <c r="B102" s="205"/>
      <c r="C102" s="206"/>
      <c r="D102" s="207"/>
      <c r="E102" s="206"/>
      <c r="F102" s="207"/>
      <c r="G102" s="208"/>
      <c r="H102" s="206"/>
      <c r="I102" s="207"/>
      <c r="J102" s="206"/>
      <c r="K102" s="207"/>
      <c r="L102" s="208"/>
      <c r="M102" s="207"/>
      <c r="N102" s="206"/>
      <c r="O102" s="206"/>
    </row>
    <row r="103" spans="1:15" ht="18" hidden="1" customHeight="1" outlineLevel="1" x14ac:dyDescent="0.25">
      <c r="A103" s="209"/>
      <c r="B103" s="205">
        <v>42153</v>
      </c>
      <c r="C103" s="206">
        <v>50</v>
      </c>
      <c r="D103" s="207">
        <v>37.22</v>
      </c>
      <c r="E103" s="206"/>
      <c r="F103" s="207">
        <v>1861</v>
      </c>
      <c r="G103" s="208">
        <v>42186</v>
      </c>
      <c r="H103" s="206">
        <v>50</v>
      </c>
      <c r="I103" s="207">
        <v>38.4</v>
      </c>
      <c r="J103" s="206">
        <v>0</v>
      </c>
      <c r="K103" s="207">
        <v>1920</v>
      </c>
      <c r="L103" s="208"/>
      <c r="M103" s="207"/>
      <c r="N103" s="206"/>
      <c r="O103" s="206"/>
    </row>
    <row r="104" spans="1:15" ht="18" hidden="1" customHeight="1" outlineLevel="1" x14ac:dyDescent="0.25">
      <c r="A104" s="209"/>
      <c r="B104" s="205">
        <v>42208</v>
      </c>
      <c r="C104" s="206">
        <v>100</v>
      </c>
      <c r="D104" s="207">
        <v>36</v>
      </c>
      <c r="E104" s="210"/>
      <c r="F104" s="207">
        <v>3600</v>
      </c>
      <c r="G104" s="208">
        <v>42230</v>
      </c>
      <c r="H104" s="206">
        <v>100</v>
      </c>
      <c r="I104" s="207">
        <v>35.96</v>
      </c>
      <c r="J104" s="206">
        <v>0</v>
      </c>
      <c r="K104" s="207">
        <v>3596</v>
      </c>
      <c r="L104" s="208"/>
      <c r="M104" s="207"/>
      <c r="N104" s="206"/>
      <c r="O104" s="206"/>
    </row>
    <row r="105" spans="1:15" ht="18" hidden="1" customHeight="1" outlineLevel="1" x14ac:dyDescent="0.25">
      <c r="A105" s="209"/>
      <c r="B105" s="205">
        <v>42209</v>
      </c>
      <c r="C105" s="206">
        <v>20</v>
      </c>
      <c r="D105" s="207">
        <v>35.479999999999997</v>
      </c>
      <c r="E105" s="206"/>
      <c r="F105" s="207">
        <v>709.59999999999991</v>
      </c>
      <c r="G105" s="208">
        <v>42258</v>
      </c>
      <c r="H105" s="206">
        <v>40</v>
      </c>
      <c r="I105" s="207">
        <v>36.65</v>
      </c>
      <c r="J105" s="206">
        <v>0</v>
      </c>
      <c r="K105" s="207">
        <v>1466</v>
      </c>
      <c r="L105" s="208"/>
      <c r="M105" s="207"/>
      <c r="N105" s="206"/>
      <c r="O105" s="206"/>
    </row>
    <row r="106" spans="1:15" ht="18" hidden="1" customHeight="1" outlineLevel="1" x14ac:dyDescent="0.25">
      <c r="A106" s="209"/>
      <c r="B106" s="205">
        <v>42209</v>
      </c>
      <c r="C106" s="206">
        <v>20</v>
      </c>
      <c r="D106" s="207">
        <v>35.03</v>
      </c>
      <c r="E106" s="210"/>
      <c r="F106" s="207">
        <v>700.6</v>
      </c>
      <c r="G106" s="208"/>
      <c r="H106" s="206"/>
      <c r="I106" s="207"/>
      <c r="J106" s="210"/>
      <c r="K106" s="207"/>
      <c r="L106" s="208"/>
      <c r="M106" s="207"/>
      <c r="N106" s="206"/>
      <c r="O106" s="206"/>
    </row>
    <row r="107" spans="1:15" ht="18" customHeight="1" collapsed="1" x14ac:dyDescent="0.25">
      <c r="A107" s="212"/>
      <c r="B107" s="205"/>
      <c r="C107" s="206">
        <v>190</v>
      </c>
      <c r="D107" s="207"/>
      <c r="E107" s="206"/>
      <c r="F107" s="207">
        <v>6871.2000000000007</v>
      </c>
      <c r="G107" s="208"/>
      <c r="H107" s="206">
        <v>190</v>
      </c>
      <c r="I107" s="207"/>
      <c r="J107" s="206"/>
      <c r="K107" s="207">
        <v>6982</v>
      </c>
      <c r="L107" s="208"/>
      <c r="M107" s="207"/>
      <c r="N107" s="206">
        <f t="shared" ref="N107" si="6">K107-F107</f>
        <v>110.79999999999927</v>
      </c>
      <c r="O107" s="211">
        <f t="shared" ref="O107" si="7">(N107+M107)/F107</f>
        <v>1.6125276516474454E-2</v>
      </c>
    </row>
    <row r="108" spans="1:15" ht="18" hidden="1" customHeight="1" outlineLevel="1" x14ac:dyDescent="0.25">
      <c r="A108" s="198" t="s">
        <v>41</v>
      </c>
      <c r="B108" s="41"/>
      <c r="C108" s="36"/>
      <c r="D108" s="35"/>
      <c r="E108" s="35"/>
      <c r="F108" s="35"/>
      <c r="G108" s="41"/>
      <c r="H108" s="36"/>
      <c r="I108" s="35"/>
      <c r="J108" s="35"/>
      <c r="K108" s="35"/>
      <c r="L108" s="41"/>
      <c r="M108" s="35"/>
      <c r="N108" s="35"/>
      <c r="O108" s="49"/>
    </row>
    <row r="109" spans="1:15" ht="18" hidden="1" customHeight="1" outlineLevel="1" x14ac:dyDescent="0.25">
      <c r="A109" s="199"/>
      <c r="B109" s="42">
        <v>42184</v>
      </c>
      <c r="C109" s="36">
        <v>10</v>
      </c>
      <c r="D109" s="35">
        <v>66</v>
      </c>
      <c r="E109" s="35"/>
      <c r="F109" s="35">
        <f>C109*D109</f>
        <v>660</v>
      </c>
      <c r="G109" s="42">
        <v>42219</v>
      </c>
      <c r="H109" s="36">
        <v>10</v>
      </c>
      <c r="I109" s="35">
        <v>70.45</v>
      </c>
      <c r="J109" s="35"/>
      <c r="K109" s="35">
        <f>H109*I109</f>
        <v>704.5</v>
      </c>
      <c r="L109" s="41"/>
      <c r="M109" s="35"/>
      <c r="N109" s="35"/>
      <c r="O109" s="49"/>
    </row>
    <row r="110" spans="1:15" ht="18" customHeight="1" collapsed="1" x14ac:dyDescent="0.25">
      <c r="A110" s="200"/>
      <c r="B110" s="42"/>
      <c r="C110" s="36">
        <f>SUM(C109)</f>
        <v>10</v>
      </c>
      <c r="D110" s="35"/>
      <c r="E110" s="35"/>
      <c r="F110" s="35">
        <f>SUM(F109)</f>
        <v>660</v>
      </c>
      <c r="G110" s="41"/>
      <c r="H110" s="36">
        <f>SUM(H109)</f>
        <v>10</v>
      </c>
      <c r="I110" s="35"/>
      <c r="J110" s="35"/>
      <c r="K110" s="35">
        <f>SUM(K109)</f>
        <v>704.5</v>
      </c>
      <c r="L110" s="41"/>
      <c r="M110" s="35"/>
      <c r="N110" s="35">
        <f>K110-F110</f>
        <v>44.5</v>
      </c>
      <c r="O110" s="49">
        <f>(N110+M110)/F110</f>
        <v>6.7424242424242428E-2</v>
      </c>
    </row>
    <row r="111" spans="1:15" ht="18" hidden="1" customHeight="1" outlineLevel="1" x14ac:dyDescent="0.25">
      <c r="A111" s="194" t="s">
        <v>46</v>
      </c>
      <c r="B111" s="39"/>
      <c r="C111" s="37"/>
      <c r="D111" s="34"/>
      <c r="E111" s="40"/>
      <c r="F111" s="34"/>
      <c r="G111" s="39"/>
      <c r="H111" s="37"/>
      <c r="I111" s="34"/>
      <c r="K111" s="34"/>
      <c r="L111" s="39"/>
      <c r="M111" s="34"/>
      <c r="N111" s="34"/>
      <c r="O111" s="48"/>
    </row>
    <row r="112" spans="1:15" ht="18" hidden="1" customHeight="1" outlineLevel="1" x14ac:dyDescent="0.25">
      <c r="A112" s="194"/>
      <c r="B112" s="38">
        <v>42185</v>
      </c>
      <c r="C112" s="37">
        <v>20</v>
      </c>
      <c r="D112" s="34">
        <v>28.2</v>
      </c>
      <c r="E112" s="40"/>
      <c r="F112" s="34">
        <f>C112*D112</f>
        <v>564</v>
      </c>
      <c r="G112" s="38">
        <v>42187</v>
      </c>
      <c r="H112" s="37">
        <v>20</v>
      </c>
      <c r="I112" s="34">
        <v>28.75</v>
      </c>
      <c r="K112" s="34">
        <f>H112*I112</f>
        <v>575</v>
      </c>
      <c r="L112" s="39"/>
      <c r="M112" s="34"/>
      <c r="N112" s="34"/>
      <c r="O112" s="48"/>
    </row>
    <row r="113" spans="1:15" ht="18" customHeight="1" collapsed="1" x14ac:dyDescent="0.25">
      <c r="A113" s="194"/>
      <c r="B113" s="39"/>
      <c r="C113" s="37">
        <f>SUM(C112)</f>
        <v>20</v>
      </c>
      <c r="D113" s="34"/>
      <c r="E113" s="40"/>
      <c r="F113" s="34">
        <f>SUM(F112)</f>
        <v>564</v>
      </c>
      <c r="G113" s="39"/>
      <c r="H113" s="37">
        <f>SUM(H112)</f>
        <v>20</v>
      </c>
      <c r="I113" s="34"/>
      <c r="K113" s="34">
        <f>SUM(K112)</f>
        <v>575</v>
      </c>
      <c r="L113" s="39"/>
      <c r="M113" s="34"/>
      <c r="N113" s="34">
        <f>K113-F113</f>
        <v>11</v>
      </c>
      <c r="O113" s="48">
        <f>(N113+M113)/F113</f>
        <v>1.9503546099290781E-2</v>
      </c>
    </row>
    <row r="114" spans="1:15" ht="18" hidden="1" customHeight="1" outlineLevel="1" x14ac:dyDescent="0.25">
      <c r="A114" s="195" t="s">
        <v>28</v>
      </c>
      <c r="B114" s="41"/>
      <c r="C114" s="36"/>
      <c r="D114" s="35"/>
      <c r="E114" s="35"/>
      <c r="F114" s="35"/>
      <c r="G114" s="41"/>
      <c r="H114" s="36"/>
      <c r="I114" s="35"/>
      <c r="J114" s="35"/>
      <c r="K114" s="35"/>
      <c r="L114" s="41"/>
      <c r="M114" s="35"/>
      <c r="N114" s="35"/>
      <c r="O114" s="49"/>
    </row>
    <row r="115" spans="1:15" ht="18" hidden="1" customHeight="1" outlineLevel="1" x14ac:dyDescent="0.25">
      <c r="A115" s="195"/>
      <c r="B115" s="42">
        <v>42164</v>
      </c>
      <c r="C115" s="36">
        <v>20</v>
      </c>
      <c r="D115" s="35">
        <v>29.9</v>
      </c>
      <c r="E115" s="35"/>
      <c r="F115" s="35">
        <f>C115*D115</f>
        <v>598</v>
      </c>
      <c r="G115" s="42">
        <v>42187</v>
      </c>
      <c r="H115" s="36">
        <v>40</v>
      </c>
      <c r="I115" s="35">
        <v>30.4</v>
      </c>
      <c r="J115" s="35"/>
      <c r="K115" s="35">
        <f>H115*I115</f>
        <v>1216</v>
      </c>
      <c r="L115" s="41"/>
      <c r="M115" s="35"/>
      <c r="N115" s="35"/>
      <c r="O115" s="49"/>
    </row>
    <row r="116" spans="1:15" ht="18" hidden="1" customHeight="1" outlineLevel="1" x14ac:dyDescent="0.25">
      <c r="A116" s="195"/>
      <c r="B116" s="42">
        <v>42166</v>
      </c>
      <c r="C116" s="36">
        <v>20</v>
      </c>
      <c r="D116" s="35">
        <v>29.3</v>
      </c>
      <c r="E116" s="35"/>
      <c r="F116" s="35">
        <f>C116*D116</f>
        <v>586</v>
      </c>
      <c r="G116" s="41"/>
      <c r="H116" s="36"/>
      <c r="I116" s="35"/>
      <c r="J116" s="192"/>
      <c r="K116" s="35">
        <f>H116*I116</f>
        <v>0</v>
      </c>
      <c r="L116" s="41"/>
      <c r="M116" s="35"/>
      <c r="N116" s="35"/>
      <c r="O116" s="49"/>
    </row>
    <row r="117" spans="1:15" ht="18" customHeight="1" collapsed="1" x14ac:dyDescent="0.25">
      <c r="A117" s="195"/>
      <c r="B117" s="42"/>
      <c r="C117" s="36">
        <f>SUM(C115:C116)</f>
        <v>40</v>
      </c>
      <c r="D117" s="35"/>
      <c r="E117" s="35"/>
      <c r="F117" s="35">
        <f>SUM(F115:F116)</f>
        <v>1184</v>
      </c>
      <c r="G117" s="41"/>
      <c r="H117" s="36">
        <f>SUM(H115:H116)</f>
        <v>40</v>
      </c>
      <c r="I117" s="35"/>
      <c r="J117" s="35"/>
      <c r="K117" s="35">
        <f>SUM(K115:K116)</f>
        <v>1216</v>
      </c>
      <c r="L117" s="41"/>
      <c r="M117" s="35"/>
      <c r="N117" s="35">
        <f>K117-F117</f>
        <v>32</v>
      </c>
      <c r="O117" s="49">
        <f>(N117+M117)/F117</f>
        <v>2.7027027027027029E-2</v>
      </c>
    </row>
    <row r="118" spans="1:15" ht="18" hidden="1" customHeight="1" outlineLevel="1" x14ac:dyDescent="0.25">
      <c r="A118" s="194" t="s">
        <v>0</v>
      </c>
      <c r="B118" s="39"/>
      <c r="C118" s="37"/>
      <c r="D118" s="34"/>
      <c r="E118" s="40"/>
      <c r="F118" s="34"/>
      <c r="G118" s="39"/>
      <c r="H118" s="37"/>
      <c r="I118" s="34"/>
      <c r="K118" s="34"/>
      <c r="L118" s="39"/>
      <c r="M118" s="34"/>
      <c r="N118" s="34"/>
      <c r="O118" s="48"/>
    </row>
    <row r="119" spans="1:15" ht="18" hidden="1" customHeight="1" outlineLevel="1" x14ac:dyDescent="0.25">
      <c r="A119" s="194"/>
      <c r="B119" s="38">
        <v>42144</v>
      </c>
      <c r="C119" s="37">
        <v>50</v>
      </c>
      <c r="D119" s="34">
        <v>130.16999999999999</v>
      </c>
      <c r="E119" s="40"/>
      <c r="F119" s="34">
        <f>C119*D119</f>
        <v>6508.4999999999991</v>
      </c>
      <c r="G119" s="38">
        <v>42186</v>
      </c>
      <c r="H119" s="37">
        <v>50</v>
      </c>
      <c r="I119" s="34">
        <v>133.5</v>
      </c>
      <c r="K119" s="34">
        <f>H119*I119</f>
        <v>6675</v>
      </c>
      <c r="L119" s="38">
        <v>42200</v>
      </c>
      <c r="M119" s="34">
        <v>7.5</v>
      </c>
      <c r="N119" s="37"/>
      <c r="O119" s="37"/>
    </row>
    <row r="120" spans="1:15" ht="18" customHeight="1" collapsed="1" x14ac:dyDescent="0.25">
      <c r="A120" s="194"/>
      <c r="B120" s="38"/>
      <c r="C120" s="37">
        <f>SUM(C119)</f>
        <v>50</v>
      </c>
      <c r="D120" s="34"/>
      <c r="E120" s="40"/>
      <c r="F120" s="34">
        <f>SUM(F119)</f>
        <v>6508.4999999999991</v>
      </c>
      <c r="G120" s="39"/>
      <c r="H120" s="37">
        <f>SUM(H119)</f>
        <v>50</v>
      </c>
      <c r="I120" s="34"/>
      <c r="K120" s="34">
        <f>SUM(K119)</f>
        <v>6675</v>
      </c>
      <c r="L120" s="39"/>
      <c r="M120" s="34">
        <f>SUM(M119)</f>
        <v>7.5</v>
      </c>
      <c r="N120" s="34">
        <f>K120-F120</f>
        <v>166.50000000000091</v>
      </c>
      <c r="O120" s="48">
        <f>(N120+M120)/F120</f>
        <v>2.6734270569255734E-2</v>
      </c>
    </row>
    <row r="121" spans="1:15" ht="18" hidden="1" customHeight="1" outlineLevel="1" x14ac:dyDescent="0.25">
      <c r="A121" s="195" t="s">
        <v>49</v>
      </c>
      <c r="B121" s="41"/>
      <c r="C121" s="36"/>
      <c r="D121" s="35"/>
      <c r="E121" s="35"/>
      <c r="F121" s="35"/>
      <c r="G121" s="41"/>
      <c r="H121" s="36"/>
      <c r="I121" s="35"/>
      <c r="J121" s="35"/>
      <c r="K121" s="35"/>
      <c r="L121" s="41"/>
      <c r="M121" s="35"/>
      <c r="N121" s="35"/>
      <c r="O121" s="49"/>
    </row>
    <row r="122" spans="1:15" ht="18" hidden="1" customHeight="1" outlineLevel="1" x14ac:dyDescent="0.25">
      <c r="A122" s="195"/>
      <c r="B122" s="42">
        <v>42186</v>
      </c>
      <c r="C122" s="36">
        <v>100</v>
      </c>
      <c r="D122" s="35">
        <v>27.5</v>
      </c>
      <c r="E122" s="35"/>
      <c r="F122" s="35">
        <f>C122*D122</f>
        <v>2750</v>
      </c>
      <c r="G122" s="42">
        <v>42219</v>
      </c>
      <c r="H122" s="36">
        <v>100</v>
      </c>
      <c r="I122" s="35">
        <v>29.5</v>
      </c>
      <c r="J122" s="192"/>
      <c r="K122" s="35">
        <f>H122*I122</f>
        <v>2950</v>
      </c>
      <c r="L122" s="41"/>
      <c r="M122" s="35"/>
      <c r="N122" s="35"/>
      <c r="O122" s="49"/>
    </row>
    <row r="123" spans="1:15" ht="18" customHeight="1" collapsed="1" x14ac:dyDescent="0.25">
      <c r="A123" s="195"/>
      <c r="B123" s="42"/>
      <c r="C123" s="36">
        <f>SUM(C122)</f>
        <v>100</v>
      </c>
      <c r="D123" s="35"/>
      <c r="E123" s="192"/>
      <c r="F123" s="35">
        <f>SUM(F122)</f>
        <v>2750</v>
      </c>
      <c r="G123" s="41"/>
      <c r="H123" s="36">
        <f>SUM(H122)</f>
        <v>100</v>
      </c>
      <c r="I123" s="35"/>
      <c r="J123" s="35"/>
      <c r="K123" s="35">
        <f>SUM(K122)</f>
        <v>2950</v>
      </c>
      <c r="L123" s="41"/>
      <c r="M123" s="35"/>
      <c r="N123" s="35">
        <f>K123-F123</f>
        <v>200</v>
      </c>
      <c r="O123" s="49">
        <f>(N123+M123)/F123</f>
        <v>7.2727272727272724E-2</v>
      </c>
    </row>
    <row r="124" spans="1:15" ht="18" hidden="1" customHeight="1" outlineLevel="1" x14ac:dyDescent="0.25">
      <c r="A124" s="194" t="s">
        <v>13</v>
      </c>
      <c r="B124" s="39"/>
      <c r="C124" s="37"/>
      <c r="D124" s="34"/>
      <c r="E124" s="40"/>
      <c r="F124" s="34"/>
      <c r="G124" s="39"/>
      <c r="H124" s="37"/>
      <c r="I124" s="34"/>
      <c r="K124" s="34"/>
      <c r="L124" s="39"/>
      <c r="M124" s="34"/>
      <c r="N124" s="34"/>
      <c r="O124" s="37"/>
    </row>
    <row r="125" spans="1:15" ht="18" hidden="1" customHeight="1" outlineLevel="1" x14ac:dyDescent="0.25">
      <c r="A125" s="194"/>
      <c r="B125" s="38">
        <v>42151</v>
      </c>
      <c r="C125" s="37">
        <v>5</v>
      </c>
      <c r="D125" s="34">
        <v>54.2</v>
      </c>
      <c r="E125" s="40"/>
      <c r="F125" s="34">
        <f t="shared" ref="F125:F131" si="8">C125*D125</f>
        <v>271</v>
      </c>
      <c r="G125" s="38">
        <v>42181</v>
      </c>
      <c r="H125" s="37">
        <v>25</v>
      </c>
      <c r="I125" s="34">
        <v>55.4</v>
      </c>
      <c r="K125" s="34">
        <f>H125*I125</f>
        <v>1385</v>
      </c>
      <c r="L125" s="39"/>
      <c r="M125" s="34"/>
      <c r="N125" s="34"/>
      <c r="O125" s="48"/>
    </row>
    <row r="126" spans="1:15" ht="18" hidden="1" customHeight="1" outlineLevel="1" x14ac:dyDescent="0.25">
      <c r="A126" s="194"/>
      <c r="B126" s="38">
        <v>42152</v>
      </c>
      <c r="C126" s="37">
        <v>20</v>
      </c>
      <c r="D126" s="34">
        <v>53.35</v>
      </c>
      <c r="E126" s="40"/>
      <c r="F126" s="34">
        <f t="shared" si="8"/>
        <v>1067</v>
      </c>
      <c r="G126" s="38">
        <v>42200</v>
      </c>
      <c r="H126" s="37">
        <v>225</v>
      </c>
      <c r="I126" s="34">
        <v>55.56</v>
      </c>
      <c r="K126" s="34">
        <f>H126*I126</f>
        <v>12501</v>
      </c>
      <c r="L126" s="39"/>
      <c r="M126" s="34"/>
      <c r="N126" s="34"/>
      <c r="O126" s="48"/>
    </row>
    <row r="127" spans="1:15" ht="18" hidden="1" customHeight="1" outlineLevel="1" x14ac:dyDescent="0.25">
      <c r="A127" s="194"/>
      <c r="B127" s="38">
        <v>42153</v>
      </c>
      <c r="C127" s="37">
        <v>25</v>
      </c>
      <c r="D127" s="34">
        <v>52.35</v>
      </c>
      <c r="E127" s="40"/>
      <c r="F127" s="34">
        <f t="shared" si="8"/>
        <v>1308.75</v>
      </c>
      <c r="G127" s="39"/>
      <c r="H127" s="37"/>
      <c r="I127" s="34"/>
      <c r="K127" s="34"/>
      <c r="L127" s="39"/>
      <c r="M127" s="34"/>
      <c r="N127" s="34"/>
      <c r="O127" s="48"/>
    </row>
    <row r="128" spans="1:15" ht="18" hidden="1" customHeight="1" outlineLevel="1" x14ac:dyDescent="0.25">
      <c r="A128" s="194"/>
      <c r="B128" s="38">
        <v>42153</v>
      </c>
      <c r="C128" s="37">
        <v>25</v>
      </c>
      <c r="D128" s="34">
        <v>51.75</v>
      </c>
      <c r="E128" s="40"/>
      <c r="F128" s="34">
        <f t="shared" si="8"/>
        <v>1293.75</v>
      </c>
      <c r="G128" s="39"/>
      <c r="H128" s="37"/>
      <c r="I128" s="34"/>
      <c r="K128" s="34"/>
      <c r="L128" s="39"/>
      <c r="M128" s="34"/>
      <c r="N128" s="34"/>
      <c r="O128" s="48"/>
    </row>
    <row r="129" spans="1:15" ht="18" hidden="1" customHeight="1" outlineLevel="1" x14ac:dyDescent="0.25">
      <c r="A129" s="194"/>
      <c r="B129" s="38">
        <v>42166</v>
      </c>
      <c r="C129" s="37">
        <v>25</v>
      </c>
      <c r="D129" s="34">
        <v>52.1</v>
      </c>
      <c r="E129" s="40"/>
      <c r="F129" s="34">
        <f t="shared" si="8"/>
        <v>1302.5</v>
      </c>
      <c r="G129" s="39"/>
      <c r="H129" s="37"/>
      <c r="I129" s="34"/>
      <c r="K129" s="34"/>
      <c r="L129" s="39"/>
      <c r="M129" s="34"/>
      <c r="N129" s="34"/>
      <c r="O129" s="48"/>
    </row>
    <row r="130" spans="1:15" ht="18" hidden="1" customHeight="1" outlineLevel="1" x14ac:dyDescent="0.25">
      <c r="A130" s="194"/>
      <c r="B130" s="38">
        <v>42166</v>
      </c>
      <c r="C130" s="37">
        <v>50</v>
      </c>
      <c r="D130" s="34">
        <v>51.5</v>
      </c>
      <c r="E130" s="40"/>
      <c r="F130" s="34">
        <f t="shared" si="8"/>
        <v>2575</v>
      </c>
      <c r="G130" s="39"/>
      <c r="H130" s="37"/>
      <c r="I130" s="34"/>
      <c r="K130" s="34"/>
      <c r="L130" s="39"/>
      <c r="M130" s="34"/>
      <c r="N130" s="34"/>
      <c r="O130" s="48"/>
    </row>
    <row r="131" spans="1:15" ht="18" hidden="1" customHeight="1" outlineLevel="1" x14ac:dyDescent="0.25">
      <c r="A131" s="194"/>
      <c r="B131" s="38">
        <v>42166</v>
      </c>
      <c r="C131" s="37">
        <v>100</v>
      </c>
      <c r="D131" s="34">
        <v>51.35</v>
      </c>
      <c r="E131" s="40"/>
      <c r="F131" s="34">
        <f t="shared" si="8"/>
        <v>5135</v>
      </c>
      <c r="G131" s="39"/>
      <c r="H131" s="37"/>
      <c r="I131" s="34"/>
      <c r="K131" s="34"/>
      <c r="L131" s="39"/>
      <c r="M131" s="34"/>
      <c r="N131" s="34"/>
      <c r="O131" s="48"/>
    </row>
    <row r="132" spans="1:15" ht="18" customHeight="1" collapsed="1" x14ac:dyDescent="0.25">
      <c r="A132" s="194"/>
      <c r="B132" s="38"/>
      <c r="C132" s="37">
        <f>SUM(C125:C131)</f>
        <v>250</v>
      </c>
      <c r="D132" s="34"/>
      <c r="E132" s="40"/>
      <c r="F132" s="34">
        <f>SUM(F125:F131)</f>
        <v>12953</v>
      </c>
      <c r="G132" s="39"/>
      <c r="H132" s="37">
        <f>SUM(H125:H131)</f>
        <v>250</v>
      </c>
      <c r="I132" s="34"/>
      <c r="K132" s="34">
        <f>SUM(K125:K131)</f>
        <v>13886</v>
      </c>
      <c r="L132" s="39"/>
      <c r="M132" s="34"/>
      <c r="N132" s="34">
        <f>K132-F132</f>
        <v>933</v>
      </c>
      <c r="O132" s="48">
        <f>(N132+M132)/F132</f>
        <v>7.202964564193623E-2</v>
      </c>
    </row>
    <row r="133" spans="1:15" ht="18" hidden="1" customHeight="1" outlineLevel="1" x14ac:dyDescent="0.25">
      <c r="A133" s="195" t="s">
        <v>20</v>
      </c>
      <c r="B133" s="41"/>
      <c r="C133" s="36"/>
      <c r="D133" s="35"/>
      <c r="E133" s="35"/>
      <c r="F133" s="35"/>
      <c r="G133" s="41"/>
      <c r="H133" s="36"/>
      <c r="I133" s="35"/>
      <c r="J133" s="35"/>
      <c r="K133" s="35"/>
      <c r="L133" s="41"/>
      <c r="M133" s="35"/>
      <c r="N133" s="35"/>
      <c r="O133" s="49"/>
    </row>
    <row r="134" spans="1:15" ht="18" hidden="1" customHeight="1" outlineLevel="1" x14ac:dyDescent="0.25">
      <c r="A134" s="195"/>
      <c r="B134" s="42">
        <v>42153</v>
      </c>
      <c r="C134" s="36">
        <v>50</v>
      </c>
      <c r="D134" s="35">
        <v>20.99</v>
      </c>
      <c r="E134" s="192"/>
      <c r="F134" s="35">
        <f>C134*D134</f>
        <v>1049.5</v>
      </c>
      <c r="G134" s="42">
        <v>42186</v>
      </c>
      <c r="H134" s="36">
        <v>297</v>
      </c>
      <c r="I134" s="35">
        <v>19.399999999999999</v>
      </c>
      <c r="J134" s="35"/>
      <c r="K134" s="35">
        <f>H134*I134</f>
        <v>5761.7999999999993</v>
      </c>
      <c r="L134" s="41"/>
      <c r="M134" s="35"/>
      <c r="N134" s="35"/>
      <c r="O134" s="49"/>
    </row>
    <row r="135" spans="1:15" ht="18" hidden="1" customHeight="1" outlineLevel="1" x14ac:dyDescent="0.25">
      <c r="A135" s="195"/>
      <c r="B135" s="42">
        <v>42185</v>
      </c>
      <c r="C135" s="36">
        <v>100</v>
      </c>
      <c r="D135" s="35">
        <v>20.6</v>
      </c>
      <c r="E135" s="35"/>
      <c r="F135" s="35">
        <f>C135*D135</f>
        <v>2060</v>
      </c>
      <c r="G135" s="42">
        <v>42186</v>
      </c>
      <c r="H135" s="36">
        <v>300</v>
      </c>
      <c r="I135" s="35">
        <v>20.28</v>
      </c>
      <c r="J135" s="35"/>
      <c r="K135" s="35">
        <f>H135*I135</f>
        <v>6084</v>
      </c>
      <c r="L135" s="41"/>
      <c r="M135" s="35"/>
      <c r="N135" s="35"/>
      <c r="O135" s="49"/>
    </row>
    <row r="136" spans="1:15" ht="18" hidden="1" customHeight="1" outlineLevel="1" x14ac:dyDescent="0.25">
      <c r="A136" s="195"/>
      <c r="B136" s="42">
        <v>42186</v>
      </c>
      <c r="C136" s="36">
        <v>150</v>
      </c>
      <c r="D136" s="35">
        <v>19.95</v>
      </c>
      <c r="E136" s="35"/>
      <c r="F136" s="35">
        <f>C136*D136</f>
        <v>2992.5</v>
      </c>
      <c r="G136" s="42">
        <v>42186</v>
      </c>
      <c r="H136" s="36">
        <v>300</v>
      </c>
      <c r="I136" s="35">
        <v>19.75</v>
      </c>
      <c r="J136" s="35"/>
      <c r="K136" s="35">
        <f>H136*I136</f>
        <v>5925</v>
      </c>
      <c r="L136" s="41"/>
      <c r="M136" s="35"/>
      <c r="N136" s="35"/>
      <c r="O136" s="49"/>
    </row>
    <row r="137" spans="1:15" ht="18" hidden="1" customHeight="1" outlineLevel="1" x14ac:dyDescent="0.25">
      <c r="A137" s="195"/>
      <c r="B137" s="42">
        <v>42186</v>
      </c>
      <c r="C137" s="36">
        <v>300</v>
      </c>
      <c r="D137" s="35">
        <v>19.7</v>
      </c>
      <c r="E137" s="192"/>
      <c r="F137" s="35">
        <f>C137*D137</f>
        <v>5910</v>
      </c>
      <c r="G137" s="41"/>
      <c r="H137" s="36"/>
      <c r="I137" s="35"/>
      <c r="J137" s="35"/>
      <c r="K137" s="35"/>
      <c r="L137" s="41"/>
      <c r="M137" s="35"/>
      <c r="N137" s="35"/>
      <c r="O137" s="49"/>
    </row>
    <row r="138" spans="1:15" ht="18" hidden="1" customHeight="1" outlineLevel="1" x14ac:dyDescent="0.25">
      <c r="A138" s="195"/>
      <c r="B138" s="42">
        <v>42186</v>
      </c>
      <c r="C138" s="36">
        <v>297</v>
      </c>
      <c r="D138" s="35">
        <v>19.13</v>
      </c>
      <c r="E138" s="35"/>
      <c r="F138" s="35">
        <f>C138*D138</f>
        <v>5681.61</v>
      </c>
      <c r="G138" s="41"/>
      <c r="H138" s="36"/>
      <c r="I138" s="35"/>
      <c r="J138" s="35"/>
      <c r="K138" s="35"/>
      <c r="L138" s="41"/>
      <c r="M138" s="35"/>
      <c r="N138" s="35"/>
      <c r="O138" s="49"/>
    </row>
    <row r="139" spans="1:15" ht="18" customHeight="1" collapsed="1" x14ac:dyDescent="0.25">
      <c r="A139" s="195"/>
      <c r="B139" s="42"/>
      <c r="C139" s="36">
        <f>SUM(C134:C138)</f>
        <v>897</v>
      </c>
      <c r="D139" s="35"/>
      <c r="E139" s="35"/>
      <c r="F139" s="35">
        <f>SUM(F134:F138)</f>
        <v>17693.61</v>
      </c>
      <c r="G139" s="41"/>
      <c r="H139" s="36">
        <f>SUM(H134:H138)</f>
        <v>897</v>
      </c>
      <c r="I139" s="35"/>
      <c r="J139" s="35"/>
      <c r="K139" s="35">
        <f>SUM(K134:K138)</f>
        <v>17770.8</v>
      </c>
      <c r="L139" s="41"/>
      <c r="M139" s="35"/>
      <c r="N139" s="35">
        <f>K139-F139</f>
        <v>77.18999999999869</v>
      </c>
      <c r="O139" s="49">
        <f>(N139+M139)/F139</f>
        <v>4.362591918777383E-3</v>
      </c>
    </row>
    <row r="140" spans="1:15" ht="18" hidden="1" customHeight="1" outlineLevel="1" x14ac:dyDescent="0.25">
      <c r="A140" s="194" t="s">
        <v>31</v>
      </c>
      <c r="B140" s="39"/>
      <c r="C140" s="37"/>
      <c r="D140" s="34"/>
      <c r="E140" s="40"/>
      <c r="F140" s="34"/>
      <c r="G140" s="39"/>
      <c r="H140" s="37"/>
      <c r="I140" s="34"/>
      <c r="K140" s="34"/>
      <c r="L140" s="39"/>
      <c r="M140" s="34"/>
      <c r="N140" s="34"/>
      <c r="O140" s="48"/>
    </row>
    <row r="141" spans="1:15" ht="18" hidden="1" customHeight="1" outlineLevel="1" x14ac:dyDescent="0.25">
      <c r="A141" s="194"/>
      <c r="B141" s="38">
        <v>42165</v>
      </c>
      <c r="C141" s="37">
        <v>1</v>
      </c>
      <c r="D141" s="34">
        <v>73.03</v>
      </c>
      <c r="E141" s="40"/>
      <c r="F141" s="34">
        <f>C141*D141</f>
        <v>73.03</v>
      </c>
      <c r="G141" s="38">
        <v>42195</v>
      </c>
      <c r="H141" s="37">
        <v>1</v>
      </c>
      <c r="I141" s="34">
        <v>73.5</v>
      </c>
      <c r="K141" s="34">
        <f>H141*I141</f>
        <v>73.5</v>
      </c>
      <c r="L141" s="39"/>
      <c r="M141" s="34"/>
      <c r="N141" s="34"/>
      <c r="O141" s="48"/>
    </row>
    <row r="142" spans="1:15" ht="18" customHeight="1" collapsed="1" x14ac:dyDescent="0.25">
      <c r="A142" s="194"/>
      <c r="B142" s="38"/>
      <c r="C142" s="37">
        <f>SUM(C141)</f>
        <v>1</v>
      </c>
      <c r="D142" s="34"/>
      <c r="E142" s="40"/>
      <c r="F142" s="34">
        <f>SUM(F141)</f>
        <v>73.03</v>
      </c>
      <c r="G142" s="39"/>
      <c r="H142" s="37">
        <f>SUM(H141)</f>
        <v>1</v>
      </c>
      <c r="I142" s="34"/>
      <c r="K142" s="34">
        <f>SUM(K141)</f>
        <v>73.5</v>
      </c>
      <c r="L142" s="39"/>
      <c r="M142" s="34"/>
      <c r="N142" s="34">
        <f>K142-F142</f>
        <v>0.46999999999999886</v>
      </c>
      <c r="O142" s="48">
        <f>(N142+M142)/F142</f>
        <v>6.435711351499368E-3</v>
      </c>
    </row>
    <row r="143" spans="1:15" ht="18" customHeight="1" x14ac:dyDescent="0.25">
      <c r="L143" s="44"/>
      <c r="M143" s="50"/>
    </row>
    <row r="144" spans="1:15" ht="18" customHeight="1" x14ac:dyDescent="0.25">
      <c r="M144" s="47" t="s">
        <v>70</v>
      </c>
      <c r="N144" s="45">
        <f>SUM(N1:N142)</f>
        <v>5646.1500000000015</v>
      </c>
    </row>
    <row r="148" spans="1:15" ht="18" customHeight="1" x14ac:dyDescent="0.25">
      <c r="A148" s="77"/>
      <c r="B148" s="78"/>
      <c r="C148" s="79"/>
      <c r="D148" s="78"/>
      <c r="E148" s="80"/>
      <c r="F148" s="78"/>
      <c r="G148" s="79"/>
      <c r="H148" s="78"/>
      <c r="I148" s="80"/>
      <c r="J148" s="78"/>
      <c r="K148" s="80"/>
      <c r="L148" s="79"/>
      <c r="M148" s="79"/>
      <c r="N148" s="78"/>
      <c r="O148" s="78"/>
    </row>
    <row r="149" spans="1:15" ht="18" customHeight="1" x14ac:dyDescent="0.25">
      <c r="A149" s="196" t="s">
        <v>139</v>
      </c>
      <c r="B149" s="196"/>
      <c r="C149" s="196"/>
      <c r="D149" s="196"/>
      <c r="E149" s="196"/>
      <c r="F149" s="196"/>
    </row>
    <row r="150" spans="1:15" ht="18" customHeight="1" x14ac:dyDescent="0.25">
      <c r="A150" s="197"/>
      <c r="B150" s="197"/>
      <c r="C150" s="197"/>
      <c r="D150" s="197"/>
      <c r="E150" s="197"/>
      <c r="F150" s="197"/>
    </row>
    <row r="151" spans="1:15" ht="18" customHeight="1" x14ac:dyDescent="0.25">
      <c r="A151" s="76"/>
      <c r="B151" s="76"/>
      <c r="C151" s="76"/>
      <c r="D151" s="76"/>
      <c r="E151" s="76"/>
      <c r="F151" s="76"/>
    </row>
    <row r="152" spans="1:15" ht="18" customHeight="1" x14ac:dyDescent="0.25">
      <c r="A152" s="76"/>
      <c r="B152" s="33" t="s">
        <v>141</v>
      </c>
      <c r="C152" s="33" t="s">
        <v>140</v>
      </c>
      <c r="D152" s="33" t="s">
        <v>142</v>
      </c>
      <c r="E152" s="47" t="s">
        <v>181</v>
      </c>
      <c r="F152" s="193" t="s">
        <v>83</v>
      </c>
    </row>
    <row r="153" spans="1:15" ht="18" customHeight="1" x14ac:dyDescent="0.25">
      <c r="A153" s="40"/>
      <c r="B153" s="75"/>
      <c r="C153" s="44"/>
      <c r="D153" s="44"/>
    </row>
    <row r="154" spans="1:15" ht="18" customHeight="1" x14ac:dyDescent="0.25">
      <c r="A154" s="40"/>
      <c r="B154" s="75">
        <v>42233</v>
      </c>
      <c r="C154" s="81">
        <v>322588.21000000002</v>
      </c>
      <c r="D154" s="44">
        <v>360000</v>
      </c>
      <c r="E154" s="44">
        <f>C154-D154</f>
        <v>-37411.789999999979</v>
      </c>
      <c r="F154" s="106">
        <f>E154/D154</f>
        <v>-0.10392163888888883</v>
      </c>
    </row>
    <row r="155" spans="1:15" ht="18" customHeight="1" x14ac:dyDescent="0.25">
      <c r="A155" s="40"/>
      <c r="B155" s="75">
        <v>42234</v>
      </c>
      <c r="C155" s="81">
        <v>319994.03000000003</v>
      </c>
      <c r="D155" s="44">
        <v>360000</v>
      </c>
      <c r="E155" s="44">
        <f t="shared" ref="E155:E163" si="9">C155-D155</f>
        <v>-40005.969999999972</v>
      </c>
      <c r="F155" s="106">
        <f t="shared" ref="F155:F163" si="10">E155/D155</f>
        <v>-0.11112769444444437</v>
      </c>
    </row>
    <row r="156" spans="1:15" ht="18" customHeight="1" x14ac:dyDescent="0.25">
      <c r="A156" s="40"/>
      <c r="B156" s="75">
        <v>42235</v>
      </c>
      <c r="C156" s="81">
        <v>311839.78000000003</v>
      </c>
      <c r="D156" s="44">
        <v>360000</v>
      </c>
      <c r="E156" s="44">
        <f t="shared" si="9"/>
        <v>-48160.219999999972</v>
      </c>
      <c r="F156" s="106">
        <f t="shared" si="10"/>
        <v>-0.13377838888888882</v>
      </c>
    </row>
    <row r="157" spans="1:15" ht="18" customHeight="1" x14ac:dyDescent="0.25">
      <c r="A157" s="40"/>
      <c r="B157" s="75">
        <v>42236</v>
      </c>
      <c r="C157" s="81">
        <v>301697.40999999997</v>
      </c>
      <c r="D157" s="44">
        <v>360000</v>
      </c>
      <c r="E157" s="44">
        <f t="shared" si="9"/>
        <v>-58302.590000000026</v>
      </c>
      <c r="F157" s="106">
        <f t="shared" si="10"/>
        <v>-0.16195163888888897</v>
      </c>
    </row>
    <row r="158" spans="1:15" ht="18" customHeight="1" x14ac:dyDescent="0.25">
      <c r="A158" s="40"/>
      <c r="B158" s="75">
        <v>42237</v>
      </c>
      <c r="C158" s="81">
        <v>295093.56</v>
      </c>
      <c r="D158" s="44">
        <v>360000</v>
      </c>
      <c r="E158" s="44">
        <f t="shared" si="9"/>
        <v>-64906.44</v>
      </c>
      <c r="F158" s="106">
        <f t="shared" si="10"/>
        <v>-0.18029566666666666</v>
      </c>
    </row>
    <row r="159" spans="1:15" ht="18" customHeight="1" x14ac:dyDescent="0.25">
      <c r="A159" s="40"/>
      <c r="B159" s="75">
        <v>42240</v>
      </c>
      <c r="C159" s="81">
        <v>283095.28999999998</v>
      </c>
      <c r="D159" s="44">
        <v>360000</v>
      </c>
      <c r="E159" s="44">
        <f t="shared" si="9"/>
        <v>-76904.710000000021</v>
      </c>
      <c r="F159" s="106">
        <f t="shared" si="10"/>
        <v>-0.2136241944444445</v>
      </c>
    </row>
    <row r="160" spans="1:15" ht="18" customHeight="1" x14ac:dyDescent="0.25">
      <c r="A160" s="40"/>
      <c r="B160" s="75">
        <v>42241</v>
      </c>
      <c r="C160" s="81">
        <v>276943.21000000002</v>
      </c>
      <c r="D160" s="44">
        <v>360000</v>
      </c>
      <c r="E160" s="44">
        <f t="shared" si="9"/>
        <v>-83056.789999999979</v>
      </c>
      <c r="F160" s="106">
        <f t="shared" si="10"/>
        <v>-0.2307133055555555</v>
      </c>
    </row>
    <row r="161" spans="1:6" ht="18" customHeight="1" x14ac:dyDescent="0.25">
      <c r="A161" s="40"/>
      <c r="B161" s="75">
        <v>42242</v>
      </c>
      <c r="C161" s="81">
        <v>284832.2</v>
      </c>
      <c r="D161" s="44">
        <v>360000</v>
      </c>
      <c r="E161" s="44">
        <f t="shared" si="9"/>
        <v>-75167.799999999988</v>
      </c>
      <c r="F161" s="106">
        <f t="shared" si="10"/>
        <v>-0.2087994444444444</v>
      </c>
    </row>
    <row r="162" spans="1:6" ht="18" customHeight="1" x14ac:dyDescent="0.25">
      <c r="A162" s="40"/>
      <c r="B162" s="75">
        <v>42243</v>
      </c>
      <c r="C162" s="81">
        <v>300742.98</v>
      </c>
      <c r="D162" s="44">
        <v>360000</v>
      </c>
      <c r="E162" s="44">
        <f t="shared" si="9"/>
        <v>-59257.020000000019</v>
      </c>
      <c r="F162" s="106">
        <f t="shared" si="10"/>
        <v>-0.16460283333333339</v>
      </c>
    </row>
    <row r="163" spans="1:6" ht="18" customHeight="1" x14ac:dyDescent="0.25">
      <c r="A163" s="40"/>
      <c r="B163" s="75">
        <v>42244</v>
      </c>
      <c r="C163" s="81">
        <v>307941.06</v>
      </c>
      <c r="D163" s="44">
        <v>360000</v>
      </c>
      <c r="E163" s="44">
        <f t="shared" si="9"/>
        <v>-52058.94</v>
      </c>
      <c r="F163" s="106">
        <f t="shared" si="10"/>
        <v>-0.14460816666666668</v>
      </c>
    </row>
    <row r="164" spans="1:6" ht="18" customHeight="1" x14ac:dyDescent="0.25">
      <c r="A164" s="40"/>
      <c r="B164" s="75">
        <v>42247</v>
      </c>
      <c r="C164" s="81">
        <v>311200.71000000002</v>
      </c>
      <c r="D164" s="44">
        <v>360000</v>
      </c>
      <c r="E164" s="44">
        <f t="shared" ref="E164:E171" si="11">C164-D164</f>
        <v>-48799.289999999979</v>
      </c>
      <c r="F164" s="106">
        <f t="shared" ref="F164:F171" si="12">E164/D164</f>
        <v>-0.13555358333333328</v>
      </c>
    </row>
    <row r="165" spans="1:6" ht="18" customHeight="1" x14ac:dyDescent="0.25">
      <c r="A165" s="40"/>
      <c r="B165" s="75">
        <v>42248</v>
      </c>
      <c r="C165" s="81">
        <v>307440.78999999998</v>
      </c>
      <c r="D165" s="44">
        <v>365000</v>
      </c>
      <c r="E165" s="44">
        <f t="shared" si="11"/>
        <v>-57559.210000000021</v>
      </c>
      <c r="F165" s="106">
        <f t="shared" si="12"/>
        <v>-0.15769646575342472</v>
      </c>
    </row>
    <row r="166" spans="1:6" ht="18" customHeight="1" x14ac:dyDescent="0.25">
      <c r="A166" s="40"/>
      <c r="B166" s="75">
        <v>42249</v>
      </c>
      <c r="C166" s="81">
        <v>326031.94</v>
      </c>
      <c r="D166" s="44">
        <v>380000</v>
      </c>
      <c r="E166" s="44">
        <f t="shared" si="11"/>
        <v>-53968.06</v>
      </c>
      <c r="F166" s="106">
        <f t="shared" si="12"/>
        <v>-0.14202121052631578</v>
      </c>
    </row>
    <row r="167" spans="1:6" ht="18" customHeight="1" x14ac:dyDescent="0.25">
      <c r="A167" s="40"/>
      <c r="B167" s="75">
        <v>42250</v>
      </c>
      <c r="C167" s="81">
        <v>328219.34000000003</v>
      </c>
      <c r="D167" s="44">
        <v>380000</v>
      </c>
      <c r="E167" s="44">
        <f t="shared" si="11"/>
        <v>-51780.659999999974</v>
      </c>
      <c r="F167" s="106">
        <f t="shared" si="12"/>
        <v>-0.13626489473684203</v>
      </c>
    </row>
    <row r="168" spans="1:6" ht="18" customHeight="1" x14ac:dyDescent="0.25">
      <c r="A168" s="40"/>
      <c r="B168" s="75">
        <v>42251</v>
      </c>
      <c r="C168" s="81">
        <v>324929.40000000002</v>
      </c>
      <c r="D168" s="44">
        <v>380000</v>
      </c>
      <c r="E168" s="44">
        <f t="shared" si="11"/>
        <v>-55070.599999999977</v>
      </c>
      <c r="F168" s="106">
        <f t="shared" si="12"/>
        <v>-0.1449226315789473</v>
      </c>
    </row>
    <row r="169" spans="1:6" ht="18" customHeight="1" x14ac:dyDescent="0.25">
      <c r="A169" s="40"/>
      <c r="B169" s="75">
        <v>42255</v>
      </c>
      <c r="C169" s="81">
        <v>331613.90000000002</v>
      </c>
      <c r="D169" s="44">
        <v>380000</v>
      </c>
      <c r="E169" s="44">
        <f t="shared" si="11"/>
        <v>-48386.099999999977</v>
      </c>
      <c r="F169" s="106">
        <f t="shared" si="12"/>
        <v>-0.1273318421052631</v>
      </c>
    </row>
    <row r="170" spans="1:6" ht="18" customHeight="1" x14ac:dyDescent="0.25">
      <c r="A170" s="40"/>
      <c r="B170" s="75">
        <v>42256</v>
      </c>
      <c r="C170" s="81">
        <v>321792.48</v>
      </c>
      <c r="D170" s="44">
        <v>380000</v>
      </c>
      <c r="E170" s="44">
        <f t="shared" si="11"/>
        <v>-58207.520000000019</v>
      </c>
      <c r="F170" s="106">
        <f t="shared" si="12"/>
        <v>-0.15317768421052635</v>
      </c>
    </row>
    <row r="171" spans="1:6" ht="18" customHeight="1" x14ac:dyDescent="0.25">
      <c r="A171" s="40"/>
      <c r="B171" s="75">
        <v>42257</v>
      </c>
      <c r="C171" s="81">
        <v>323344.99</v>
      </c>
      <c r="D171" s="44">
        <v>380000</v>
      </c>
      <c r="E171" s="44">
        <f t="shared" si="11"/>
        <v>-56655.010000000009</v>
      </c>
      <c r="F171" s="106">
        <f t="shared" si="12"/>
        <v>-0.14909213157894741</v>
      </c>
    </row>
    <row r="172" spans="1:6" ht="18" customHeight="1" x14ac:dyDescent="0.25">
      <c r="A172" s="40"/>
      <c r="B172" s="75">
        <v>42258</v>
      </c>
      <c r="C172" s="81"/>
      <c r="D172" s="44">
        <v>380000</v>
      </c>
    </row>
    <row r="173" spans="1:6" ht="18" customHeight="1" x14ac:dyDescent="0.25">
      <c r="A173" s="40"/>
      <c r="B173" s="75">
        <v>42261</v>
      </c>
      <c r="C173" s="81"/>
      <c r="D173" s="44">
        <v>380000</v>
      </c>
    </row>
    <row r="174" spans="1:6" ht="18" customHeight="1" x14ac:dyDescent="0.25">
      <c r="A174" s="40"/>
      <c r="B174" s="75">
        <v>42262</v>
      </c>
      <c r="C174" s="81"/>
      <c r="D174" s="44">
        <v>380000</v>
      </c>
    </row>
    <row r="175" spans="1:6" ht="18" customHeight="1" x14ac:dyDescent="0.25">
      <c r="B175" s="75">
        <v>42263</v>
      </c>
      <c r="D175" s="44">
        <v>380000</v>
      </c>
    </row>
    <row r="176" spans="1:6" ht="18" customHeight="1" x14ac:dyDescent="0.25">
      <c r="B176" s="75">
        <v>42264</v>
      </c>
      <c r="D176" s="44">
        <v>380000</v>
      </c>
    </row>
  </sheetData>
  <mergeCells count="24">
    <mergeCell ref="A149:F150"/>
    <mergeCell ref="A140:A142"/>
    <mergeCell ref="A49:A80"/>
    <mergeCell ref="A81:A83"/>
    <mergeCell ref="A84:A87"/>
    <mergeCell ref="A88:A94"/>
    <mergeCell ref="A108:A110"/>
    <mergeCell ref="A111:A113"/>
    <mergeCell ref="A114:A117"/>
    <mergeCell ref="A118:A120"/>
    <mergeCell ref="A121:A123"/>
    <mergeCell ref="A124:A132"/>
    <mergeCell ref="A133:A139"/>
    <mergeCell ref="A95:A101"/>
    <mergeCell ref="A102:A107"/>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workbookViewId="0">
      <pane ySplit="1" topLeftCell="A8" activePane="bottomLeft" state="frozen"/>
      <selection pane="bottomLeft" activeCell="E19" sqref="E19"/>
    </sheetView>
  </sheetViews>
  <sheetFormatPr defaultRowHeight="18.95" customHeight="1" x14ac:dyDescent="0.25"/>
  <cols>
    <col min="1" max="1" width="9.140625" style="91"/>
    <col min="2" max="2" width="8.28515625" style="91" bestFit="1" customWidth="1"/>
    <col min="3" max="3" width="9.140625" style="91"/>
    <col min="4" max="4" width="9.140625" style="88"/>
    <col min="5" max="5" width="6.85546875" style="93" bestFit="1" customWidth="1"/>
    <col min="6" max="6" width="13.42578125" style="87" bestFit="1" customWidth="1"/>
    <col min="7" max="7" width="10.7109375" style="87" bestFit="1" customWidth="1"/>
    <col min="8" max="8" width="7.42578125" style="88" bestFit="1" customWidth="1"/>
    <col min="9" max="9" width="10.7109375" style="87" bestFit="1" customWidth="1"/>
    <col min="10" max="10" width="10.28515625" style="87" bestFit="1" customWidth="1"/>
    <col min="11" max="11" width="7.85546875" style="182" bestFit="1" customWidth="1"/>
    <col min="12" max="12" width="7.140625" style="105" bestFit="1" customWidth="1"/>
    <col min="13" max="16384" width="9.140625" style="88"/>
  </cols>
  <sheetData>
    <row r="1" spans="1:15" s="99" customFormat="1" ht="30" customHeight="1" x14ac:dyDescent="0.25">
      <c r="A1" s="100"/>
      <c r="B1" s="100" t="s">
        <v>146</v>
      </c>
      <c r="C1" s="100"/>
      <c r="D1" s="96"/>
      <c r="E1" s="96" t="s">
        <v>78</v>
      </c>
      <c r="F1" s="97" t="s">
        <v>81</v>
      </c>
      <c r="G1" s="97" t="s">
        <v>79</v>
      </c>
      <c r="H1" s="96" t="s">
        <v>57</v>
      </c>
      <c r="I1" s="97" t="s">
        <v>80</v>
      </c>
      <c r="J1" s="97" t="s">
        <v>65</v>
      </c>
      <c r="K1" s="180" t="s">
        <v>143</v>
      </c>
      <c r="L1" s="98" t="s">
        <v>154</v>
      </c>
    </row>
    <row r="2" spans="1:15" ht="18.95" customHeight="1" x14ac:dyDescent="0.25">
      <c r="A2" s="89"/>
      <c r="B2" s="89"/>
      <c r="C2" s="90"/>
      <c r="D2" s="91"/>
      <c r="E2" s="32" t="s">
        <v>10</v>
      </c>
      <c r="F2" s="87">
        <v>9.6300000000000008</v>
      </c>
      <c r="G2" s="87">
        <v>12.064425000000002</v>
      </c>
      <c r="H2" s="88">
        <v>400</v>
      </c>
      <c r="I2" s="87">
        <v>4825.7700000000004</v>
      </c>
      <c r="J2" s="87">
        <v>-961.77</v>
      </c>
      <c r="K2" s="181">
        <v>-0.20178541455560464</v>
      </c>
      <c r="L2" s="104" t="str">
        <f>HYPERLINK("http://finance.yahoo.com/q?s=" &amp; E2, "Link")</f>
        <v>Link</v>
      </c>
      <c r="N2" s="103"/>
      <c r="O2" s="103"/>
    </row>
    <row r="3" spans="1:15" ht="18.95" customHeight="1" x14ac:dyDescent="0.25">
      <c r="A3" s="89"/>
      <c r="B3" s="89"/>
      <c r="C3" s="89"/>
      <c r="D3" s="91"/>
      <c r="E3" s="32" t="s">
        <v>18</v>
      </c>
      <c r="F3" s="87">
        <v>11.01</v>
      </c>
      <c r="G3" s="87">
        <v>29.640625</v>
      </c>
      <c r="H3" s="88">
        <v>80</v>
      </c>
      <c r="I3" s="87">
        <v>2371.25</v>
      </c>
      <c r="J3" s="87">
        <v>-1490.45</v>
      </c>
      <c r="K3" s="181">
        <v>-0.62855034264628362</v>
      </c>
      <c r="L3" s="104" t="str">
        <f>HYPERLINK("http://finance.yahoo.com/q?s=" &amp; E3, "Link")</f>
        <v>Link</v>
      </c>
    </row>
    <row r="4" spans="1:15" ht="18.95" customHeight="1" x14ac:dyDescent="0.25">
      <c r="A4" s="89"/>
      <c r="B4" s="89"/>
      <c r="C4" s="90"/>
      <c r="D4" s="91"/>
      <c r="E4" s="32" t="s">
        <v>45</v>
      </c>
      <c r="F4" s="87">
        <v>57.67</v>
      </c>
      <c r="G4" s="87">
        <v>62.165999999999997</v>
      </c>
      <c r="H4" s="88">
        <v>100</v>
      </c>
      <c r="I4" s="87">
        <v>6216.5999999999995</v>
      </c>
      <c r="J4" s="87">
        <v>-449.59999999999945</v>
      </c>
      <c r="K4" s="181">
        <v>-7.2322491394009508E-2</v>
      </c>
      <c r="L4" s="104" t="str">
        <f>HYPERLINK("http://finance.yahoo.com/q?s=" &amp; E4, "Link")</f>
        <v>Link</v>
      </c>
    </row>
    <row r="5" spans="1:15" ht="18.95" customHeight="1" x14ac:dyDescent="0.25">
      <c r="A5" s="89"/>
      <c r="B5" s="89"/>
      <c r="C5" s="90"/>
      <c r="D5" s="91"/>
      <c r="E5" s="32" t="s">
        <v>68</v>
      </c>
      <c r="F5" s="87">
        <v>7.72</v>
      </c>
      <c r="G5" s="87">
        <v>10.082500000000001</v>
      </c>
      <c r="H5" s="88">
        <v>120</v>
      </c>
      <c r="I5" s="87">
        <v>1209.9000000000001</v>
      </c>
      <c r="J5" s="87">
        <v>-283.50000000000011</v>
      </c>
      <c r="K5" s="181">
        <v>-0.23431688569303261</v>
      </c>
      <c r="L5" s="104" t="str">
        <f>HYPERLINK("http://finance.yahoo.com/q?s=" &amp; E5, "Link")</f>
        <v>Link</v>
      </c>
    </row>
    <row r="6" spans="1:15" ht="18.95" customHeight="1" x14ac:dyDescent="0.25">
      <c r="A6" s="90"/>
      <c r="B6" s="89"/>
      <c r="C6" s="90"/>
      <c r="D6" s="91"/>
      <c r="E6" s="32" t="s">
        <v>33</v>
      </c>
      <c r="F6" s="87">
        <v>128.72</v>
      </c>
      <c r="G6" s="87">
        <v>116.21333333333338</v>
      </c>
      <c r="H6" s="88">
        <v>15</v>
      </c>
      <c r="I6" s="87">
        <v>1743.2000000000007</v>
      </c>
      <c r="J6" s="87">
        <v>191.59999999999923</v>
      </c>
      <c r="K6" s="181">
        <v>0.10761817347407021</v>
      </c>
      <c r="L6" s="104" t="str">
        <f>HYPERLINK("http://finance.yahoo.com/q?s=" &amp; E6, "Link")</f>
        <v>Link</v>
      </c>
      <c r="N6" s="103"/>
      <c r="O6" s="103"/>
    </row>
    <row r="7" spans="1:15" ht="18.95" customHeight="1" x14ac:dyDescent="0.25">
      <c r="A7" s="89"/>
      <c r="B7" s="89"/>
      <c r="C7" s="90"/>
      <c r="D7" s="91"/>
      <c r="E7" s="32" t="s">
        <v>62</v>
      </c>
      <c r="F7" s="87">
        <v>312.62</v>
      </c>
      <c r="G7" s="87">
        <v>315.10599999999999</v>
      </c>
      <c r="H7" s="88">
        <v>5</v>
      </c>
      <c r="I7" s="87">
        <v>1575.53</v>
      </c>
      <c r="J7" s="87">
        <v>-12.430000000000064</v>
      </c>
      <c r="K7" s="181">
        <v>-7.8894086434405878E-3</v>
      </c>
      <c r="L7" s="104" t="str">
        <f>HYPERLINK("http://finance.yahoo.com/q?s=" &amp; E7, "Link")</f>
        <v>Link</v>
      </c>
    </row>
    <row r="8" spans="1:15" ht="18.95" customHeight="1" x14ac:dyDescent="0.25">
      <c r="A8" s="89"/>
      <c r="B8" s="89"/>
      <c r="C8" s="90"/>
      <c r="D8" s="91"/>
      <c r="E8" s="32" t="s">
        <v>11</v>
      </c>
      <c r="F8" s="87">
        <v>130.91</v>
      </c>
      <c r="G8" s="87">
        <v>150.67140000000001</v>
      </c>
      <c r="H8" s="88">
        <v>50</v>
      </c>
      <c r="I8" s="87">
        <v>7533.5700000000006</v>
      </c>
      <c r="J8" s="87">
        <v>-988.07000000000062</v>
      </c>
      <c r="K8" s="181">
        <v>-0.13115561413778598</v>
      </c>
      <c r="L8" s="104" t="str">
        <f>HYPERLINK("http://finance.yahoo.com/q?s=" &amp; E8, "Link")</f>
        <v>Link</v>
      </c>
      <c r="O8" s="32"/>
    </row>
    <row r="9" spans="1:15" ht="18.95" customHeight="1" x14ac:dyDescent="0.25">
      <c r="A9" s="89"/>
      <c r="B9" s="89"/>
      <c r="C9" s="90"/>
      <c r="D9" s="91"/>
      <c r="E9" s="32" t="s">
        <v>52</v>
      </c>
      <c r="F9" s="87">
        <v>83.01</v>
      </c>
      <c r="G9" s="87">
        <v>82.314999999999998</v>
      </c>
      <c r="H9" s="88">
        <v>40</v>
      </c>
      <c r="I9" s="87">
        <v>3292.6</v>
      </c>
      <c r="J9" s="87">
        <v>27.800000000000182</v>
      </c>
      <c r="K9" s="181">
        <v>8.4431756059042389E-3</v>
      </c>
      <c r="L9" s="104" t="str">
        <f>HYPERLINK("http://finance.yahoo.com/q?s=" &amp; E9, "Link")</f>
        <v>Link</v>
      </c>
      <c r="N9" s="103"/>
      <c r="O9" s="103"/>
    </row>
    <row r="10" spans="1:15" ht="18.95" customHeight="1" x14ac:dyDescent="0.25">
      <c r="A10" s="89"/>
      <c r="B10" s="90"/>
      <c r="C10" s="90"/>
      <c r="D10" s="91"/>
      <c r="E10" s="32" t="s">
        <v>17</v>
      </c>
      <c r="F10" s="87">
        <v>15.28</v>
      </c>
      <c r="G10" s="87">
        <v>17.909625000000002</v>
      </c>
      <c r="H10" s="88">
        <v>4400</v>
      </c>
      <c r="I10" s="87">
        <v>67232</v>
      </c>
      <c r="J10" s="87">
        <v>-11570.350000000006</v>
      </c>
      <c r="K10" s="181">
        <v>-0.14682747405375612</v>
      </c>
      <c r="L10" s="104" t="str">
        <f>HYPERLINK("http://finance.yahoo.com/q?s=" &amp; E10, "Link")</f>
        <v>Link</v>
      </c>
    </row>
    <row r="11" spans="1:15" ht="18.95" customHeight="1" x14ac:dyDescent="0.25">
      <c r="A11" s="89"/>
      <c r="B11" s="89"/>
      <c r="C11" s="90"/>
      <c r="D11" s="91"/>
      <c r="E11" s="32" t="s">
        <v>19</v>
      </c>
      <c r="F11" s="87">
        <v>34.700000000000003</v>
      </c>
      <c r="G11" s="87">
        <v>32.507843137254902</v>
      </c>
      <c r="H11" s="88">
        <v>51</v>
      </c>
      <c r="I11" s="87">
        <v>1657.9</v>
      </c>
      <c r="J11" s="87">
        <v>119.52999999999996</v>
      </c>
      <c r="K11" s="181">
        <v>6.7434706556487214E-2</v>
      </c>
      <c r="L11" s="104" t="str">
        <f>HYPERLINK("http://finance.yahoo.com/q?s=" &amp; E11, "Link")</f>
        <v>Link</v>
      </c>
    </row>
    <row r="12" spans="1:15" ht="18.95" customHeight="1" x14ac:dyDescent="0.25">
      <c r="A12" s="89"/>
      <c r="B12" s="89"/>
      <c r="C12" s="90"/>
      <c r="D12" s="91"/>
      <c r="E12" s="32" t="s">
        <v>63</v>
      </c>
      <c r="F12" s="87">
        <v>102.6</v>
      </c>
      <c r="G12" s="87">
        <v>110.09500000000001</v>
      </c>
      <c r="H12" s="88">
        <v>30</v>
      </c>
      <c r="I12" s="87">
        <v>3302.8500000000004</v>
      </c>
      <c r="J12" s="87">
        <v>-224.85000000000036</v>
      </c>
      <c r="K12" s="181">
        <v>-6.8077569371906246E-2</v>
      </c>
      <c r="L12" s="104" t="str">
        <f>HYPERLINK("http://finance.yahoo.com/q?s=" &amp; E12, "Link")</f>
        <v>Link</v>
      </c>
    </row>
    <row r="13" spans="1:15" ht="18.95" customHeight="1" x14ac:dyDescent="0.25">
      <c r="A13" s="89"/>
      <c r="B13" s="89"/>
      <c r="C13" s="90"/>
      <c r="D13" s="91"/>
      <c r="E13" s="32" t="s">
        <v>55</v>
      </c>
      <c r="F13" s="87">
        <v>107.25</v>
      </c>
      <c r="G13" s="87">
        <v>108.71400000000001</v>
      </c>
      <c r="H13" s="88">
        <v>25</v>
      </c>
      <c r="I13" s="87">
        <v>2717.8500000000004</v>
      </c>
      <c r="J13" s="87">
        <v>-36.600000000000364</v>
      </c>
      <c r="K13" s="181">
        <v>-1.3466526850267791E-2</v>
      </c>
      <c r="L13" s="104" t="str">
        <f>HYPERLINK("http://finance.yahoo.com/q?s=" &amp; E13, "Link")</f>
        <v>Link</v>
      </c>
    </row>
    <row r="14" spans="1:15" ht="18.95" customHeight="1" x14ac:dyDescent="0.25">
      <c r="A14" s="89"/>
      <c r="B14" s="89"/>
      <c r="C14" s="90"/>
      <c r="D14" s="91"/>
      <c r="E14" s="32" t="s">
        <v>56</v>
      </c>
      <c r="F14" s="87">
        <v>30</v>
      </c>
      <c r="G14" s="87">
        <v>30.987500000000001</v>
      </c>
      <c r="H14" s="88">
        <v>40</v>
      </c>
      <c r="I14" s="87">
        <v>1239.5</v>
      </c>
      <c r="J14" s="87">
        <v>-39.5</v>
      </c>
      <c r="K14" s="181">
        <v>-3.1867688584106518E-2</v>
      </c>
      <c r="L14" s="104" t="str">
        <f>HYPERLINK("http://finance.yahoo.com/q?s=" &amp; E14, "Link")</f>
        <v>Link</v>
      </c>
    </row>
    <row r="15" spans="1:15" ht="18.95" customHeight="1" x14ac:dyDescent="0.25">
      <c r="A15" s="89"/>
      <c r="B15" s="89"/>
      <c r="C15" s="90"/>
      <c r="D15" s="91"/>
      <c r="E15" s="32" t="s">
        <v>22</v>
      </c>
      <c r="F15" s="87">
        <v>54.1</v>
      </c>
      <c r="G15" s="87">
        <v>58.619799999999998</v>
      </c>
      <c r="H15" s="88">
        <v>100</v>
      </c>
      <c r="I15" s="87">
        <v>5861.98</v>
      </c>
      <c r="J15" s="87">
        <v>-446.97999999999956</v>
      </c>
      <c r="K15" s="181">
        <v>-7.7103640749371316E-2</v>
      </c>
      <c r="L15" s="104" t="str">
        <f>HYPERLINK("http://finance.yahoo.com/q?s=" &amp; E15, "Link")</f>
        <v>Link</v>
      </c>
      <c r="N15" s="103"/>
      <c r="O15" s="103"/>
    </row>
    <row r="16" spans="1:15" ht="18.95" customHeight="1" x14ac:dyDescent="0.25">
      <c r="A16" s="90"/>
      <c r="B16" s="90"/>
      <c r="C16" s="90"/>
      <c r="D16" s="91"/>
      <c r="E16" s="32" t="s">
        <v>27</v>
      </c>
      <c r="F16" s="87">
        <v>29.27</v>
      </c>
      <c r="G16" s="87">
        <v>29.7318125</v>
      </c>
      <c r="H16" s="88">
        <v>800</v>
      </c>
      <c r="I16" s="87">
        <v>23785.45</v>
      </c>
      <c r="J16" s="87">
        <v>-369.45000000000073</v>
      </c>
      <c r="K16" s="181">
        <v>-1.5532605016932641E-2</v>
      </c>
      <c r="L16" s="104" t="str">
        <f>HYPERLINK("http://finance.yahoo.com/q?s=" &amp; E16, "Link")</f>
        <v>Link</v>
      </c>
    </row>
    <row r="17" spans="1:15" ht="18.95" customHeight="1" x14ac:dyDescent="0.25">
      <c r="A17" s="89"/>
      <c r="B17" s="89"/>
      <c r="C17" s="90"/>
      <c r="D17" s="91"/>
      <c r="E17" s="32" t="s">
        <v>15</v>
      </c>
      <c r="F17" s="87">
        <v>18.760000000000002</v>
      </c>
      <c r="G17" s="87">
        <v>20.026916666666661</v>
      </c>
      <c r="H17" s="88">
        <v>240</v>
      </c>
      <c r="I17" s="87">
        <v>4806.4599999999991</v>
      </c>
      <c r="J17" s="87">
        <v>-304.05999999999858</v>
      </c>
      <c r="K17" s="181">
        <v>-6.3260694981337295E-2</v>
      </c>
      <c r="L17" s="104" t="str">
        <f>HYPERLINK("http://finance.yahoo.com/q?s=" &amp; E17, "Link")</f>
        <v>Link</v>
      </c>
    </row>
    <row r="18" spans="1:15" ht="18.95" customHeight="1" x14ac:dyDescent="0.25">
      <c r="A18" s="89"/>
      <c r="B18" s="90"/>
      <c r="C18" s="90"/>
      <c r="D18" s="91"/>
      <c r="E18" s="32" t="s">
        <v>24</v>
      </c>
      <c r="F18" s="87">
        <v>43.69</v>
      </c>
      <c r="G18" s="87">
        <v>48.684999999999988</v>
      </c>
      <c r="H18" s="88">
        <v>40</v>
      </c>
      <c r="I18" s="87">
        <v>1947.3999999999996</v>
      </c>
      <c r="J18" s="87">
        <v>-199.79999999999973</v>
      </c>
      <c r="K18" s="181">
        <v>-0.10259833624319588</v>
      </c>
      <c r="L18" s="104" t="str">
        <f>HYPERLINK("http://finance.yahoo.com/q?s=" &amp; E18, "Link")</f>
        <v>Link</v>
      </c>
      <c r="N18" s="103"/>
      <c r="O18" s="103"/>
    </row>
    <row r="19" spans="1:15" ht="18.95" customHeight="1" x14ac:dyDescent="0.25">
      <c r="A19" s="101"/>
      <c r="B19" s="102"/>
      <c r="C19" s="101"/>
      <c r="D19" s="91"/>
      <c r="E19" s="32" t="s">
        <v>50</v>
      </c>
      <c r="F19" s="87">
        <v>14.98</v>
      </c>
      <c r="G19" s="87">
        <v>21.091469629629628</v>
      </c>
      <c r="H19" s="88">
        <v>6750</v>
      </c>
      <c r="I19" s="87">
        <v>142367.41999999998</v>
      </c>
      <c r="J19" s="87">
        <v>-40401.919999999984</v>
      </c>
      <c r="K19" s="181">
        <v>-0.28976025554161194</v>
      </c>
      <c r="L19" s="104" t="str">
        <f>HYPERLINK("http://finance.yahoo.com/q?s=" &amp; E19, "Link")</f>
        <v>Link</v>
      </c>
      <c r="O19" s="103"/>
    </row>
    <row r="20" spans="1:15" ht="18.95" customHeight="1" x14ac:dyDescent="0.25">
      <c r="A20" s="89"/>
      <c r="B20" s="89"/>
      <c r="C20" s="90"/>
      <c r="D20" s="91"/>
      <c r="E20" s="32" t="s">
        <v>34</v>
      </c>
      <c r="F20" s="87">
        <v>17.2</v>
      </c>
      <c r="G20" s="87">
        <v>18.344096026490071</v>
      </c>
      <c r="H20" s="88">
        <v>3020</v>
      </c>
      <c r="I20" s="87">
        <v>55399.170000000013</v>
      </c>
      <c r="J20" s="87">
        <v>-3455.1700000000128</v>
      </c>
      <c r="K20" s="181">
        <v>-6.236862393425778E-2</v>
      </c>
      <c r="L20" s="104" t="str">
        <f>HYPERLINK("http://finance.yahoo.com/q?s=" &amp; E20, "Link")</f>
        <v>Link</v>
      </c>
      <c r="N20" s="103"/>
      <c r="O20" s="103"/>
    </row>
    <row r="21" spans="1:15" ht="18.95" customHeight="1" x14ac:dyDescent="0.25">
      <c r="A21" s="89"/>
      <c r="B21" s="89"/>
      <c r="C21" s="90"/>
      <c r="D21" s="91"/>
      <c r="E21" s="32" t="s">
        <v>47</v>
      </c>
      <c r="F21" s="87">
        <v>79.040000000000006</v>
      </c>
      <c r="G21" s="87">
        <v>84.788333333333341</v>
      </c>
      <c r="H21" s="88">
        <v>60</v>
      </c>
      <c r="I21" s="87">
        <v>5087.3</v>
      </c>
      <c r="J21" s="87">
        <v>-344.89999999999964</v>
      </c>
      <c r="K21" s="181">
        <v>-6.7796277003518576E-2</v>
      </c>
      <c r="L21" s="104" t="str">
        <f>HYPERLINK("http://finance.yahoo.com/q?s=" &amp; E21, "Link")</f>
        <v>Link</v>
      </c>
    </row>
    <row r="22" spans="1:15" ht="18.95" customHeight="1" x14ac:dyDescent="0.25">
      <c r="A22" s="89"/>
      <c r="B22" s="89"/>
      <c r="C22" s="90"/>
      <c r="D22" s="91"/>
      <c r="E22" s="32" t="s">
        <v>35</v>
      </c>
      <c r="F22" s="87">
        <v>48.12</v>
      </c>
      <c r="G22" s="87">
        <v>47.585714285714289</v>
      </c>
      <c r="H22" s="88">
        <v>35</v>
      </c>
      <c r="I22" s="87">
        <v>1665.5</v>
      </c>
      <c r="J22" s="87">
        <v>18.699999999999818</v>
      </c>
      <c r="K22" s="181">
        <v>1.1227859501651033E-2</v>
      </c>
      <c r="L22" s="104" t="str">
        <f>HYPERLINK("http://finance.yahoo.com/q?s=" &amp; E22, "Link")</f>
        <v>Link</v>
      </c>
      <c r="N22" s="103"/>
      <c r="O22" s="103"/>
    </row>
    <row r="23" spans="1:15" ht="18.95" customHeight="1" x14ac:dyDescent="0.25">
      <c r="A23" s="89"/>
      <c r="B23" s="89"/>
      <c r="C23" s="90"/>
      <c r="D23" s="91"/>
      <c r="E23" s="32" t="s">
        <v>44</v>
      </c>
      <c r="F23" s="87">
        <v>67.290000000000006</v>
      </c>
      <c r="G23" s="87">
        <v>62.05</v>
      </c>
      <c r="H23" s="88">
        <v>5</v>
      </c>
      <c r="I23" s="87">
        <v>310.25</v>
      </c>
      <c r="J23" s="87">
        <v>26.200000000000045</v>
      </c>
      <c r="K23" s="181">
        <v>8.4448025785656883E-2</v>
      </c>
      <c r="L23" s="104" t="str">
        <f>HYPERLINK("http://finance.yahoo.com/q?s=" &amp; E23, "Link")</f>
        <v>Link</v>
      </c>
    </row>
    <row r="24" spans="1:15" ht="18.95" customHeight="1" x14ac:dyDescent="0.25">
      <c r="A24" s="89"/>
      <c r="B24" s="89"/>
      <c r="C24" s="90"/>
      <c r="D24" s="91"/>
      <c r="E24" s="32" t="s">
        <v>39</v>
      </c>
      <c r="F24" s="87">
        <v>30.36</v>
      </c>
      <c r="G24" s="87">
        <v>33.327500000000001</v>
      </c>
      <c r="H24" s="88">
        <v>80</v>
      </c>
      <c r="I24" s="87">
        <v>2666.2</v>
      </c>
      <c r="J24" s="87">
        <v>-216.59999999999962</v>
      </c>
      <c r="K24" s="181">
        <v>-8.9040582101867854E-2</v>
      </c>
      <c r="L24" s="104" t="str">
        <f>HYPERLINK("http://finance.yahoo.com/q?s=" &amp; E24, "Link")</f>
        <v>Link</v>
      </c>
      <c r="N24" s="103"/>
      <c r="O24" s="103"/>
    </row>
    <row r="25" spans="1:15" ht="18.95" customHeight="1" x14ac:dyDescent="0.25">
      <c r="A25" s="89"/>
      <c r="B25" s="89"/>
      <c r="C25" s="90"/>
      <c r="D25" s="91"/>
      <c r="E25" s="32" t="s">
        <v>51</v>
      </c>
      <c r="F25" s="87">
        <v>116.77</v>
      </c>
      <c r="G25" s="87">
        <v>119.52666666666667</v>
      </c>
      <c r="H25" s="88">
        <v>15</v>
      </c>
      <c r="I25" s="87">
        <v>1792.9</v>
      </c>
      <c r="J25" s="87">
        <v>-41.350000000000136</v>
      </c>
      <c r="K25" s="181">
        <v>-2.3063193708516994E-2</v>
      </c>
      <c r="L25" s="104" t="str">
        <f>HYPERLINK("http://finance.yahoo.com/q?s=" &amp; E25, "Link")</f>
        <v>Link</v>
      </c>
      <c r="N25" s="103"/>
      <c r="O25" s="103"/>
    </row>
    <row r="26" spans="1:15" ht="18.95" customHeight="1" x14ac:dyDescent="0.25">
      <c r="A26" s="89"/>
      <c r="B26" s="89"/>
      <c r="C26" s="90"/>
      <c r="D26" s="91"/>
      <c r="E26" s="32" t="s">
        <v>42</v>
      </c>
      <c r="F26" s="87">
        <v>87.1</v>
      </c>
      <c r="G26" s="87">
        <v>96.710833333333326</v>
      </c>
      <c r="H26" s="88">
        <v>60</v>
      </c>
      <c r="I26" s="87">
        <v>5802.65</v>
      </c>
      <c r="J26" s="87">
        <v>-576.64999999999964</v>
      </c>
      <c r="K26" s="181">
        <v>-9.9377008780470982E-2</v>
      </c>
      <c r="L26" s="104" t="str">
        <f>HYPERLINK("http://finance.yahoo.com/q?s=" &amp; E26, "Link")</f>
        <v>Link</v>
      </c>
      <c r="N26" s="103"/>
      <c r="O26" s="103"/>
    </row>
    <row r="27" spans="1:15" ht="18.95" customHeight="1" x14ac:dyDescent="0.25">
      <c r="A27" s="89"/>
      <c r="B27" s="89"/>
      <c r="C27" s="90"/>
      <c r="D27" s="91"/>
      <c r="E27" s="32" t="s">
        <v>54</v>
      </c>
      <c r="F27" s="87">
        <v>91.4</v>
      </c>
      <c r="G27" s="87">
        <v>97.993999999999986</v>
      </c>
      <c r="H27" s="88">
        <v>5</v>
      </c>
      <c r="I27" s="87">
        <v>489.96999999999991</v>
      </c>
      <c r="J27" s="87">
        <v>-32.969999999999914</v>
      </c>
      <c r="K27" s="181">
        <v>-6.728983407147357E-2</v>
      </c>
      <c r="L27" s="104" t="str">
        <f>HYPERLINK("http://finance.yahoo.com/q?s=" &amp; E27, "Link")</f>
        <v>Link</v>
      </c>
    </row>
    <row r="28" spans="1:15" ht="18.95" customHeight="1" x14ac:dyDescent="0.25">
      <c r="A28" s="89"/>
      <c r="B28" s="89"/>
      <c r="C28" s="90"/>
      <c r="D28" s="91"/>
      <c r="E28" s="32" t="s">
        <v>53</v>
      </c>
      <c r="F28" s="87">
        <v>44.32</v>
      </c>
      <c r="G28" s="87">
        <v>47.528571428571432</v>
      </c>
      <c r="H28" s="88">
        <v>35</v>
      </c>
      <c r="I28" s="87">
        <v>1663.5000000000002</v>
      </c>
      <c r="J28" s="87">
        <v>-112.30000000000018</v>
      </c>
      <c r="K28" s="181">
        <v>-6.7508265704839254E-2</v>
      </c>
      <c r="L28" s="104" t="str">
        <f>HYPERLINK("http://finance.yahoo.com/q?s=" &amp; E28, "Link")</f>
        <v>Link</v>
      </c>
    </row>
    <row r="29" spans="1:15" ht="18.95" customHeight="1" x14ac:dyDescent="0.25">
      <c r="A29" s="89"/>
      <c r="B29" s="89"/>
      <c r="C29" s="90"/>
      <c r="D29" s="91"/>
      <c r="E29" s="32"/>
      <c r="K29" s="181"/>
      <c r="L29" s="104"/>
    </row>
    <row r="30" spans="1:15" ht="18.95" customHeight="1" x14ac:dyDescent="0.25">
      <c r="A30" s="89"/>
      <c r="B30" s="89"/>
      <c r="C30" s="90"/>
      <c r="D30" s="91"/>
      <c r="E30" s="32"/>
      <c r="K30" s="181"/>
      <c r="L30" s="104"/>
    </row>
    <row r="31" spans="1:15" ht="18.95" customHeight="1" x14ac:dyDescent="0.25">
      <c r="A31" s="88"/>
      <c r="B31" s="88"/>
      <c r="C31" s="88"/>
      <c r="D31" s="91"/>
      <c r="E31" s="32"/>
      <c r="K31" s="181"/>
      <c r="L31" s="104"/>
    </row>
    <row r="32" spans="1:15" ht="18.95" customHeight="1" x14ac:dyDescent="0.25">
      <c r="A32" s="92"/>
      <c r="D32" s="91"/>
    </row>
    <row r="33" spans="1:4" ht="18.95" customHeight="1" x14ac:dyDescent="0.25">
      <c r="A33" s="92"/>
      <c r="D33" s="91"/>
    </row>
    <row r="34" spans="1:4" ht="18.95" customHeight="1" x14ac:dyDescent="0.25">
      <c r="A34" s="92"/>
    </row>
  </sheetData>
  <sortState ref="A2:O34">
    <sortCondition ref="E1"/>
  </sortState>
  <conditionalFormatting sqref="J2:J30">
    <cfRule type="expression" dxfId="55" priority="6">
      <formula>$J2&lt;0</formula>
    </cfRule>
  </conditionalFormatting>
  <conditionalFormatting sqref="J2:J30">
    <cfRule type="expression" dxfId="54"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6" location="UNP!A1" display="UNP"/>
    <hyperlink ref="E2" location="AA!A1" display="AA"/>
    <hyperlink ref="E17" location="KATE!A1" display="KATE"/>
    <hyperlink ref="E18" location="KORS!A1" display="KORS"/>
    <hyperlink ref="E4" location="ALL!A1" display="ALL"/>
    <hyperlink ref="E21" location="NSC!A1" display="NSC"/>
    <hyperlink ref="E9" location="CAH!A1" display="CAH"/>
    <hyperlink ref="E22" location="SCTY!A1" display="SCTY"/>
    <hyperlink ref="E5" location="ATE!A1" display="ATE"/>
    <hyperlink ref="E11" location="CTWS!A1" display="CTWS"/>
    <hyperlink ref="E6" location="AVGO!A1" display="AVGO"/>
    <hyperlink ref="E12" location="DIS!A1" display="DIS"/>
    <hyperlink ref="E13" location="GILD!A1" display="GILD"/>
    <hyperlink ref="E28" location="WWD!A1" display="WWD"/>
    <hyperlink ref="E14" location="GM!A1" display="GM"/>
    <hyperlink ref="E23" location="TCO!A1" display="TCO"/>
    <hyperlink ref="E24" location="TKR!A1" display="TKR"/>
    <hyperlink ref="E27" location="UTX!A1" display="UTX"/>
    <hyperlink ref="E25"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70"/>
  <sheetViews>
    <sheetView tabSelected="1" zoomScaleNormal="100" workbookViewId="0">
      <pane ySplit="1" topLeftCell="A2" activePane="bottomLeft" state="frozen"/>
      <selection pane="bottomLeft" activeCell="L16" sqref="L16"/>
    </sheetView>
  </sheetViews>
  <sheetFormatPr defaultRowHeight="15" x14ac:dyDescent="0.25"/>
  <cols>
    <col min="3" max="3" width="9.140625" customWidth="1"/>
    <col min="4" max="5" width="9.140625" style="2"/>
    <col min="6" max="6" width="10.5703125" style="2" customWidth="1"/>
    <col min="8" max="8" width="9.140625" style="121"/>
    <col min="9" max="9" width="9.5703125" style="138" bestFit="1" customWidth="1"/>
    <col min="10" max="11" width="9.140625" style="2"/>
    <col min="13" max="13" width="9.140625" style="2"/>
    <col min="17" max="17" width="9.5703125" bestFit="1" customWidth="1"/>
    <col min="20" max="20" width="9.140625" style="65"/>
  </cols>
  <sheetData>
    <row r="1" spans="1:21" s="19" customFormat="1" x14ac:dyDescent="0.25">
      <c r="A1" s="19" t="s">
        <v>1</v>
      </c>
      <c r="B1" s="19" t="s">
        <v>2</v>
      </c>
      <c r="C1" s="19" t="s">
        <v>4</v>
      </c>
      <c r="D1" s="30" t="s">
        <v>5</v>
      </c>
      <c r="E1" s="30" t="s">
        <v>145</v>
      </c>
      <c r="F1" s="30" t="s">
        <v>60</v>
      </c>
      <c r="G1" s="19" t="s">
        <v>3</v>
      </c>
      <c r="H1" s="128" t="s">
        <v>6</v>
      </c>
      <c r="I1" s="134" t="s">
        <v>7</v>
      </c>
      <c r="J1" s="30" t="s">
        <v>144</v>
      </c>
      <c r="K1" s="30" t="s">
        <v>61</v>
      </c>
      <c r="L1" s="19" t="s">
        <v>37</v>
      </c>
      <c r="M1" s="30" t="s">
        <v>38</v>
      </c>
      <c r="T1" s="66" t="s">
        <v>74</v>
      </c>
    </row>
    <row r="2" spans="1:21" x14ac:dyDescent="0.25">
      <c r="A2" s="8" t="s">
        <v>50</v>
      </c>
      <c r="B2" s="125">
        <v>42187</v>
      </c>
      <c r="C2" s="9">
        <v>1000</v>
      </c>
      <c r="D2" s="69">
        <v>27.25</v>
      </c>
      <c r="E2" s="69"/>
      <c r="F2" s="69">
        <f>C2*D2</f>
        <v>27250</v>
      </c>
      <c r="G2" s="125">
        <v>42187</v>
      </c>
      <c r="H2" s="143">
        <v>2000</v>
      </c>
      <c r="I2" s="135">
        <v>27.34</v>
      </c>
      <c r="J2" s="69">
        <v>0</v>
      </c>
      <c r="K2" s="69">
        <f>H2*I2-J2</f>
        <v>54680</v>
      </c>
      <c r="L2" s="1">
        <v>42257</v>
      </c>
      <c r="M2" s="2">
        <v>850.5</v>
      </c>
      <c r="O2" s="19" t="s">
        <v>57</v>
      </c>
      <c r="Q2">
        <f>C32-H32</f>
        <v>6750</v>
      </c>
      <c r="T2" s="65">
        <v>42233</v>
      </c>
      <c r="U2" t="s">
        <v>131</v>
      </c>
    </row>
    <row r="3" spans="1:21" x14ac:dyDescent="0.25">
      <c r="A3" s="32" t="s">
        <v>77</v>
      </c>
      <c r="B3" s="125">
        <v>42187</v>
      </c>
      <c r="C3">
        <v>80</v>
      </c>
      <c r="D3" s="2">
        <v>27.15</v>
      </c>
      <c r="F3" s="2">
        <f t="shared" ref="F3:F31" si="0">C3*D3</f>
        <v>2172</v>
      </c>
      <c r="G3" s="125">
        <v>42199</v>
      </c>
      <c r="H3" s="124">
        <v>102</v>
      </c>
      <c r="I3" s="136">
        <v>25.28</v>
      </c>
      <c r="J3" s="23">
        <v>0</v>
      </c>
      <c r="K3" s="23">
        <f t="shared" ref="K3:K6" si="1">H3*I3-J3</f>
        <v>2578.56</v>
      </c>
      <c r="O3" s="19" t="s">
        <v>58</v>
      </c>
      <c r="Q3" s="2">
        <f>(F32-K32-M32)/Q2</f>
        <v>21.091469629629628</v>
      </c>
      <c r="T3" s="65">
        <v>42257</v>
      </c>
      <c r="U3" t="s">
        <v>132</v>
      </c>
    </row>
    <row r="4" spans="1:21" x14ac:dyDescent="0.25">
      <c r="B4" s="125">
        <v>42187</v>
      </c>
      <c r="C4" s="9">
        <v>1000</v>
      </c>
      <c r="D4" s="69">
        <v>27.1</v>
      </c>
      <c r="E4" s="69"/>
      <c r="F4" s="69">
        <f t="shared" si="0"/>
        <v>27100</v>
      </c>
      <c r="G4" s="125">
        <v>42227</v>
      </c>
      <c r="H4" s="144">
        <v>200</v>
      </c>
      <c r="I4" s="137">
        <v>19.649999999999999</v>
      </c>
      <c r="J4" s="70">
        <v>0</v>
      </c>
      <c r="K4" s="70">
        <f t="shared" si="1"/>
        <v>3929.9999999999995</v>
      </c>
      <c r="O4" s="19" t="s">
        <v>66</v>
      </c>
      <c r="Q4" s="94">
        <v>14.98</v>
      </c>
    </row>
    <row r="5" spans="1:21" x14ac:dyDescent="0.25">
      <c r="B5" s="125">
        <v>42187</v>
      </c>
      <c r="C5">
        <v>3000</v>
      </c>
      <c r="D5" s="2">
        <v>27.04</v>
      </c>
      <c r="F5" s="2">
        <f t="shared" si="0"/>
        <v>81120</v>
      </c>
      <c r="G5" s="125">
        <v>42227</v>
      </c>
      <c r="H5" s="144">
        <v>200</v>
      </c>
      <c r="I5" s="137">
        <v>18.7</v>
      </c>
      <c r="J5" s="70">
        <v>0</v>
      </c>
      <c r="K5" s="70">
        <f t="shared" si="1"/>
        <v>3740</v>
      </c>
      <c r="O5" s="19" t="s">
        <v>67</v>
      </c>
      <c r="Q5" s="5">
        <f>Q4*Q2</f>
        <v>101115</v>
      </c>
      <c r="T5" s="115">
        <v>42256</v>
      </c>
      <c r="U5" t="s">
        <v>164</v>
      </c>
    </row>
    <row r="6" spans="1:21" x14ac:dyDescent="0.25">
      <c r="B6" s="125">
        <v>42198</v>
      </c>
      <c r="C6">
        <v>100</v>
      </c>
      <c r="D6" s="2">
        <v>24.77</v>
      </c>
      <c r="F6" s="2">
        <f t="shared" si="0"/>
        <v>2477</v>
      </c>
      <c r="G6" s="125">
        <v>42257</v>
      </c>
      <c r="H6" s="145">
        <v>1600</v>
      </c>
      <c r="I6" s="142">
        <v>16.445</v>
      </c>
      <c r="J6" s="141">
        <v>0.48</v>
      </c>
      <c r="K6" s="141">
        <f t="shared" si="1"/>
        <v>26311.52</v>
      </c>
      <c r="O6" s="19" t="s">
        <v>64</v>
      </c>
      <c r="Q6" s="2">
        <f>Q3*Q2</f>
        <v>142367.41999999998</v>
      </c>
      <c r="U6" t="s">
        <v>168</v>
      </c>
    </row>
    <row r="7" spans="1:21" x14ac:dyDescent="0.25">
      <c r="B7" s="125">
        <v>42205</v>
      </c>
      <c r="C7" s="10">
        <v>50</v>
      </c>
      <c r="D7" s="23">
        <v>24.35</v>
      </c>
      <c r="E7" s="23"/>
      <c r="F7" s="23">
        <f t="shared" si="0"/>
        <v>1217.5</v>
      </c>
      <c r="O7" s="19" t="s">
        <v>65</v>
      </c>
      <c r="Q7" s="2">
        <f>Q5-Q6+M32</f>
        <v>-40401.919999999984</v>
      </c>
      <c r="T7" s="65">
        <v>42311</v>
      </c>
      <c r="U7" t="s">
        <v>176</v>
      </c>
    </row>
    <row r="8" spans="1:21" x14ac:dyDescent="0.25">
      <c r="B8" s="125">
        <v>42207</v>
      </c>
      <c r="C8" s="10">
        <v>20</v>
      </c>
      <c r="D8" s="23">
        <v>24.02</v>
      </c>
      <c r="E8" s="23"/>
      <c r="F8" s="23">
        <f t="shared" si="0"/>
        <v>480.4</v>
      </c>
      <c r="G8" s="2"/>
    </row>
    <row r="9" spans="1:21" x14ac:dyDescent="0.25">
      <c r="B9" s="125">
        <v>42207</v>
      </c>
      <c r="C9" s="10">
        <v>20</v>
      </c>
      <c r="D9" s="23">
        <v>23.91</v>
      </c>
      <c r="E9" s="23"/>
      <c r="F9" s="23">
        <f t="shared" si="0"/>
        <v>478.2</v>
      </c>
    </row>
    <row r="10" spans="1:21" x14ac:dyDescent="0.25">
      <c r="B10" s="125">
        <v>42207</v>
      </c>
      <c r="C10">
        <v>20</v>
      </c>
      <c r="D10" s="2">
        <v>23.7</v>
      </c>
      <c r="F10" s="2">
        <f t="shared" si="0"/>
        <v>474</v>
      </c>
    </row>
    <row r="11" spans="1:21" x14ac:dyDescent="0.25">
      <c r="B11" s="125">
        <v>42207</v>
      </c>
      <c r="C11">
        <v>20</v>
      </c>
      <c r="D11" s="2">
        <v>23.6</v>
      </c>
      <c r="F11" s="2">
        <f t="shared" si="0"/>
        <v>472</v>
      </c>
    </row>
    <row r="12" spans="1:21" x14ac:dyDescent="0.25">
      <c r="B12" s="125">
        <v>42209</v>
      </c>
      <c r="C12">
        <v>40</v>
      </c>
      <c r="D12" s="2">
        <v>22.3</v>
      </c>
      <c r="F12" s="2">
        <f t="shared" si="0"/>
        <v>892</v>
      </c>
    </row>
    <row r="13" spans="1:21" x14ac:dyDescent="0.25">
      <c r="B13" s="125">
        <v>42221</v>
      </c>
      <c r="C13" s="10">
        <v>12</v>
      </c>
      <c r="D13" s="23">
        <v>20.95</v>
      </c>
      <c r="E13" s="23"/>
      <c r="F13" s="23">
        <f t="shared" si="0"/>
        <v>251.39999999999998</v>
      </c>
    </row>
    <row r="14" spans="1:21" x14ac:dyDescent="0.25">
      <c r="B14" s="125">
        <v>42223</v>
      </c>
      <c r="C14">
        <v>100</v>
      </c>
      <c r="D14" s="2">
        <v>20.399999999999999</v>
      </c>
      <c r="F14" s="2">
        <f t="shared" si="0"/>
        <v>2039.9999999999998</v>
      </c>
    </row>
    <row r="15" spans="1:21" x14ac:dyDescent="0.25">
      <c r="B15" s="125">
        <v>42226</v>
      </c>
      <c r="C15">
        <v>200</v>
      </c>
      <c r="D15" s="2">
        <v>19.95</v>
      </c>
      <c r="F15" s="2">
        <f t="shared" si="0"/>
        <v>3990</v>
      </c>
    </row>
    <row r="16" spans="1:21" x14ac:dyDescent="0.25">
      <c r="B16" s="125">
        <v>42226</v>
      </c>
      <c r="C16">
        <v>50</v>
      </c>
      <c r="D16" s="2">
        <v>20.010000000000002</v>
      </c>
      <c r="F16" s="2">
        <f t="shared" si="0"/>
        <v>1000.5000000000001</v>
      </c>
    </row>
    <row r="17" spans="1:17" ht="20.25" thickBot="1" x14ac:dyDescent="0.35">
      <c r="B17" s="125">
        <v>42226</v>
      </c>
      <c r="C17">
        <v>100</v>
      </c>
      <c r="D17" s="2">
        <v>20.2</v>
      </c>
      <c r="F17" s="2">
        <f t="shared" si="0"/>
        <v>2020</v>
      </c>
      <c r="O17" s="201" t="s">
        <v>85</v>
      </c>
      <c r="P17" s="201"/>
    </row>
    <row r="18" spans="1:17" ht="15.75" thickTop="1" x14ac:dyDescent="0.25">
      <c r="B18" s="125">
        <v>42227</v>
      </c>
      <c r="C18" s="11">
        <v>200</v>
      </c>
      <c r="D18" s="70">
        <v>18.399999999999999</v>
      </c>
      <c r="E18" s="70"/>
      <c r="F18" s="70">
        <f t="shared" si="0"/>
        <v>3679.9999999999995</v>
      </c>
      <c r="O18" s="146">
        <v>1.1000000000000001</v>
      </c>
      <c r="P18" s="146">
        <f>O18*$Q$4</f>
        <v>16.478000000000002</v>
      </c>
      <c r="Q18" s="2"/>
    </row>
    <row r="19" spans="1:17" x14ac:dyDescent="0.25">
      <c r="B19" s="125">
        <v>42227</v>
      </c>
      <c r="C19" s="11">
        <v>200</v>
      </c>
      <c r="D19" s="70">
        <v>19.55</v>
      </c>
      <c r="E19" s="70"/>
      <c r="F19" s="70">
        <f t="shared" si="0"/>
        <v>3910</v>
      </c>
      <c r="O19" s="146">
        <v>1.0900000000000001</v>
      </c>
      <c r="P19" s="146">
        <f t="shared" ref="P19:P38" si="2">O19*$Q$4</f>
        <v>16.328200000000002</v>
      </c>
      <c r="Q19" s="2"/>
    </row>
    <row r="20" spans="1:17" x14ac:dyDescent="0.25">
      <c r="B20" s="125">
        <v>42234</v>
      </c>
      <c r="C20">
        <v>40</v>
      </c>
      <c r="D20" s="2">
        <v>18.149999999999999</v>
      </c>
      <c r="F20" s="2">
        <f t="shared" si="0"/>
        <v>726</v>
      </c>
      <c r="O20" s="146">
        <v>1.08</v>
      </c>
      <c r="P20" s="146">
        <f t="shared" si="2"/>
        <v>16.1784</v>
      </c>
      <c r="Q20" s="2"/>
    </row>
    <row r="21" spans="1:17" x14ac:dyDescent="0.25">
      <c r="B21" s="125">
        <v>42234</v>
      </c>
      <c r="C21">
        <v>100</v>
      </c>
      <c r="D21" s="2">
        <v>18</v>
      </c>
      <c r="F21" s="2">
        <f t="shared" si="0"/>
        <v>1800</v>
      </c>
      <c r="O21" s="146">
        <v>1.07</v>
      </c>
      <c r="P21" s="146">
        <f t="shared" si="2"/>
        <v>16.028600000000001</v>
      </c>
      <c r="Q21" s="2"/>
    </row>
    <row r="22" spans="1:17" x14ac:dyDescent="0.25">
      <c r="B22" s="125">
        <v>42235</v>
      </c>
      <c r="C22" s="140">
        <v>100</v>
      </c>
      <c r="D22" s="141">
        <v>17.78</v>
      </c>
      <c r="E22" s="141"/>
      <c r="F22" s="141">
        <f t="shared" si="0"/>
        <v>1778</v>
      </c>
      <c r="O22" s="146">
        <v>1.06</v>
      </c>
      <c r="P22" s="146">
        <f t="shared" si="2"/>
        <v>15.878800000000002</v>
      </c>
      <c r="Q22" s="2"/>
    </row>
    <row r="23" spans="1:17" x14ac:dyDescent="0.25">
      <c r="B23" s="125">
        <v>42235</v>
      </c>
      <c r="C23">
        <v>100</v>
      </c>
      <c r="D23" s="2">
        <v>17.68</v>
      </c>
      <c r="F23" s="2">
        <f t="shared" si="0"/>
        <v>1768</v>
      </c>
      <c r="O23" s="146">
        <v>1.05</v>
      </c>
      <c r="P23" s="146">
        <f t="shared" si="2"/>
        <v>15.729000000000001</v>
      </c>
      <c r="Q23" s="2"/>
    </row>
    <row r="24" spans="1:17" x14ac:dyDescent="0.25">
      <c r="B24" s="125">
        <v>42240</v>
      </c>
      <c r="C24">
        <v>100</v>
      </c>
      <c r="D24" s="2">
        <v>16.649999999999999</v>
      </c>
      <c r="F24" s="2">
        <f t="shared" si="0"/>
        <v>1664.9999999999998</v>
      </c>
      <c r="O24" s="146">
        <v>1.04</v>
      </c>
      <c r="P24" s="146">
        <f t="shared" si="2"/>
        <v>15.5792</v>
      </c>
      <c r="Q24" s="2"/>
    </row>
    <row r="25" spans="1:17" x14ac:dyDescent="0.25">
      <c r="B25" s="125">
        <v>42240</v>
      </c>
      <c r="C25">
        <v>100</v>
      </c>
      <c r="D25" s="2">
        <v>16.100000000000001</v>
      </c>
      <c r="F25" s="2">
        <f t="shared" si="0"/>
        <v>1610.0000000000002</v>
      </c>
      <c r="O25" s="146">
        <v>1.03</v>
      </c>
      <c r="P25" s="146">
        <f t="shared" si="2"/>
        <v>15.429400000000001</v>
      </c>
      <c r="Q25" s="2"/>
    </row>
    <row r="26" spans="1:17" x14ac:dyDescent="0.25">
      <c r="B26" s="125">
        <v>42257</v>
      </c>
      <c r="C26" s="140">
        <v>1500</v>
      </c>
      <c r="D26" s="141">
        <v>16.350000000000001</v>
      </c>
      <c r="E26" s="141"/>
      <c r="F26" s="141">
        <f t="shared" si="0"/>
        <v>24525.000000000004</v>
      </c>
      <c r="O26" s="146">
        <v>1.02</v>
      </c>
      <c r="P26" s="146">
        <f t="shared" si="2"/>
        <v>15.2796</v>
      </c>
      <c r="Q26" s="2"/>
    </row>
    <row r="27" spans="1:17" x14ac:dyDescent="0.25">
      <c r="B27" s="125">
        <v>42258</v>
      </c>
      <c r="C27">
        <v>100</v>
      </c>
      <c r="D27" s="2">
        <v>16.100000000000001</v>
      </c>
      <c r="F27" s="2">
        <f t="shared" si="0"/>
        <v>1610.0000000000002</v>
      </c>
      <c r="O27" s="146">
        <v>1.01</v>
      </c>
      <c r="P27" s="146">
        <f t="shared" si="2"/>
        <v>15.129800000000001</v>
      </c>
      <c r="Q27" s="2"/>
    </row>
    <row r="28" spans="1:17" x14ac:dyDescent="0.25">
      <c r="B28" s="125">
        <v>42261</v>
      </c>
      <c r="C28">
        <v>1000</v>
      </c>
      <c r="D28" s="2">
        <v>15.416</v>
      </c>
      <c r="F28" s="2">
        <f t="shared" si="0"/>
        <v>15416</v>
      </c>
      <c r="O28" s="146">
        <v>1</v>
      </c>
      <c r="P28" s="146">
        <f t="shared" si="2"/>
        <v>14.98</v>
      </c>
      <c r="Q28" s="2"/>
    </row>
    <row r="29" spans="1:17" x14ac:dyDescent="0.25">
      <c r="B29" s="125">
        <v>42261</v>
      </c>
      <c r="C29">
        <v>1000</v>
      </c>
      <c r="D29" s="2">
        <v>15.1</v>
      </c>
      <c r="F29" s="2">
        <f t="shared" si="0"/>
        <v>15100</v>
      </c>
      <c r="O29" s="146">
        <v>0.99</v>
      </c>
      <c r="P29" s="146">
        <f t="shared" si="2"/>
        <v>14.8302</v>
      </c>
      <c r="Q29" s="2"/>
    </row>
    <row r="30" spans="1:17" x14ac:dyDescent="0.25">
      <c r="B30" s="125">
        <v>42261</v>
      </c>
      <c r="C30">
        <v>200</v>
      </c>
      <c r="D30" s="2">
        <v>14.87</v>
      </c>
      <c r="F30" s="2">
        <f t="shared" si="0"/>
        <v>2974</v>
      </c>
      <c r="O30" s="146">
        <v>0.98</v>
      </c>
      <c r="P30" s="146">
        <f t="shared" si="2"/>
        <v>14.680400000000001</v>
      </c>
      <c r="Q30" s="2"/>
    </row>
    <row r="31" spans="1:17" x14ac:dyDescent="0.25">
      <c r="B31" s="125">
        <v>42261</v>
      </c>
      <c r="C31">
        <v>300</v>
      </c>
      <c r="D31" s="2">
        <v>14.87</v>
      </c>
      <c r="F31" s="2">
        <f t="shared" si="0"/>
        <v>4461</v>
      </c>
      <c r="O31" s="146">
        <v>0.97</v>
      </c>
      <c r="P31" s="146">
        <f t="shared" si="2"/>
        <v>14.5306</v>
      </c>
      <c r="Q31" s="2"/>
    </row>
    <row r="32" spans="1:17" x14ac:dyDescent="0.25">
      <c r="A32" s="53" t="s">
        <v>110</v>
      </c>
      <c r="B32" s="22"/>
      <c r="C32" s="22">
        <f>SUM(C2:C31)</f>
        <v>10852</v>
      </c>
      <c r="D32" s="22"/>
      <c r="E32" s="22"/>
      <c r="F32" s="27">
        <f>SUM(F2:F31)</f>
        <v>234458</v>
      </c>
      <c r="G32" s="22"/>
      <c r="H32" s="122">
        <f>SUM(H2:H25)</f>
        <v>4102</v>
      </c>
      <c r="I32" s="139"/>
      <c r="J32" s="27"/>
      <c r="K32" s="22">
        <f>SUM(K2:K25)</f>
        <v>91240.08</v>
      </c>
      <c r="L32" s="22"/>
      <c r="M32" s="27">
        <f>SUM(M2:M12)</f>
        <v>850.5</v>
      </c>
      <c r="O32" s="146">
        <v>0.96</v>
      </c>
      <c r="P32" s="146">
        <f t="shared" si="2"/>
        <v>14.380800000000001</v>
      </c>
      <c r="Q32" s="2"/>
    </row>
    <row r="33" spans="1:16" x14ac:dyDescent="0.25">
      <c r="O33" s="146">
        <v>0.95</v>
      </c>
      <c r="P33" s="146">
        <f t="shared" si="2"/>
        <v>14.231</v>
      </c>
    </row>
    <row r="34" spans="1:16" x14ac:dyDescent="0.25">
      <c r="O34" s="146">
        <v>0.94</v>
      </c>
      <c r="P34" s="146">
        <f t="shared" si="2"/>
        <v>14.081199999999999</v>
      </c>
    </row>
    <row r="35" spans="1:16" x14ac:dyDescent="0.25">
      <c r="O35" s="146">
        <v>0.93</v>
      </c>
      <c r="P35" s="146">
        <f t="shared" si="2"/>
        <v>13.931400000000002</v>
      </c>
    </row>
    <row r="36" spans="1:16" x14ac:dyDescent="0.25">
      <c r="O36" s="146">
        <v>0.92</v>
      </c>
      <c r="P36" s="146">
        <f t="shared" si="2"/>
        <v>13.781600000000001</v>
      </c>
    </row>
    <row r="37" spans="1:16" x14ac:dyDescent="0.25">
      <c r="O37" s="146">
        <v>0.91</v>
      </c>
      <c r="P37" s="146">
        <f t="shared" si="2"/>
        <v>13.6318</v>
      </c>
    </row>
    <row r="38" spans="1:16" x14ac:dyDescent="0.25">
      <c r="O38" s="146">
        <v>0.9</v>
      </c>
      <c r="P38" s="146">
        <f t="shared" si="2"/>
        <v>13.482000000000001</v>
      </c>
    </row>
    <row r="48" spans="1:16" x14ac:dyDescent="0.25">
      <c r="A48" t="s">
        <v>86</v>
      </c>
    </row>
    <row r="49" spans="1:1" x14ac:dyDescent="0.25">
      <c r="A49" t="s">
        <v>87</v>
      </c>
    </row>
    <row r="50" spans="1:1" x14ac:dyDescent="0.25">
      <c r="A50" t="s">
        <v>88</v>
      </c>
    </row>
    <row r="51" spans="1:1" x14ac:dyDescent="0.25">
      <c r="A51" t="s">
        <v>89</v>
      </c>
    </row>
    <row r="52" spans="1:1" x14ac:dyDescent="0.25">
      <c r="A52" t="s">
        <v>90</v>
      </c>
    </row>
    <row r="53" spans="1:1" x14ac:dyDescent="0.25">
      <c r="A53" t="s">
        <v>91</v>
      </c>
    </row>
    <row r="54" spans="1:1" x14ac:dyDescent="0.25">
      <c r="A54" t="s">
        <v>92</v>
      </c>
    </row>
    <row r="55" spans="1:1" x14ac:dyDescent="0.25">
      <c r="A55" t="s">
        <v>93</v>
      </c>
    </row>
    <row r="56" spans="1:1" x14ac:dyDescent="0.25">
      <c r="A56" t="s">
        <v>94</v>
      </c>
    </row>
    <row r="58" spans="1:1" x14ac:dyDescent="0.25">
      <c r="A58" t="s">
        <v>95</v>
      </c>
    </row>
    <row r="59" spans="1:1" x14ac:dyDescent="0.25">
      <c r="A59" t="s">
        <v>96</v>
      </c>
    </row>
    <row r="60" spans="1:1" x14ac:dyDescent="0.25">
      <c r="A60" t="s">
        <v>97</v>
      </c>
    </row>
    <row r="61" spans="1:1" x14ac:dyDescent="0.25">
      <c r="A61" t="s">
        <v>98</v>
      </c>
    </row>
    <row r="62" spans="1:1" x14ac:dyDescent="0.25">
      <c r="A62" t="s">
        <v>99</v>
      </c>
    </row>
    <row r="63" spans="1:1" x14ac:dyDescent="0.25">
      <c r="A63" t="s">
        <v>100</v>
      </c>
    </row>
    <row r="64" spans="1:1" x14ac:dyDescent="0.25">
      <c r="A64" t="s">
        <v>101</v>
      </c>
    </row>
    <row r="65" spans="1:1" x14ac:dyDescent="0.25">
      <c r="A65" t="s">
        <v>102</v>
      </c>
    </row>
    <row r="66" spans="1:1" x14ac:dyDescent="0.25">
      <c r="A66" t="s">
        <v>103</v>
      </c>
    </row>
    <row r="67" spans="1:1" x14ac:dyDescent="0.25">
      <c r="A67" t="s">
        <v>38</v>
      </c>
    </row>
    <row r="68" spans="1:1" x14ac:dyDescent="0.25">
      <c r="A68" t="s">
        <v>104</v>
      </c>
    </row>
    <row r="69" spans="1:1" x14ac:dyDescent="0.25">
      <c r="A69" t="s">
        <v>105</v>
      </c>
    </row>
    <row r="70" spans="1:1" x14ac:dyDescent="0.25">
      <c r="A70" t="s">
        <v>106</v>
      </c>
    </row>
  </sheetData>
  <mergeCells count="1">
    <mergeCell ref="O17:P17"/>
  </mergeCells>
  <conditionalFormatting sqref="Q7">
    <cfRule type="expression" dxfId="53" priority="4">
      <formula>Q7&gt;0</formula>
    </cfRule>
    <cfRule type="expression" dxfId="52"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6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5703125" bestFit="1" customWidth="1"/>
    <col min="20" max="20" width="13.7109375" bestFit="1" customWidth="1"/>
    <col min="21" max="21" width="17.85546875" style="55" bestFit="1" customWidth="1"/>
    <col min="23" max="23" width="10.5703125" customWidth="1"/>
    <col min="24" max="27" width="6" style="2" bestFit="1" customWidth="1"/>
    <col min="28" max="28" width="10.140625" bestFit="1" customWidth="1"/>
    <col min="29" max="29" width="10.28515625" bestFit="1" customWidth="1"/>
  </cols>
  <sheetData>
    <row r="1" spans="1:29" s="19" customFormat="1" x14ac:dyDescent="0.25">
      <c r="A1" s="19" t="s">
        <v>1</v>
      </c>
      <c r="B1" s="19" t="s">
        <v>2</v>
      </c>
      <c r="C1" s="19" t="s">
        <v>4</v>
      </c>
      <c r="D1" s="30" t="s">
        <v>5</v>
      </c>
      <c r="E1" s="30" t="s">
        <v>171</v>
      </c>
      <c r="F1" s="30" t="s">
        <v>60</v>
      </c>
      <c r="G1" s="19" t="s">
        <v>3</v>
      </c>
      <c r="H1" s="19" t="s">
        <v>6</v>
      </c>
      <c r="I1" s="30" t="s">
        <v>7</v>
      </c>
      <c r="J1" s="30" t="s">
        <v>172</v>
      </c>
      <c r="K1" s="30" t="s">
        <v>61</v>
      </c>
      <c r="L1" s="24" t="s">
        <v>37</v>
      </c>
      <c r="M1" s="24" t="s">
        <v>38</v>
      </c>
      <c r="T1" s="19" t="s">
        <v>157</v>
      </c>
      <c r="U1" s="54"/>
      <c r="W1" s="171" t="s">
        <v>209</v>
      </c>
      <c r="X1" s="174" t="s">
        <v>210</v>
      </c>
      <c r="Y1" s="174" t="s">
        <v>211</v>
      </c>
      <c r="Z1" s="174" t="s">
        <v>212</v>
      </c>
      <c r="AA1" s="174" t="s">
        <v>213</v>
      </c>
      <c r="AB1" s="171" t="s">
        <v>214</v>
      </c>
      <c r="AC1" s="171" t="s">
        <v>215</v>
      </c>
    </row>
    <row r="2" spans="1:29" x14ac:dyDescent="0.25">
      <c r="A2" s="8" t="s">
        <v>17</v>
      </c>
      <c r="B2" s="1">
        <v>42153</v>
      </c>
      <c r="C2">
        <v>1</v>
      </c>
      <c r="D2" s="2">
        <v>20.3</v>
      </c>
      <c r="E2" s="2">
        <v>0</v>
      </c>
      <c r="F2" s="2">
        <f>C2*D2</f>
        <v>20.3</v>
      </c>
      <c r="G2" s="110">
        <v>42235</v>
      </c>
      <c r="H2" s="10">
        <v>600</v>
      </c>
      <c r="I2" s="23">
        <v>17.55</v>
      </c>
      <c r="J2" s="23">
        <v>0</v>
      </c>
      <c r="K2" s="23">
        <f>H2*I2</f>
        <v>10530</v>
      </c>
      <c r="L2" t="s">
        <v>109</v>
      </c>
      <c r="O2" s="19" t="s">
        <v>57</v>
      </c>
      <c r="Q2">
        <f>C27-H27</f>
        <v>4400</v>
      </c>
      <c r="T2" s="19"/>
      <c r="W2" s="173">
        <v>42251</v>
      </c>
      <c r="X2" s="64">
        <v>15.24</v>
      </c>
      <c r="Y2" s="64">
        <v>15.43</v>
      </c>
      <c r="Z2" s="64">
        <v>15.01</v>
      </c>
      <c r="AA2" s="64">
        <v>15.1</v>
      </c>
      <c r="AB2" s="167">
        <v>3889000</v>
      </c>
      <c r="AC2" s="15">
        <v>15.1</v>
      </c>
    </row>
    <row r="3" spans="1:29" x14ac:dyDescent="0.25">
      <c r="A3" s="32" t="s">
        <v>77</v>
      </c>
      <c r="B3" s="1">
        <v>42164</v>
      </c>
      <c r="C3">
        <v>10</v>
      </c>
      <c r="D3" s="2">
        <v>19.79</v>
      </c>
      <c r="E3" s="2">
        <v>0</v>
      </c>
      <c r="F3" s="2">
        <f t="shared" ref="F3:F24" si="0">C3*D3</f>
        <v>197.89999999999998</v>
      </c>
      <c r="G3" s="110">
        <v>42235</v>
      </c>
      <c r="H3" s="10">
        <v>400</v>
      </c>
      <c r="I3" s="23">
        <v>17.559999999999999</v>
      </c>
      <c r="J3" s="23">
        <v>0</v>
      </c>
      <c r="K3" s="23">
        <f>H3*I3</f>
        <v>7023.9999999999991</v>
      </c>
      <c r="O3" s="19" t="s">
        <v>82</v>
      </c>
      <c r="Q3" s="2">
        <f>(F27-K27)/Q2</f>
        <v>17.909625000000002</v>
      </c>
      <c r="W3" s="173">
        <v>42250</v>
      </c>
      <c r="X3" s="64">
        <v>15.32</v>
      </c>
      <c r="Y3" s="64">
        <v>15.74</v>
      </c>
      <c r="Z3" s="64">
        <v>15.2</v>
      </c>
      <c r="AA3" s="64">
        <v>15.43</v>
      </c>
      <c r="AB3" s="167">
        <v>3853100</v>
      </c>
      <c r="AC3" s="15">
        <v>15.43</v>
      </c>
    </row>
    <row r="4" spans="1:29" x14ac:dyDescent="0.25">
      <c r="B4" s="1">
        <v>42164</v>
      </c>
      <c r="C4">
        <v>50</v>
      </c>
      <c r="D4" s="2">
        <v>19.7</v>
      </c>
      <c r="E4" s="2">
        <v>0</v>
      </c>
      <c r="F4" s="2">
        <f t="shared" si="0"/>
        <v>985</v>
      </c>
      <c r="O4" s="19" t="s">
        <v>66</v>
      </c>
      <c r="Q4" s="95">
        <v>15.28</v>
      </c>
      <c r="T4" s="1">
        <v>42263</v>
      </c>
      <c r="U4" s="55" t="s">
        <v>177</v>
      </c>
      <c r="W4" s="173">
        <v>42249</v>
      </c>
      <c r="X4" s="64">
        <v>15.66</v>
      </c>
      <c r="Y4" s="64">
        <v>15.69</v>
      </c>
      <c r="Z4" s="64">
        <v>15.07</v>
      </c>
      <c r="AA4" s="64">
        <v>15.3</v>
      </c>
      <c r="AB4" s="167">
        <v>3721200</v>
      </c>
      <c r="AC4" s="15">
        <v>15.3</v>
      </c>
    </row>
    <row r="5" spans="1:29" x14ac:dyDescent="0.25">
      <c r="B5" s="1">
        <v>42166</v>
      </c>
      <c r="C5">
        <v>39</v>
      </c>
      <c r="D5" s="2">
        <v>19.25</v>
      </c>
      <c r="E5" s="2">
        <v>0</v>
      </c>
      <c r="F5" s="2">
        <f t="shared" si="0"/>
        <v>750.75</v>
      </c>
      <c r="O5" s="19" t="s">
        <v>67</v>
      </c>
      <c r="Q5" s="2">
        <f>F27-K27</f>
        <v>78802.350000000006</v>
      </c>
      <c r="T5" s="1">
        <v>42313</v>
      </c>
      <c r="U5" s="55" t="s">
        <v>226</v>
      </c>
      <c r="W5" s="173">
        <v>42248</v>
      </c>
      <c r="X5" s="64">
        <v>15.67</v>
      </c>
      <c r="Y5" s="64">
        <v>15.85</v>
      </c>
      <c r="Z5" s="64">
        <v>15.3</v>
      </c>
      <c r="AA5" s="64">
        <v>15.41</v>
      </c>
      <c r="AB5" s="167">
        <v>6971500</v>
      </c>
      <c r="AC5" s="15">
        <v>15.41</v>
      </c>
    </row>
    <row r="6" spans="1:29" x14ac:dyDescent="0.25">
      <c r="B6" s="1">
        <v>42174</v>
      </c>
      <c r="C6">
        <v>20</v>
      </c>
      <c r="D6" s="2">
        <v>19.059999999999999</v>
      </c>
      <c r="E6" s="2">
        <v>0</v>
      </c>
      <c r="F6" s="2">
        <f t="shared" si="0"/>
        <v>381.2</v>
      </c>
      <c r="O6" s="19" t="s">
        <v>64</v>
      </c>
      <c r="Q6" s="2">
        <f>Q4*Q2</f>
        <v>67232</v>
      </c>
      <c r="W6" s="173">
        <v>42247</v>
      </c>
      <c r="X6" s="64">
        <v>16.09</v>
      </c>
      <c r="Y6" s="64">
        <v>16.16</v>
      </c>
      <c r="Z6" s="64">
        <v>15.8</v>
      </c>
      <c r="AA6" s="64">
        <v>15.94</v>
      </c>
      <c r="AB6" s="167">
        <v>4886900</v>
      </c>
      <c r="AC6" s="15">
        <v>15.94</v>
      </c>
    </row>
    <row r="7" spans="1:29" x14ac:dyDescent="0.25">
      <c r="B7" s="1">
        <v>42177</v>
      </c>
      <c r="C7">
        <v>20</v>
      </c>
      <c r="D7" s="2">
        <v>18.899999999999999</v>
      </c>
      <c r="E7" s="2">
        <v>0</v>
      </c>
      <c r="F7" s="2">
        <f t="shared" si="0"/>
        <v>378</v>
      </c>
      <c r="O7" s="19" t="s">
        <v>65</v>
      </c>
      <c r="Q7" s="72">
        <f>Q6-Q5</f>
        <v>-11570.350000000006</v>
      </c>
      <c r="W7" s="173">
        <v>42244</v>
      </c>
      <c r="X7" s="64">
        <v>15.87</v>
      </c>
      <c r="Y7" s="64">
        <v>16.47</v>
      </c>
      <c r="Z7" s="64">
        <v>15.83</v>
      </c>
      <c r="AA7" s="64">
        <v>16.21</v>
      </c>
      <c r="AB7" s="167">
        <v>6176900</v>
      </c>
      <c r="AC7" s="15">
        <v>16.21</v>
      </c>
    </row>
    <row r="8" spans="1:29" x14ac:dyDescent="0.25">
      <c r="B8" s="1">
        <v>42185</v>
      </c>
      <c r="C8">
        <v>50</v>
      </c>
      <c r="D8" s="2">
        <v>18.72</v>
      </c>
      <c r="E8" s="2">
        <v>0</v>
      </c>
      <c r="F8" s="2">
        <f t="shared" si="0"/>
        <v>936</v>
      </c>
      <c r="W8" s="173">
        <v>42243</v>
      </c>
      <c r="X8" s="64">
        <v>15.62</v>
      </c>
      <c r="Y8" s="64">
        <v>15.93</v>
      </c>
      <c r="Z8" s="64">
        <v>15.51</v>
      </c>
      <c r="AA8" s="64">
        <v>15.89</v>
      </c>
      <c r="AB8" s="167">
        <v>12038900</v>
      </c>
      <c r="AC8" s="15">
        <v>15.89</v>
      </c>
    </row>
    <row r="9" spans="1:29" x14ac:dyDescent="0.25">
      <c r="B9" s="1">
        <v>42187</v>
      </c>
      <c r="C9">
        <v>1000</v>
      </c>
      <c r="D9" s="2">
        <v>18.45</v>
      </c>
      <c r="E9" s="2">
        <v>0</v>
      </c>
      <c r="F9" s="2">
        <f t="shared" si="0"/>
        <v>18450</v>
      </c>
      <c r="W9" s="173">
        <v>42242</v>
      </c>
      <c r="X9" s="64">
        <v>15.41</v>
      </c>
      <c r="Y9" s="64">
        <v>15.55</v>
      </c>
      <c r="Z9" s="64">
        <v>14.93</v>
      </c>
      <c r="AA9" s="64">
        <v>15.44</v>
      </c>
      <c r="AB9" s="167">
        <v>10762800</v>
      </c>
      <c r="AC9" s="15">
        <v>15.44</v>
      </c>
    </row>
    <row r="10" spans="1:29" x14ac:dyDescent="0.25">
      <c r="B10" s="1">
        <v>42187</v>
      </c>
      <c r="C10">
        <v>2000</v>
      </c>
      <c r="D10" s="2">
        <v>18.399999999999999</v>
      </c>
      <c r="E10" s="2">
        <v>0</v>
      </c>
      <c r="F10" s="2">
        <f t="shared" si="0"/>
        <v>36800</v>
      </c>
      <c r="W10" s="173">
        <v>42241</v>
      </c>
      <c r="X10" s="64">
        <v>16.3</v>
      </c>
      <c r="Y10" s="64">
        <v>16.37</v>
      </c>
      <c r="Z10" s="64">
        <v>15.14</v>
      </c>
      <c r="AA10" s="64">
        <v>15.14</v>
      </c>
      <c r="AB10" s="167">
        <v>6037800</v>
      </c>
      <c r="AC10" s="15">
        <v>15.14</v>
      </c>
    </row>
    <row r="11" spans="1:29" x14ac:dyDescent="0.25">
      <c r="B11" s="1">
        <v>42187</v>
      </c>
      <c r="C11">
        <v>210</v>
      </c>
      <c r="D11" s="2">
        <v>18.12</v>
      </c>
      <c r="E11" s="2">
        <v>0</v>
      </c>
      <c r="F11" s="2">
        <f t="shared" si="0"/>
        <v>3805.2000000000003</v>
      </c>
      <c r="T11" s="19"/>
      <c r="W11" s="173">
        <v>42240</v>
      </c>
      <c r="X11" s="64">
        <v>15.44</v>
      </c>
      <c r="Y11" s="64">
        <v>16.760000000000002</v>
      </c>
      <c r="Z11" s="64">
        <v>15</v>
      </c>
      <c r="AA11" s="64">
        <v>15.87</v>
      </c>
      <c r="AB11" s="167">
        <v>6610600</v>
      </c>
      <c r="AC11" s="15">
        <v>15.87</v>
      </c>
    </row>
    <row r="12" spans="1:29" x14ac:dyDescent="0.25">
      <c r="B12" s="1">
        <v>42207</v>
      </c>
      <c r="C12">
        <v>30</v>
      </c>
      <c r="D12" s="2">
        <v>17.3</v>
      </c>
      <c r="E12" s="2">
        <v>0</v>
      </c>
      <c r="F12" s="2">
        <f t="shared" si="0"/>
        <v>519</v>
      </c>
      <c r="W12" s="173">
        <v>42237</v>
      </c>
      <c r="X12" s="64">
        <v>16.73</v>
      </c>
      <c r="Y12" s="64">
        <v>16.850000000000001</v>
      </c>
      <c r="Z12" s="64">
        <v>16.350000000000001</v>
      </c>
      <c r="AA12" s="64">
        <v>16.5</v>
      </c>
      <c r="AB12" s="167">
        <v>4329000</v>
      </c>
      <c r="AC12" s="15">
        <v>16.5</v>
      </c>
    </row>
    <row r="13" spans="1:29" x14ac:dyDescent="0.25">
      <c r="B13" s="1">
        <v>42207</v>
      </c>
      <c r="C13">
        <v>20</v>
      </c>
      <c r="D13" s="2">
        <v>17.399999999999999</v>
      </c>
      <c r="E13" s="2">
        <v>0</v>
      </c>
      <c r="F13" s="2">
        <f t="shared" si="0"/>
        <v>348</v>
      </c>
      <c r="W13" s="173">
        <v>42236</v>
      </c>
      <c r="X13" s="64">
        <v>17.239999999999998</v>
      </c>
      <c r="Y13" s="64">
        <v>17.420000000000002</v>
      </c>
      <c r="Z13" s="64">
        <v>16.920000000000002</v>
      </c>
      <c r="AA13" s="64">
        <v>16.93</v>
      </c>
      <c r="AB13" s="167">
        <v>4935900</v>
      </c>
      <c r="AC13" s="15">
        <v>16.93</v>
      </c>
    </row>
    <row r="14" spans="1:29" x14ac:dyDescent="0.25">
      <c r="B14" s="1">
        <v>42208</v>
      </c>
      <c r="C14">
        <v>100</v>
      </c>
      <c r="D14" s="2">
        <v>17.100000000000001</v>
      </c>
      <c r="E14" s="2">
        <v>0</v>
      </c>
      <c r="F14" s="2">
        <f t="shared" si="0"/>
        <v>1710.0000000000002</v>
      </c>
      <c r="W14" s="173">
        <v>42235</v>
      </c>
      <c r="X14" s="64">
        <v>17.420000000000002</v>
      </c>
      <c r="Y14" s="64">
        <v>17.7</v>
      </c>
      <c r="Z14" s="64">
        <v>17.27</v>
      </c>
      <c r="AA14" s="64">
        <v>17.43</v>
      </c>
      <c r="AB14" s="167">
        <v>3380000</v>
      </c>
      <c r="AC14" s="15">
        <v>17.43</v>
      </c>
    </row>
    <row r="15" spans="1:29" x14ac:dyDescent="0.25">
      <c r="B15" s="1">
        <v>42208</v>
      </c>
      <c r="C15">
        <v>50</v>
      </c>
      <c r="D15" s="2">
        <v>16.96</v>
      </c>
      <c r="E15" s="2">
        <v>0</v>
      </c>
      <c r="F15" s="2">
        <f t="shared" si="0"/>
        <v>848</v>
      </c>
      <c r="V15" s="2"/>
      <c r="W15" s="173">
        <v>42234</v>
      </c>
      <c r="X15" s="64">
        <v>17.54</v>
      </c>
      <c r="Y15" s="64">
        <v>17.62</v>
      </c>
      <c r="Z15" s="64">
        <v>17.239999999999998</v>
      </c>
      <c r="AA15" s="64">
        <v>17.510000000000002</v>
      </c>
      <c r="AB15" s="167">
        <v>4707700</v>
      </c>
      <c r="AC15" s="15">
        <v>17.510000000000002</v>
      </c>
    </row>
    <row r="16" spans="1:29" x14ac:dyDescent="0.25">
      <c r="B16" s="1">
        <v>42222</v>
      </c>
      <c r="C16">
        <v>200</v>
      </c>
      <c r="D16" s="2">
        <v>17.739999999999998</v>
      </c>
      <c r="E16" s="2">
        <v>0</v>
      </c>
      <c r="F16" s="2">
        <f t="shared" si="0"/>
        <v>3547.9999999999995</v>
      </c>
      <c r="V16" s="2"/>
      <c r="W16" s="173">
        <v>42233</v>
      </c>
      <c r="X16" s="64">
        <v>17.399999999999999</v>
      </c>
      <c r="Y16" s="64">
        <v>17.690000000000001</v>
      </c>
      <c r="Z16" s="64">
        <v>17.39</v>
      </c>
      <c r="AA16" s="64">
        <v>17.55</v>
      </c>
      <c r="AB16" s="167">
        <v>3783900</v>
      </c>
      <c r="AC16" s="15">
        <v>17.55</v>
      </c>
    </row>
    <row r="17" spans="1:29" x14ac:dyDescent="0.25">
      <c r="B17" s="110">
        <v>42222</v>
      </c>
      <c r="C17" s="10">
        <v>200</v>
      </c>
      <c r="D17" s="23">
        <v>17.850000000000001</v>
      </c>
      <c r="E17" s="23">
        <v>0</v>
      </c>
      <c r="F17" s="23">
        <f t="shared" si="0"/>
        <v>3570.0000000000005</v>
      </c>
      <c r="V17" s="2"/>
      <c r="W17" s="173">
        <v>42230</v>
      </c>
      <c r="X17" s="64">
        <v>17.149999999999999</v>
      </c>
      <c r="Y17" s="64">
        <v>17.61</v>
      </c>
      <c r="Z17" s="64">
        <v>17.14</v>
      </c>
      <c r="AA17" s="64">
        <v>17.48</v>
      </c>
      <c r="AB17" s="167">
        <v>6089000</v>
      </c>
      <c r="AC17" s="15">
        <v>17.48</v>
      </c>
    </row>
    <row r="18" spans="1:29" x14ac:dyDescent="0.25">
      <c r="B18" s="110">
        <v>42223</v>
      </c>
      <c r="C18" s="10">
        <v>300</v>
      </c>
      <c r="D18" s="23">
        <v>17.149999999999999</v>
      </c>
      <c r="E18" s="23">
        <v>0</v>
      </c>
      <c r="F18" s="23">
        <f t="shared" si="0"/>
        <v>5145</v>
      </c>
      <c r="V18" s="2"/>
      <c r="W18" s="173">
        <v>42229</v>
      </c>
      <c r="X18" s="64">
        <v>17.2</v>
      </c>
      <c r="Y18" s="64">
        <v>17.22</v>
      </c>
      <c r="Z18" s="64">
        <v>16.57</v>
      </c>
      <c r="AA18" s="64">
        <v>17.02</v>
      </c>
      <c r="AB18" s="167">
        <v>4277300</v>
      </c>
      <c r="AC18" s="15">
        <v>17.02</v>
      </c>
    </row>
    <row r="19" spans="1:29" x14ac:dyDescent="0.25">
      <c r="B19" s="110">
        <v>42223</v>
      </c>
      <c r="C19" s="10">
        <v>200</v>
      </c>
      <c r="D19" s="23">
        <v>17.170000000000002</v>
      </c>
      <c r="E19" s="23">
        <v>0</v>
      </c>
      <c r="F19" s="23">
        <f t="shared" si="0"/>
        <v>3434.0000000000005</v>
      </c>
      <c r="W19" s="173">
        <v>42228</v>
      </c>
      <c r="X19" s="64">
        <v>16.579999999999998</v>
      </c>
      <c r="Y19" s="64">
        <v>17.27</v>
      </c>
      <c r="Z19" s="64">
        <v>16.399999999999999</v>
      </c>
      <c r="AA19" s="64">
        <v>17.18</v>
      </c>
      <c r="AB19" s="167">
        <v>6451500</v>
      </c>
      <c r="AC19" s="15">
        <v>17.18</v>
      </c>
    </row>
    <row r="20" spans="1:29" x14ac:dyDescent="0.25">
      <c r="B20" s="110">
        <v>42223</v>
      </c>
      <c r="C20" s="10">
        <v>100</v>
      </c>
      <c r="D20" s="23">
        <v>17.37</v>
      </c>
      <c r="E20" s="23">
        <v>0</v>
      </c>
      <c r="F20" s="23">
        <f t="shared" si="0"/>
        <v>1737</v>
      </c>
      <c r="W20" s="173">
        <v>42227</v>
      </c>
      <c r="X20" s="64">
        <v>16.98</v>
      </c>
      <c r="Y20" s="64">
        <v>17.13</v>
      </c>
      <c r="Z20" s="64">
        <v>16.670000000000002</v>
      </c>
      <c r="AA20" s="64">
        <v>16.670000000000002</v>
      </c>
      <c r="AB20" s="167">
        <v>3985000</v>
      </c>
      <c r="AC20" s="15">
        <v>16.670000000000002</v>
      </c>
    </row>
    <row r="21" spans="1:29" x14ac:dyDescent="0.25">
      <c r="B21" s="110">
        <v>42227</v>
      </c>
      <c r="C21" s="10">
        <v>100</v>
      </c>
      <c r="D21" s="23">
        <v>17.100000000000001</v>
      </c>
      <c r="E21" s="23">
        <v>0</v>
      </c>
      <c r="F21" s="23">
        <f t="shared" si="0"/>
        <v>1710.0000000000002</v>
      </c>
      <c r="W21" s="173">
        <v>42226</v>
      </c>
      <c r="X21" s="64">
        <v>17.04</v>
      </c>
      <c r="Y21" s="64">
        <v>17.149999999999999</v>
      </c>
      <c r="Z21" s="64">
        <v>16.88</v>
      </c>
      <c r="AA21" s="64">
        <v>17.05</v>
      </c>
      <c r="AB21" s="167">
        <v>4587800</v>
      </c>
      <c r="AC21" s="15">
        <v>17.05</v>
      </c>
    </row>
    <row r="22" spans="1:29" x14ac:dyDescent="0.25">
      <c r="B22" s="110">
        <v>42229</v>
      </c>
      <c r="C22" s="10">
        <v>100</v>
      </c>
      <c r="D22" s="23">
        <v>16.89</v>
      </c>
      <c r="E22" s="23">
        <v>0</v>
      </c>
      <c r="F22" s="23">
        <f t="shared" si="0"/>
        <v>1689</v>
      </c>
      <c r="W22" s="173">
        <v>42223</v>
      </c>
      <c r="X22" s="64">
        <v>17.22</v>
      </c>
      <c r="Y22" s="64">
        <v>17.46</v>
      </c>
      <c r="Z22" s="64">
        <v>16.920000000000002</v>
      </c>
      <c r="AA22" s="64">
        <v>16.989999999999998</v>
      </c>
      <c r="AB22" s="167">
        <v>3574000</v>
      </c>
      <c r="AC22" s="15">
        <v>16.989999999999998</v>
      </c>
    </row>
    <row r="23" spans="1:29" x14ac:dyDescent="0.25">
      <c r="B23" s="1">
        <v>42233</v>
      </c>
      <c r="C23" s="6">
        <v>100</v>
      </c>
      <c r="D23" s="5">
        <v>16.5</v>
      </c>
      <c r="E23" s="2">
        <v>0</v>
      </c>
      <c r="F23" s="5">
        <f t="shared" si="0"/>
        <v>1650</v>
      </c>
      <c r="W23" s="173">
        <v>42222</v>
      </c>
      <c r="X23" s="64">
        <v>17.190000000000001</v>
      </c>
      <c r="Y23" s="64">
        <v>17.39</v>
      </c>
      <c r="Z23" s="64">
        <v>17.02</v>
      </c>
      <c r="AA23" s="64">
        <v>17.29</v>
      </c>
      <c r="AB23" s="167">
        <v>5911600</v>
      </c>
      <c r="AC23" s="15">
        <v>17.29</v>
      </c>
    </row>
    <row r="24" spans="1:29" x14ac:dyDescent="0.25">
      <c r="B24" s="1">
        <v>42234</v>
      </c>
      <c r="C24" s="6">
        <v>100</v>
      </c>
      <c r="D24" s="5">
        <v>16.600000000000001</v>
      </c>
      <c r="E24" s="2">
        <v>0</v>
      </c>
      <c r="F24" s="5">
        <f t="shared" si="0"/>
        <v>1660.0000000000002</v>
      </c>
      <c r="W24" s="173">
        <v>42221</v>
      </c>
      <c r="X24" s="64">
        <v>17.41</v>
      </c>
      <c r="Y24" s="64">
        <v>17.690000000000001</v>
      </c>
      <c r="Z24" s="64">
        <v>17.18</v>
      </c>
      <c r="AA24" s="64">
        <v>17.21</v>
      </c>
      <c r="AB24" s="167">
        <v>4406400</v>
      </c>
      <c r="AC24" s="15">
        <v>17.21</v>
      </c>
    </row>
    <row r="25" spans="1:29" x14ac:dyDescent="0.25">
      <c r="B25" s="1">
        <v>42244</v>
      </c>
      <c r="C25" s="6">
        <v>200</v>
      </c>
      <c r="D25" s="5">
        <v>15.4</v>
      </c>
      <c r="E25" s="2">
        <v>0</v>
      </c>
      <c r="F25" s="5">
        <f t="shared" ref="F25:F26" si="1">C25*D25</f>
        <v>3080</v>
      </c>
      <c r="W25" s="173">
        <v>42220</v>
      </c>
      <c r="X25" s="64">
        <v>17.5</v>
      </c>
      <c r="Y25" s="64">
        <v>17.59</v>
      </c>
      <c r="Z25" s="64">
        <v>17.05</v>
      </c>
      <c r="AA25" s="64">
        <v>17.32</v>
      </c>
      <c r="AB25" s="167">
        <v>6937100</v>
      </c>
      <c r="AC25" s="15">
        <v>17.32</v>
      </c>
    </row>
    <row r="26" spans="1:29" x14ac:dyDescent="0.25">
      <c r="B26" s="1">
        <v>42257</v>
      </c>
      <c r="C26" s="6">
        <v>200</v>
      </c>
      <c r="D26" s="5">
        <v>15.02</v>
      </c>
      <c r="E26" s="2">
        <v>0</v>
      </c>
      <c r="F26" s="5">
        <f t="shared" si="1"/>
        <v>3004</v>
      </c>
      <c r="W26" s="173">
        <v>42219</v>
      </c>
      <c r="X26" s="64">
        <v>18.3</v>
      </c>
      <c r="Y26" s="64">
        <v>18.38</v>
      </c>
      <c r="Z26" s="64">
        <v>17.45</v>
      </c>
      <c r="AA26" s="64">
        <v>17.559999999999999</v>
      </c>
      <c r="AB26" s="167">
        <v>6132500</v>
      </c>
      <c r="AC26" s="15">
        <v>17.559999999999999</v>
      </c>
    </row>
    <row r="27" spans="1:29" x14ac:dyDescent="0.25">
      <c r="A27" s="53" t="s">
        <v>110</v>
      </c>
      <c r="B27" s="22"/>
      <c r="C27" s="22">
        <f>SUM(C2:C26)</f>
        <v>5400</v>
      </c>
      <c r="D27" s="22"/>
      <c r="E27" s="22"/>
      <c r="F27" s="22">
        <f>SUM(F2:F26)</f>
        <v>96356.35</v>
      </c>
      <c r="G27" s="22"/>
      <c r="H27" s="22">
        <f t="shared" ref="H27:K27" si="2">SUM(H2:H25)</f>
        <v>1000</v>
      </c>
      <c r="I27" s="22"/>
      <c r="J27" s="22"/>
      <c r="K27" s="27">
        <f t="shared" si="2"/>
        <v>17554</v>
      </c>
      <c r="L27" s="22"/>
      <c r="M27" s="22"/>
      <c r="W27" s="173">
        <v>42216</v>
      </c>
      <c r="X27" s="64">
        <v>17.71</v>
      </c>
      <c r="Y27" s="64">
        <v>18.73</v>
      </c>
      <c r="Z27" s="64">
        <v>17.71</v>
      </c>
      <c r="AA27" s="64">
        <v>18.3</v>
      </c>
      <c r="AB27" s="167">
        <v>9588000</v>
      </c>
      <c r="AC27" s="15">
        <v>18.3</v>
      </c>
    </row>
    <row r="28" spans="1:29" x14ac:dyDescent="0.25">
      <c r="W28" s="173">
        <v>42215</v>
      </c>
      <c r="X28" s="64">
        <v>18.43</v>
      </c>
      <c r="Y28" s="64">
        <v>19.73</v>
      </c>
      <c r="Z28" s="64">
        <v>17.059999999999999</v>
      </c>
      <c r="AA28" s="64">
        <v>17.5</v>
      </c>
      <c r="AB28" s="167">
        <v>9904400</v>
      </c>
      <c r="AC28" s="15">
        <v>17.5</v>
      </c>
    </row>
    <row r="29" spans="1:29" x14ac:dyDescent="0.25">
      <c r="W29" s="173">
        <v>42214</v>
      </c>
      <c r="X29" s="64">
        <v>16.649999999999999</v>
      </c>
      <c r="Y29" s="64">
        <v>16.77</v>
      </c>
      <c r="Z29" s="64">
        <v>16.57</v>
      </c>
      <c r="AA29" s="64">
        <v>16.63</v>
      </c>
      <c r="AB29" s="167">
        <v>4796900</v>
      </c>
      <c r="AC29" s="15">
        <v>16.63</v>
      </c>
    </row>
    <row r="30" spans="1:29" ht="20.25" thickBot="1" x14ac:dyDescent="0.35">
      <c r="O30" s="201" t="s">
        <v>85</v>
      </c>
      <c r="P30" s="201"/>
      <c r="T30" s="168" t="s">
        <v>154</v>
      </c>
      <c r="U30" s="172"/>
      <c r="W30" s="173">
        <v>42213</v>
      </c>
      <c r="X30" s="64">
        <v>16.559999999999999</v>
      </c>
      <c r="Y30" s="64">
        <v>16.79</v>
      </c>
      <c r="Z30" s="64">
        <v>16.510000000000002</v>
      </c>
      <c r="AA30" s="64">
        <v>16.68</v>
      </c>
      <c r="AB30" s="167">
        <v>4021900</v>
      </c>
      <c r="AC30" s="15">
        <v>16.68</v>
      </c>
    </row>
    <row r="31" spans="1:29" ht="15.75" thickTop="1" x14ac:dyDescent="0.25">
      <c r="O31" s="146">
        <v>1.1000000000000001</v>
      </c>
      <c r="P31" s="146">
        <f>O31*$Q$4</f>
        <v>16.808</v>
      </c>
      <c r="Q31" s="2"/>
      <c r="T31" s="171" t="s">
        <v>186</v>
      </c>
      <c r="U31" s="169">
        <v>15.43</v>
      </c>
      <c r="W31" s="173">
        <v>42212</v>
      </c>
      <c r="X31" s="64">
        <v>16.53</v>
      </c>
      <c r="Y31" s="64">
        <v>16.91</v>
      </c>
      <c r="Z31" s="64">
        <v>16.510000000000002</v>
      </c>
      <c r="AA31" s="64">
        <v>16.57</v>
      </c>
      <c r="AB31" s="167">
        <v>6105400</v>
      </c>
      <c r="AC31" s="15">
        <v>16.57</v>
      </c>
    </row>
    <row r="32" spans="1:29" x14ac:dyDescent="0.25">
      <c r="O32" s="146">
        <v>1.0900000000000001</v>
      </c>
      <c r="P32" s="146">
        <f t="shared" ref="P32:P51" si="3">O32*$Q$4</f>
        <v>16.655200000000001</v>
      </c>
      <c r="Q32" s="2"/>
      <c r="T32" s="171" t="s">
        <v>187</v>
      </c>
      <c r="U32" s="169">
        <v>15.24</v>
      </c>
      <c r="W32" s="173">
        <v>42209</v>
      </c>
      <c r="X32" s="64">
        <v>16.850000000000001</v>
      </c>
      <c r="Y32" s="64">
        <v>16.97</v>
      </c>
      <c r="Z32" s="64">
        <v>16.55</v>
      </c>
      <c r="AA32" s="64">
        <v>16.61</v>
      </c>
      <c r="AB32" s="167">
        <v>4244500</v>
      </c>
      <c r="AC32" s="15">
        <v>16.61</v>
      </c>
    </row>
    <row r="33" spans="15:29" x14ac:dyDescent="0.25">
      <c r="O33" s="146">
        <v>1.08</v>
      </c>
      <c r="P33" s="146">
        <f t="shared" si="3"/>
        <v>16.502400000000002</v>
      </c>
      <c r="Q33" s="2"/>
      <c r="T33" s="171" t="s">
        <v>188</v>
      </c>
      <c r="U33" s="169" t="s">
        <v>227</v>
      </c>
      <c r="W33" s="173">
        <v>42208</v>
      </c>
      <c r="X33" s="64">
        <v>16.97</v>
      </c>
      <c r="Y33" s="64">
        <v>16.97</v>
      </c>
      <c r="Z33" s="64">
        <v>16.61</v>
      </c>
      <c r="AA33" s="64">
        <v>16.87</v>
      </c>
      <c r="AB33" s="167">
        <v>5287500</v>
      </c>
      <c r="AC33" s="15">
        <v>16.87</v>
      </c>
    </row>
    <row r="34" spans="15:29" x14ac:dyDescent="0.25">
      <c r="O34" s="146">
        <v>1.07</v>
      </c>
      <c r="P34" s="146">
        <f t="shared" si="3"/>
        <v>16.349599999999999</v>
      </c>
      <c r="Q34" s="2"/>
      <c r="T34" s="171" t="s">
        <v>189</v>
      </c>
      <c r="U34" s="169" t="s">
        <v>228</v>
      </c>
      <c r="W34" s="173">
        <v>42207</v>
      </c>
      <c r="X34" s="64">
        <v>16.8</v>
      </c>
      <c r="Y34" s="64">
        <v>17.21</v>
      </c>
      <c r="Z34" s="64">
        <v>16.75</v>
      </c>
      <c r="AA34" s="64">
        <v>16.95</v>
      </c>
      <c r="AB34" s="167">
        <v>6536400</v>
      </c>
      <c r="AC34" s="15">
        <v>16.95</v>
      </c>
    </row>
    <row r="35" spans="15:29" x14ac:dyDescent="0.25">
      <c r="O35" s="146">
        <v>1.06</v>
      </c>
      <c r="P35" s="146">
        <f t="shared" si="3"/>
        <v>16.1968</v>
      </c>
      <c r="Q35" s="2"/>
      <c r="T35" s="171" t="s">
        <v>190</v>
      </c>
      <c r="U35" s="169">
        <v>22.92</v>
      </c>
      <c r="W35" s="173">
        <v>42206</v>
      </c>
      <c r="X35" s="64">
        <v>16.940000000000001</v>
      </c>
      <c r="Y35" s="64">
        <v>17.04</v>
      </c>
      <c r="Z35" s="64">
        <v>16.77</v>
      </c>
      <c r="AA35" s="64">
        <v>16.940000000000001</v>
      </c>
      <c r="AB35" s="167">
        <v>5339600</v>
      </c>
      <c r="AC35" s="15">
        <v>16.940000000000001</v>
      </c>
    </row>
    <row r="36" spans="15:29" x14ac:dyDescent="0.25">
      <c r="O36" s="146">
        <v>1.05</v>
      </c>
      <c r="P36" s="146">
        <f t="shared" si="3"/>
        <v>16.044</v>
      </c>
      <c r="Q36" s="2"/>
      <c r="T36" s="171" t="s">
        <v>191</v>
      </c>
      <c r="U36" s="169">
        <v>1.00651</v>
      </c>
      <c r="W36" s="173">
        <v>42205</v>
      </c>
      <c r="X36" s="64">
        <v>17.32</v>
      </c>
      <c r="Y36" s="64">
        <v>17.559999999999999</v>
      </c>
      <c r="Z36" s="64">
        <v>16.95</v>
      </c>
      <c r="AA36" s="64">
        <v>16.97</v>
      </c>
      <c r="AB36" s="167">
        <v>11582500</v>
      </c>
      <c r="AC36" s="15">
        <v>16.97</v>
      </c>
    </row>
    <row r="37" spans="15:29" x14ac:dyDescent="0.25">
      <c r="O37" s="146">
        <v>1.04</v>
      </c>
      <c r="P37" s="146">
        <f t="shared" si="3"/>
        <v>15.8912</v>
      </c>
      <c r="Q37" s="2"/>
      <c r="T37" s="171" t="s">
        <v>229</v>
      </c>
      <c r="U37" s="169" t="s">
        <v>230</v>
      </c>
      <c r="W37" s="173">
        <v>42202</v>
      </c>
      <c r="X37" s="64">
        <v>17.66</v>
      </c>
      <c r="Y37" s="64">
        <v>17.73</v>
      </c>
      <c r="Z37" s="64">
        <v>17.29</v>
      </c>
      <c r="AA37" s="64">
        <v>17.3</v>
      </c>
      <c r="AB37" s="167">
        <v>2794900</v>
      </c>
      <c r="AC37" s="15">
        <v>17.3</v>
      </c>
    </row>
    <row r="38" spans="15:29" x14ac:dyDescent="0.25">
      <c r="O38" s="146">
        <v>1.03</v>
      </c>
      <c r="P38" s="146">
        <f t="shared" si="3"/>
        <v>15.7384</v>
      </c>
      <c r="Q38" s="2"/>
      <c r="T38" s="171"/>
      <c r="U38" s="169"/>
      <c r="W38" s="173">
        <v>42201</v>
      </c>
      <c r="X38" s="64">
        <v>17.48</v>
      </c>
      <c r="Y38" s="64">
        <v>17.760000000000002</v>
      </c>
      <c r="Z38" s="64">
        <v>17.43</v>
      </c>
      <c r="AA38" s="64">
        <v>17.690000000000001</v>
      </c>
      <c r="AB38" s="167">
        <v>4951200</v>
      </c>
      <c r="AC38" s="15">
        <v>17.690000000000001</v>
      </c>
    </row>
    <row r="39" spans="15:29" x14ac:dyDescent="0.25">
      <c r="O39" s="146">
        <v>1.02</v>
      </c>
      <c r="P39" s="146">
        <f t="shared" si="3"/>
        <v>15.585599999999999</v>
      </c>
      <c r="Q39" s="2"/>
      <c r="T39" s="171" t="s">
        <v>193</v>
      </c>
      <c r="U39" s="169" t="s">
        <v>231</v>
      </c>
      <c r="W39" s="173">
        <v>42200</v>
      </c>
      <c r="X39" s="64">
        <v>17.62</v>
      </c>
      <c r="Y39" s="64">
        <v>17.71</v>
      </c>
      <c r="Z39" s="64">
        <v>17.34</v>
      </c>
      <c r="AA39" s="64">
        <v>17.489999999999998</v>
      </c>
      <c r="AB39" s="167">
        <v>4210700</v>
      </c>
      <c r="AC39" s="15">
        <v>17.489999999999998</v>
      </c>
    </row>
    <row r="40" spans="15:29" x14ac:dyDescent="0.25">
      <c r="O40" s="146">
        <v>1.01</v>
      </c>
      <c r="P40" s="146">
        <f t="shared" si="3"/>
        <v>15.4328</v>
      </c>
      <c r="Q40" s="2"/>
      <c r="T40" s="171" t="s">
        <v>194</v>
      </c>
      <c r="U40" s="169" t="s">
        <v>232</v>
      </c>
      <c r="W40" s="173">
        <v>42199</v>
      </c>
      <c r="X40" s="64">
        <v>17.510000000000002</v>
      </c>
      <c r="Y40" s="64">
        <v>17.760000000000002</v>
      </c>
      <c r="Z40" s="64">
        <v>17.48</v>
      </c>
      <c r="AA40" s="64">
        <v>17.63</v>
      </c>
      <c r="AB40" s="167">
        <v>3891000</v>
      </c>
      <c r="AC40" s="15">
        <v>17.63</v>
      </c>
    </row>
    <row r="41" spans="15:29" x14ac:dyDescent="0.25">
      <c r="O41" s="146">
        <v>1</v>
      </c>
      <c r="P41" s="146">
        <f t="shared" si="3"/>
        <v>15.28</v>
      </c>
      <c r="Q41" s="2"/>
      <c r="T41" s="171" t="s">
        <v>195</v>
      </c>
      <c r="U41" s="170">
        <v>3889000</v>
      </c>
      <c r="W41" s="173">
        <v>42198</v>
      </c>
      <c r="X41" s="64">
        <v>17.41</v>
      </c>
      <c r="Y41" s="64">
        <v>17.61</v>
      </c>
      <c r="Z41" s="64">
        <v>17.27</v>
      </c>
      <c r="AA41" s="64">
        <v>17.54</v>
      </c>
      <c r="AB41" s="167">
        <v>3692700</v>
      </c>
      <c r="AC41" s="15">
        <v>17.54</v>
      </c>
    </row>
    <row r="42" spans="15:29" x14ac:dyDescent="0.25">
      <c r="O42" s="146">
        <v>0.99</v>
      </c>
      <c r="P42" s="146">
        <f t="shared" si="3"/>
        <v>15.127199999999998</v>
      </c>
      <c r="Q42" s="2"/>
      <c r="T42" s="171" t="s">
        <v>204</v>
      </c>
      <c r="U42" s="170">
        <v>5543840</v>
      </c>
      <c r="W42" s="173">
        <v>42195</v>
      </c>
      <c r="X42" s="64">
        <v>17.38</v>
      </c>
      <c r="Y42" s="64">
        <v>17.64</v>
      </c>
      <c r="Z42" s="64">
        <v>17.329999999999998</v>
      </c>
      <c r="AA42" s="64">
        <v>17.37</v>
      </c>
      <c r="AB42" s="167">
        <v>4619700</v>
      </c>
      <c r="AC42" s="15">
        <v>17.37</v>
      </c>
    </row>
    <row r="43" spans="15:29" x14ac:dyDescent="0.25">
      <c r="O43" s="146">
        <v>0.98</v>
      </c>
      <c r="P43" s="146">
        <f t="shared" si="3"/>
        <v>14.974399999999999</v>
      </c>
      <c r="Q43" s="2"/>
      <c r="T43" s="171" t="s">
        <v>196</v>
      </c>
      <c r="U43" s="169" t="s">
        <v>233</v>
      </c>
      <c r="W43" s="173">
        <v>42194</v>
      </c>
      <c r="X43" s="64">
        <v>17.600000000000001</v>
      </c>
      <c r="Y43" s="64">
        <v>17.82</v>
      </c>
      <c r="Z43" s="64">
        <v>17.32</v>
      </c>
      <c r="AA43" s="64">
        <v>17.37</v>
      </c>
      <c r="AB43" s="167">
        <v>4763900</v>
      </c>
      <c r="AC43" s="15">
        <v>17.37</v>
      </c>
    </row>
    <row r="44" spans="15:29" x14ac:dyDescent="0.25">
      <c r="O44" s="146">
        <v>0.97</v>
      </c>
      <c r="P44" s="146">
        <f t="shared" si="3"/>
        <v>14.821599999999998</v>
      </c>
      <c r="T44" s="171" t="s">
        <v>205</v>
      </c>
      <c r="U44" s="169">
        <v>6.99</v>
      </c>
      <c r="W44" s="173">
        <v>42193</v>
      </c>
      <c r="X44" s="64">
        <v>17.55</v>
      </c>
      <c r="Y44" s="64">
        <v>17.989999999999998</v>
      </c>
      <c r="Z44" s="64">
        <v>17.25</v>
      </c>
      <c r="AA44" s="64">
        <v>17.43</v>
      </c>
      <c r="AB44" s="167">
        <v>9560300</v>
      </c>
      <c r="AC44" s="15">
        <v>17.43</v>
      </c>
    </row>
    <row r="45" spans="15:29" x14ac:dyDescent="0.25">
      <c r="O45" s="146">
        <v>0.96</v>
      </c>
      <c r="P45" s="146">
        <f t="shared" si="3"/>
        <v>14.668799999999999</v>
      </c>
      <c r="T45" s="171" t="s">
        <v>206</v>
      </c>
      <c r="U45" s="169">
        <v>2.16</v>
      </c>
      <c r="W45" s="173">
        <v>42192</v>
      </c>
      <c r="X45" s="64">
        <v>17.63</v>
      </c>
      <c r="Y45" s="64">
        <v>17.88</v>
      </c>
      <c r="Z45" s="64">
        <v>17.53</v>
      </c>
      <c r="AA45" s="64">
        <v>17.690000000000001</v>
      </c>
      <c r="AB45" s="167">
        <v>4982400</v>
      </c>
      <c r="AC45" s="15">
        <v>17.690000000000001</v>
      </c>
    </row>
    <row r="46" spans="15:29" x14ac:dyDescent="0.25">
      <c r="O46" s="146">
        <v>0.95</v>
      </c>
      <c r="P46" s="146">
        <f t="shared" si="3"/>
        <v>14.515999999999998</v>
      </c>
      <c r="T46" s="171" t="s">
        <v>198</v>
      </c>
      <c r="U46" s="169" t="s">
        <v>234</v>
      </c>
      <c r="W46" s="173">
        <v>42191</v>
      </c>
      <c r="X46" s="64">
        <v>17.399999999999999</v>
      </c>
      <c r="Y46" s="64">
        <v>17.63</v>
      </c>
      <c r="Z46" s="64">
        <v>17.39</v>
      </c>
      <c r="AA46" s="64">
        <v>17.62</v>
      </c>
      <c r="AB46" s="167">
        <v>3738400</v>
      </c>
      <c r="AC46" s="15">
        <v>17.62</v>
      </c>
    </row>
    <row r="47" spans="15:29" x14ac:dyDescent="0.25">
      <c r="O47" s="146">
        <v>0.94</v>
      </c>
      <c r="P47" s="146">
        <f t="shared" si="3"/>
        <v>14.363199999999999</v>
      </c>
      <c r="W47" s="173">
        <v>42187</v>
      </c>
      <c r="X47" s="64">
        <v>17.829999999999998</v>
      </c>
      <c r="Y47" s="64">
        <v>18</v>
      </c>
      <c r="Z47" s="64">
        <v>17.48</v>
      </c>
      <c r="AA47" s="64">
        <v>17.579999999999998</v>
      </c>
      <c r="AB47" s="167">
        <v>4529000</v>
      </c>
      <c r="AC47" s="15">
        <v>17.579999999999998</v>
      </c>
    </row>
    <row r="48" spans="15:29" x14ac:dyDescent="0.25">
      <c r="O48" s="146">
        <v>0.93</v>
      </c>
      <c r="P48" s="146">
        <f t="shared" si="3"/>
        <v>14.2104</v>
      </c>
      <c r="W48" s="173">
        <v>42186</v>
      </c>
      <c r="X48" s="64">
        <v>18.14</v>
      </c>
      <c r="Y48" s="64">
        <v>18.260000000000002</v>
      </c>
      <c r="Z48" s="64">
        <v>17.690000000000001</v>
      </c>
      <c r="AA48" s="64">
        <v>17.71</v>
      </c>
      <c r="AB48" s="167">
        <v>6704200</v>
      </c>
      <c r="AC48" s="15">
        <v>17.71</v>
      </c>
    </row>
    <row r="49" spans="15:29" x14ac:dyDescent="0.25">
      <c r="O49" s="146">
        <v>0.92</v>
      </c>
      <c r="P49" s="146">
        <f t="shared" si="3"/>
        <v>14.057600000000001</v>
      </c>
      <c r="W49" s="173">
        <v>42185</v>
      </c>
      <c r="X49" s="64">
        <v>18.12</v>
      </c>
      <c r="Y49" s="64">
        <v>18.21</v>
      </c>
      <c r="Z49" s="64">
        <v>17.66</v>
      </c>
      <c r="AA49" s="64">
        <v>17.989999999999998</v>
      </c>
      <c r="AB49" s="167">
        <v>7818600</v>
      </c>
      <c r="AC49" s="15">
        <v>17.989999999999998</v>
      </c>
    </row>
    <row r="50" spans="15:29" x14ac:dyDescent="0.25">
      <c r="O50" s="146">
        <v>0.91</v>
      </c>
      <c r="P50" s="146">
        <f t="shared" si="3"/>
        <v>13.9048</v>
      </c>
      <c r="W50" s="173">
        <v>42184</v>
      </c>
      <c r="X50" s="64">
        <v>18.48</v>
      </c>
      <c r="Y50" s="64">
        <v>18.68</v>
      </c>
      <c r="Z50" s="64">
        <v>17.98</v>
      </c>
      <c r="AA50" s="64">
        <v>17.989999999999998</v>
      </c>
      <c r="AB50" s="167">
        <v>5143600</v>
      </c>
      <c r="AC50" s="15">
        <v>17.989999999999998</v>
      </c>
    </row>
    <row r="51" spans="15:29" x14ac:dyDescent="0.25">
      <c r="O51" s="146">
        <v>0.9</v>
      </c>
      <c r="P51" s="146">
        <f t="shared" si="3"/>
        <v>13.751999999999999</v>
      </c>
      <c r="W51" s="173">
        <v>42181</v>
      </c>
      <c r="X51" s="64">
        <v>18.64</v>
      </c>
      <c r="Y51" s="64">
        <v>18.760000000000002</v>
      </c>
      <c r="Z51" s="64">
        <v>18.440000000000001</v>
      </c>
      <c r="AA51" s="64">
        <v>18.62</v>
      </c>
      <c r="AB51" s="167">
        <v>8163400</v>
      </c>
      <c r="AC51" s="15">
        <v>18.62</v>
      </c>
    </row>
    <row r="52" spans="15:29" x14ac:dyDescent="0.25">
      <c r="W52" s="173">
        <v>42180</v>
      </c>
      <c r="X52" s="64">
        <v>19.03</v>
      </c>
      <c r="Y52" s="64">
        <v>19.149999999999999</v>
      </c>
      <c r="Z52" s="64">
        <v>18.63</v>
      </c>
      <c r="AA52" s="64">
        <v>18.64</v>
      </c>
      <c r="AB52" s="167">
        <v>6788400</v>
      </c>
      <c r="AC52" s="15">
        <v>18.64</v>
      </c>
    </row>
    <row r="53" spans="15:29" x14ac:dyDescent="0.25">
      <c r="W53" s="173">
        <v>42179</v>
      </c>
      <c r="X53" s="64">
        <v>18.940000000000001</v>
      </c>
      <c r="Y53" s="64">
        <v>19.05</v>
      </c>
      <c r="Z53" s="64">
        <v>18.86</v>
      </c>
      <c r="AA53" s="64">
        <v>18.98</v>
      </c>
      <c r="AB53" s="167">
        <v>4721400</v>
      </c>
      <c r="AC53" s="15">
        <v>18.98</v>
      </c>
    </row>
    <row r="54" spans="15:29" x14ac:dyDescent="0.25">
      <c r="W54" s="173">
        <v>42178</v>
      </c>
      <c r="X54" s="64">
        <v>19.28</v>
      </c>
      <c r="Y54" s="64">
        <v>19.309999999999999</v>
      </c>
      <c r="Z54" s="64">
        <v>18.86</v>
      </c>
      <c r="AA54" s="64">
        <v>18.940000000000001</v>
      </c>
      <c r="AB54" s="167">
        <v>4469500</v>
      </c>
      <c r="AC54" s="15">
        <v>18.940000000000001</v>
      </c>
    </row>
    <row r="55" spans="15:29" x14ac:dyDescent="0.25">
      <c r="W55" s="173">
        <v>42177</v>
      </c>
      <c r="X55" s="64">
        <v>19.149999999999999</v>
      </c>
      <c r="Y55" s="64">
        <v>19.46</v>
      </c>
      <c r="Z55" s="64">
        <v>18.989999999999998</v>
      </c>
      <c r="AA55" s="64">
        <v>19.25</v>
      </c>
      <c r="AB55" s="167">
        <v>3891500</v>
      </c>
      <c r="AC55" s="15">
        <v>19.25</v>
      </c>
    </row>
    <row r="56" spans="15:29" x14ac:dyDescent="0.25">
      <c r="W56" s="173">
        <v>42174</v>
      </c>
      <c r="X56" s="64">
        <v>19</v>
      </c>
      <c r="Y56" s="64">
        <v>19.11</v>
      </c>
      <c r="Z56" s="64">
        <v>18.93</v>
      </c>
      <c r="AA56" s="64">
        <v>19.02</v>
      </c>
      <c r="AB56" s="167">
        <v>3994900</v>
      </c>
      <c r="AC56" s="15">
        <v>19.02</v>
      </c>
    </row>
    <row r="57" spans="15:29" x14ac:dyDescent="0.25">
      <c r="W57" s="173">
        <v>42173</v>
      </c>
      <c r="X57" s="64">
        <v>18.989999999999998</v>
      </c>
      <c r="Y57" s="64">
        <v>19.2</v>
      </c>
      <c r="Z57" s="64">
        <v>18.940000000000001</v>
      </c>
      <c r="AA57" s="64">
        <v>19</v>
      </c>
      <c r="AB57" s="167">
        <v>5925100</v>
      </c>
      <c r="AC57" s="15">
        <v>19</v>
      </c>
    </row>
    <row r="58" spans="15:29" x14ac:dyDescent="0.25">
      <c r="W58" s="173">
        <v>42172</v>
      </c>
      <c r="X58" s="64">
        <v>19.09</v>
      </c>
      <c r="Y58" s="64">
        <v>19.21</v>
      </c>
      <c r="Z58" s="64">
        <v>18.68</v>
      </c>
      <c r="AA58" s="64">
        <v>18.96</v>
      </c>
      <c r="AB58" s="167">
        <v>5948600</v>
      </c>
      <c r="AC58" s="15">
        <v>18.96</v>
      </c>
    </row>
    <row r="59" spans="15:29" x14ac:dyDescent="0.25">
      <c r="W59" s="173">
        <v>42171</v>
      </c>
      <c r="X59" s="64">
        <v>19.149999999999999</v>
      </c>
      <c r="Y59" s="64">
        <v>19.21</v>
      </c>
      <c r="Z59" s="64">
        <v>19.02</v>
      </c>
      <c r="AA59" s="64">
        <v>19.03</v>
      </c>
      <c r="AB59" s="167">
        <v>4940800</v>
      </c>
      <c r="AC59" s="15">
        <v>19.03</v>
      </c>
    </row>
    <row r="60" spans="15:29" x14ac:dyDescent="0.25">
      <c r="W60" s="173">
        <v>42170</v>
      </c>
      <c r="X60" s="64">
        <v>19.22</v>
      </c>
      <c r="Y60" s="64">
        <v>19.399999999999999</v>
      </c>
      <c r="Z60" s="64">
        <v>19.02</v>
      </c>
      <c r="AA60" s="64">
        <v>19.149999999999999</v>
      </c>
      <c r="AB60" s="167">
        <v>4639800</v>
      </c>
      <c r="AC60" s="15">
        <v>19.149999999999999</v>
      </c>
    </row>
    <row r="61" spans="15:29" x14ac:dyDescent="0.25">
      <c r="W61" s="173">
        <v>42167</v>
      </c>
      <c r="X61" s="64">
        <v>19.48</v>
      </c>
      <c r="Y61" s="64">
        <v>19.59</v>
      </c>
      <c r="Z61" s="64">
        <v>19.149999999999999</v>
      </c>
      <c r="AA61" s="64">
        <v>19.34</v>
      </c>
      <c r="AB61" s="167">
        <v>6119900</v>
      </c>
      <c r="AC61" s="15">
        <v>19.34</v>
      </c>
    </row>
    <row r="62" spans="15:29" x14ac:dyDescent="0.25">
      <c r="W62" s="173">
        <v>42166</v>
      </c>
      <c r="X62" s="64">
        <v>19.88</v>
      </c>
      <c r="Y62" s="64">
        <v>19.91</v>
      </c>
      <c r="Z62" s="64">
        <v>19.48</v>
      </c>
      <c r="AA62" s="64">
        <v>19.62</v>
      </c>
      <c r="AB62" s="167">
        <v>2883600</v>
      </c>
      <c r="AC62" s="15">
        <v>19.62</v>
      </c>
    </row>
    <row r="63" spans="15:29" x14ac:dyDescent="0.25">
      <c r="W63" s="173">
        <v>42165</v>
      </c>
      <c r="X63" s="64">
        <v>19.690000000000001</v>
      </c>
      <c r="Y63" s="64">
        <v>19.98</v>
      </c>
      <c r="Z63" s="64">
        <v>19.61</v>
      </c>
      <c r="AA63" s="64">
        <v>19.75</v>
      </c>
      <c r="AB63" s="167">
        <v>7640200</v>
      </c>
      <c r="AC63" s="15">
        <v>19.75</v>
      </c>
    </row>
    <row r="64" spans="15:29" x14ac:dyDescent="0.25">
      <c r="W64" s="173">
        <v>42164</v>
      </c>
      <c r="X64" s="64">
        <v>19.27</v>
      </c>
      <c r="Y64" s="64">
        <v>19.670000000000002</v>
      </c>
      <c r="Z64" s="64">
        <v>19.22</v>
      </c>
      <c r="AA64" s="64">
        <v>19.46</v>
      </c>
      <c r="AB64" s="167">
        <v>4440000</v>
      </c>
      <c r="AC64" s="15">
        <v>19.46</v>
      </c>
    </row>
    <row r="65" spans="23:29" x14ac:dyDescent="0.25">
      <c r="W65" s="173">
        <v>42163</v>
      </c>
      <c r="X65" s="64">
        <v>19.59</v>
      </c>
      <c r="Y65" s="64">
        <v>19.62</v>
      </c>
      <c r="Z65" s="64">
        <v>19.22</v>
      </c>
      <c r="AA65" s="64">
        <v>19.239999999999998</v>
      </c>
      <c r="AB65" s="167">
        <v>4298500</v>
      </c>
      <c r="AC65" s="15">
        <v>19.239999999999998</v>
      </c>
    </row>
    <row r="66" spans="23:29" x14ac:dyDescent="0.25">
      <c r="W66" s="173">
        <v>42160</v>
      </c>
      <c r="X66" s="64">
        <v>19.48</v>
      </c>
      <c r="Y66" s="64">
        <v>19.79</v>
      </c>
      <c r="Z66" s="64">
        <v>19.350000000000001</v>
      </c>
      <c r="AA66" s="64">
        <v>19.600000000000001</v>
      </c>
      <c r="AB66" s="167">
        <v>3868300</v>
      </c>
      <c r="AC66" s="15">
        <v>19.600000000000001</v>
      </c>
    </row>
    <row r="67" spans="23:29" x14ac:dyDescent="0.25">
      <c r="W67" s="173">
        <v>42159</v>
      </c>
      <c r="X67" s="64">
        <v>19.989999999999998</v>
      </c>
      <c r="Y67" s="64">
        <v>20.149999999999999</v>
      </c>
      <c r="Z67" s="64">
        <v>19.52</v>
      </c>
      <c r="AA67" s="64">
        <v>19.57</v>
      </c>
      <c r="AB67" s="167">
        <v>6155600</v>
      </c>
      <c r="AC67" s="15">
        <v>19.57</v>
      </c>
    </row>
    <row r="68" spans="23:29" x14ac:dyDescent="0.25">
      <c r="W68" s="15" t="s">
        <v>217</v>
      </c>
      <c r="X68" s="64"/>
      <c r="Y68" s="64"/>
      <c r="Z68" s="64"/>
      <c r="AA68" s="64"/>
      <c r="AB68" s="15"/>
      <c r="AC68" s="15"/>
    </row>
  </sheetData>
  <mergeCells count="1">
    <mergeCell ref="O30:P30"/>
  </mergeCells>
  <conditionalFormatting sqref="Q12">
    <cfRule type="expression" dxfId="51" priority="4">
      <formula>Q12&gt;0</formula>
    </cfRule>
    <cfRule type="expression" dxfId="50" priority="5">
      <formula>Q12&lt;0</formula>
    </cfRule>
  </conditionalFormatting>
  <conditionalFormatting sqref="O31:O51">
    <cfRule type="colorScale" priority="2">
      <colorScale>
        <cfvo type="min"/>
        <cfvo type="percentile" val="50"/>
        <cfvo type="max"/>
        <color rgb="FFF8696B"/>
        <color rgb="FFFFEB84"/>
        <color rgb="FF63BE7B"/>
      </colorScale>
    </cfRule>
  </conditionalFormatting>
  <conditionalFormatting sqref="P31:P5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44"/>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5" customFormat="1" x14ac:dyDescent="0.25">
      <c r="A1" s="24" t="s">
        <v>1</v>
      </c>
      <c r="B1" s="24" t="s">
        <v>2</v>
      </c>
      <c r="C1" s="24" t="s">
        <v>4</v>
      </c>
      <c r="D1" s="24" t="s">
        <v>5</v>
      </c>
      <c r="E1" s="24"/>
      <c r="F1" s="24" t="s">
        <v>60</v>
      </c>
      <c r="G1" s="24" t="s">
        <v>3</v>
      </c>
      <c r="H1" s="24" t="s">
        <v>6</v>
      </c>
      <c r="I1" s="71" t="s">
        <v>7</v>
      </c>
      <c r="J1" s="71" t="s">
        <v>172</v>
      </c>
      <c r="K1" s="71" t="s">
        <v>61</v>
      </c>
      <c r="L1" s="24" t="s">
        <v>37</v>
      </c>
      <c r="M1" s="24" t="s">
        <v>38</v>
      </c>
    </row>
    <row r="2" spans="1:25" x14ac:dyDescent="0.25">
      <c r="A2" s="8" t="s">
        <v>34</v>
      </c>
      <c r="B2" s="123">
        <v>42166</v>
      </c>
      <c r="C2" s="9">
        <v>5</v>
      </c>
      <c r="D2" s="69">
        <v>26.04</v>
      </c>
      <c r="E2" s="69"/>
      <c r="F2" s="69">
        <f>C2*D2</f>
        <v>130.19999999999999</v>
      </c>
      <c r="G2" s="110">
        <v>42186</v>
      </c>
      <c r="H2" s="10">
        <v>185</v>
      </c>
      <c r="I2" s="23">
        <v>19.75</v>
      </c>
      <c r="J2" s="23">
        <v>0</v>
      </c>
      <c r="K2" s="23">
        <f>H2*I2-J2</f>
        <v>3653.75</v>
      </c>
      <c r="L2" t="s">
        <v>107</v>
      </c>
      <c r="O2" s="19" t="s">
        <v>57</v>
      </c>
      <c r="Q2">
        <f>C38-H38</f>
        <v>3020</v>
      </c>
      <c r="T2" s="25" t="s">
        <v>135</v>
      </c>
      <c r="U2" s="25"/>
      <c r="V2" s="25"/>
      <c r="W2" s="25"/>
      <c r="X2" s="25"/>
      <c r="Y2" s="25"/>
    </row>
    <row r="3" spans="1:25" x14ac:dyDescent="0.25">
      <c r="A3" s="32" t="s">
        <v>77</v>
      </c>
      <c r="B3" s="123">
        <v>42167</v>
      </c>
      <c r="C3" s="9">
        <v>10</v>
      </c>
      <c r="D3" s="69">
        <v>25.1</v>
      </c>
      <c r="E3" s="69"/>
      <c r="F3" s="69">
        <f t="shared" ref="F3:F24" si="0">C3*D3</f>
        <v>251</v>
      </c>
      <c r="G3" s="110">
        <v>42207</v>
      </c>
      <c r="H3" s="10">
        <v>20</v>
      </c>
      <c r="I3" s="23">
        <v>19.899999999999999</v>
      </c>
      <c r="J3" s="23">
        <v>0</v>
      </c>
      <c r="K3" s="23">
        <f t="shared" ref="K3:K7" si="1">H3*I3-J3</f>
        <v>398</v>
      </c>
      <c r="O3" s="19" t="s">
        <v>58</v>
      </c>
      <c r="Q3" s="2">
        <f>(F38-K38)/Q2</f>
        <v>18.344096026490071</v>
      </c>
      <c r="T3" t="s">
        <v>108</v>
      </c>
    </row>
    <row r="4" spans="1:25" x14ac:dyDescent="0.25">
      <c r="B4" s="123">
        <v>42179</v>
      </c>
      <c r="C4" s="9">
        <v>15</v>
      </c>
      <c r="D4" s="69">
        <v>24.51</v>
      </c>
      <c r="E4" s="69"/>
      <c r="F4" s="69">
        <f t="shared" si="0"/>
        <v>367.65000000000003</v>
      </c>
      <c r="G4" s="110">
        <v>42207</v>
      </c>
      <c r="H4" s="10">
        <v>95</v>
      </c>
      <c r="I4" s="23">
        <v>20.02</v>
      </c>
      <c r="J4" s="23">
        <v>0</v>
      </c>
      <c r="K4" s="23">
        <f t="shared" si="1"/>
        <v>1901.8999999999999</v>
      </c>
      <c r="O4" s="19" t="s">
        <v>66</v>
      </c>
      <c r="Q4" s="94">
        <v>17.2</v>
      </c>
      <c r="T4" s="1">
        <v>42233</v>
      </c>
      <c r="U4" t="s">
        <v>133</v>
      </c>
    </row>
    <row r="5" spans="1:25" x14ac:dyDescent="0.25">
      <c r="B5" s="110">
        <v>42180</v>
      </c>
      <c r="C5" s="10">
        <v>100</v>
      </c>
      <c r="D5" s="23">
        <v>23.92</v>
      </c>
      <c r="E5" s="23"/>
      <c r="F5" s="23">
        <f t="shared" si="0"/>
        <v>2392</v>
      </c>
      <c r="G5" s="110">
        <v>42216</v>
      </c>
      <c r="H5" s="10">
        <v>165</v>
      </c>
      <c r="I5" s="23">
        <v>19.899999999999999</v>
      </c>
      <c r="J5" s="23">
        <v>0</v>
      </c>
      <c r="K5" s="23">
        <f t="shared" si="1"/>
        <v>3283.4999999999995</v>
      </c>
      <c r="O5" s="19" t="s">
        <v>67</v>
      </c>
      <c r="Q5" s="5">
        <f>Q4*Q2</f>
        <v>51944</v>
      </c>
    </row>
    <row r="6" spans="1:25" x14ac:dyDescent="0.25">
      <c r="B6" s="131">
        <v>42185</v>
      </c>
      <c r="C6" s="132">
        <v>50</v>
      </c>
      <c r="D6" s="133">
        <v>21.21</v>
      </c>
      <c r="E6" s="133"/>
      <c r="F6" s="133">
        <f t="shared" si="0"/>
        <v>1060.5</v>
      </c>
      <c r="G6" s="123">
        <v>42236</v>
      </c>
      <c r="H6" s="9">
        <v>630</v>
      </c>
      <c r="I6" s="69">
        <v>17.199682539682538</v>
      </c>
      <c r="J6" s="69">
        <v>0</v>
      </c>
      <c r="K6" s="69">
        <f t="shared" si="1"/>
        <v>10835.8</v>
      </c>
      <c r="O6" s="19" t="s">
        <v>64</v>
      </c>
      <c r="Q6" s="2">
        <f>Q3*Q2</f>
        <v>55399.170000000013</v>
      </c>
    </row>
    <row r="7" spans="1:25" x14ac:dyDescent="0.25">
      <c r="B7" s="1">
        <v>42186</v>
      </c>
      <c r="C7" s="6">
        <v>50</v>
      </c>
      <c r="D7" s="5">
        <v>20.5</v>
      </c>
      <c r="E7" s="5"/>
      <c r="F7" s="5">
        <f t="shared" si="0"/>
        <v>1025</v>
      </c>
      <c r="G7" s="131">
        <v>42257</v>
      </c>
      <c r="H7" s="132">
        <v>850</v>
      </c>
      <c r="I7" s="133">
        <v>17.18</v>
      </c>
      <c r="J7" s="133">
        <v>0.27</v>
      </c>
      <c r="K7" s="133">
        <f t="shared" si="1"/>
        <v>14602.73</v>
      </c>
      <c r="O7" s="19" t="s">
        <v>65</v>
      </c>
      <c r="Q7" s="2">
        <f>Q5-Q6</f>
        <v>-3455.1700000000128</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31">
        <v>42199</v>
      </c>
      <c r="C10" s="132">
        <v>100</v>
      </c>
      <c r="D10" s="133">
        <v>17.25</v>
      </c>
      <c r="E10" s="133"/>
      <c r="F10" s="133">
        <f t="shared" si="0"/>
        <v>1725</v>
      </c>
      <c r="T10" s="19" t="s">
        <v>134</v>
      </c>
    </row>
    <row r="11" spans="1:25" x14ac:dyDescent="0.25">
      <c r="B11" s="131">
        <v>42205</v>
      </c>
      <c r="C11" s="132">
        <v>20</v>
      </c>
      <c r="D11" s="133">
        <v>18.850000000000001</v>
      </c>
      <c r="E11" s="133"/>
      <c r="F11" s="133">
        <f t="shared" si="0"/>
        <v>377</v>
      </c>
      <c r="T11" s="1">
        <v>42255</v>
      </c>
      <c r="U11" t="s">
        <v>174</v>
      </c>
    </row>
    <row r="12" spans="1:25" x14ac:dyDescent="0.25">
      <c r="B12" s="131">
        <v>42208</v>
      </c>
      <c r="C12" s="132">
        <v>80</v>
      </c>
      <c r="D12" s="133">
        <v>18.95</v>
      </c>
      <c r="E12" s="133"/>
      <c r="F12" s="133">
        <f t="shared" si="0"/>
        <v>1516</v>
      </c>
    </row>
    <row r="13" spans="1:25" x14ac:dyDescent="0.25">
      <c r="B13" s="1">
        <v>42212</v>
      </c>
      <c r="C13" s="6">
        <v>100</v>
      </c>
      <c r="D13" s="5">
        <v>17.95</v>
      </c>
      <c r="E13" s="5"/>
      <c r="F13" s="5">
        <f t="shared" si="0"/>
        <v>1795</v>
      </c>
      <c r="T13" s="1">
        <v>42263</v>
      </c>
      <c r="U13" t="s">
        <v>175</v>
      </c>
    </row>
    <row r="14" spans="1:25" x14ac:dyDescent="0.25">
      <c r="B14" s="110">
        <v>42221</v>
      </c>
      <c r="C14" s="10">
        <v>65</v>
      </c>
      <c r="D14" s="23">
        <v>19.100000000000001</v>
      </c>
      <c r="E14" s="23"/>
      <c r="F14" s="23">
        <f t="shared" si="0"/>
        <v>1241.5</v>
      </c>
    </row>
    <row r="15" spans="1:25" x14ac:dyDescent="0.25">
      <c r="B15" s="110">
        <v>42221</v>
      </c>
      <c r="C15" s="10">
        <v>300</v>
      </c>
      <c r="D15" s="23">
        <v>18.600000000000001</v>
      </c>
      <c r="E15" s="23"/>
      <c r="F15" s="23">
        <f t="shared" si="0"/>
        <v>5580</v>
      </c>
      <c r="P15" t="s">
        <v>85</v>
      </c>
    </row>
    <row r="16" spans="1:25" x14ac:dyDescent="0.25">
      <c r="B16" s="125">
        <v>42221</v>
      </c>
      <c r="C16" s="6">
        <v>200</v>
      </c>
      <c r="D16" s="5">
        <v>18.5</v>
      </c>
      <c r="E16" s="5"/>
      <c r="F16" s="5">
        <f t="shared" si="0"/>
        <v>3700</v>
      </c>
      <c r="O16" s="2">
        <f>$Q$4</f>
        <v>17.2</v>
      </c>
      <c r="P16" s="2">
        <v>1.1000000000000001</v>
      </c>
      <c r="Q16" s="2">
        <f t="shared" ref="Q16:Q28" si="2">P16*O16</f>
        <v>18.920000000000002</v>
      </c>
    </row>
    <row r="17" spans="2:21" x14ac:dyDescent="0.25">
      <c r="B17" s="125">
        <v>42223</v>
      </c>
      <c r="C17" s="6">
        <v>50</v>
      </c>
      <c r="D17" s="5">
        <v>18.75</v>
      </c>
      <c r="E17" s="5"/>
      <c r="F17" s="5">
        <f t="shared" si="0"/>
        <v>937.5</v>
      </c>
      <c r="O17" s="2">
        <f>$Q$4</f>
        <v>17.2</v>
      </c>
      <c r="P17" s="2">
        <v>1.05</v>
      </c>
      <c r="Q17" s="2">
        <f t="shared" si="2"/>
        <v>18.059999999999999</v>
      </c>
    </row>
    <row r="18" spans="2:21" x14ac:dyDescent="0.25">
      <c r="B18" s="125">
        <v>42227</v>
      </c>
      <c r="C18" s="6">
        <v>50</v>
      </c>
      <c r="D18" s="5">
        <v>18.45</v>
      </c>
      <c r="E18" s="5"/>
      <c r="F18" s="5">
        <f t="shared" si="0"/>
        <v>922.5</v>
      </c>
      <c r="O18" s="2">
        <f t="shared" ref="O18:O28" si="3">$Q$4</f>
        <v>17.2</v>
      </c>
      <c r="P18" s="2">
        <v>1.04</v>
      </c>
      <c r="Q18" s="2">
        <f t="shared" si="2"/>
        <v>17.887999999999998</v>
      </c>
    </row>
    <row r="19" spans="2:21" x14ac:dyDescent="0.25">
      <c r="B19" s="125">
        <v>42228</v>
      </c>
      <c r="C19" s="6">
        <v>100</v>
      </c>
      <c r="D19" s="5">
        <v>18.45</v>
      </c>
      <c r="E19" s="5"/>
      <c r="F19" s="5">
        <f t="shared" si="0"/>
        <v>1845</v>
      </c>
      <c r="O19" s="2">
        <f t="shared" si="3"/>
        <v>17.2</v>
      </c>
      <c r="P19" s="2">
        <v>1.03</v>
      </c>
      <c r="Q19" s="2">
        <f t="shared" si="2"/>
        <v>17.716000000000001</v>
      </c>
      <c r="T19" s="118">
        <v>42272</v>
      </c>
      <c r="U19" t="s">
        <v>165</v>
      </c>
    </row>
    <row r="20" spans="2:21" x14ac:dyDescent="0.25">
      <c r="B20" s="125">
        <v>42228</v>
      </c>
      <c r="C20" s="6">
        <v>200</v>
      </c>
      <c r="D20" s="5">
        <v>18.190000000000001</v>
      </c>
      <c r="E20" s="5"/>
      <c r="F20" s="5">
        <f t="shared" si="0"/>
        <v>3638.0000000000005</v>
      </c>
      <c r="O20" s="2">
        <f t="shared" si="3"/>
        <v>17.2</v>
      </c>
      <c r="P20" s="2">
        <v>1.02</v>
      </c>
      <c r="Q20" s="2">
        <f t="shared" si="2"/>
        <v>17.544</v>
      </c>
      <c r="T20" t="s">
        <v>147</v>
      </c>
    </row>
    <row r="21" spans="2:21" x14ac:dyDescent="0.25">
      <c r="B21" s="125">
        <v>42228</v>
      </c>
      <c r="C21" s="6">
        <v>200</v>
      </c>
      <c r="D21" s="5">
        <v>18.100000000000001</v>
      </c>
      <c r="E21" s="5"/>
      <c r="F21" s="5">
        <f t="shared" si="0"/>
        <v>3620.0000000000005</v>
      </c>
      <c r="O21" s="2">
        <f t="shared" si="3"/>
        <v>17.2</v>
      </c>
      <c r="P21" s="2">
        <v>1.01</v>
      </c>
      <c r="Q21" s="2">
        <f t="shared" si="2"/>
        <v>17.372</v>
      </c>
      <c r="T21" t="s">
        <v>148</v>
      </c>
    </row>
    <row r="22" spans="2:21" x14ac:dyDescent="0.25">
      <c r="B22" s="125">
        <v>42229</v>
      </c>
      <c r="C22" s="6">
        <v>100</v>
      </c>
      <c r="D22" s="5">
        <v>18.329999999999998</v>
      </c>
      <c r="E22" s="5"/>
      <c r="F22" s="5">
        <f t="shared" si="0"/>
        <v>1832.9999999999998</v>
      </c>
      <c r="O22" s="2">
        <f t="shared" si="3"/>
        <v>17.2</v>
      </c>
      <c r="P22" s="2">
        <v>1</v>
      </c>
      <c r="Q22" s="2">
        <f t="shared" si="2"/>
        <v>17.2</v>
      </c>
      <c r="T22" t="s">
        <v>149</v>
      </c>
    </row>
    <row r="23" spans="2:21" x14ac:dyDescent="0.25">
      <c r="B23" s="125">
        <v>42230</v>
      </c>
      <c r="C23" s="6">
        <v>100</v>
      </c>
      <c r="D23" s="5">
        <v>18</v>
      </c>
      <c r="E23" s="5"/>
      <c r="F23" s="5">
        <f>C23*D23</f>
        <v>1800</v>
      </c>
      <c r="O23" s="2">
        <f t="shared" si="3"/>
        <v>17.2</v>
      </c>
      <c r="P23" s="2">
        <v>0.99</v>
      </c>
      <c r="Q23" s="2">
        <f t="shared" si="2"/>
        <v>17.027999999999999</v>
      </c>
      <c r="T23" t="s">
        <v>150</v>
      </c>
    </row>
    <row r="24" spans="2:21" x14ac:dyDescent="0.25">
      <c r="B24" s="125">
        <v>42230</v>
      </c>
      <c r="C24" s="6">
        <v>200</v>
      </c>
      <c r="D24" s="5">
        <v>17.78</v>
      </c>
      <c r="E24" s="5"/>
      <c r="F24" s="5">
        <f t="shared" si="0"/>
        <v>3556</v>
      </c>
      <c r="O24" s="2">
        <f t="shared" si="3"/>
        <v>17.2</v>
      </c>
      <c r="P24" s="2">
        <v>0.98</v>
      </c>
      <c r="Q24" s="2">
        <f t="shared" si="2"/>
        <v>16.855999999999998</v>
      </c>
      <c r="T24" t="s">
        <v>151</v>
      </c>
    </row>
    <row r="25" spans="2:21" x14ac:dyDescent="0.25">
      <c r="B25" s="125">
        <v>42234</v>
      </c>
      <c r="C25" s="6">
        <v>100</v>
      </c>
      <c r="D25" s="5">
        <v>17.75</v>
      </c>
      <c r="E25" s="5"/>
      <c r="F25" s="5">
        <f t="shared" ref="F25:F30" si="4">C25*D25</f>
        <v>1775</v>
      </c>
      <c r="O25" s="2">
        <f t="shared" si="3"/>
        <v>17.2</v>
      </c>
      <c r="P25" s="2">
        <v>0.97</v>
      </c>
      <c r="Q25" s="2">
        <f t="shared" si="2"/>
        <v>16.683999999999997</v>
      </c>
    </row>
    <row r="26" spans="2:21" x14ac:dyDescent="0.25">
      <c r="B26" s="131">
        <v>42235</v>
      </c>
      <c r="C26" s="132">
        <v>100</v>
      </c>
      <c r="D26" s="133">
        <v>17.350000000000001</v>
      </c>
      <c r="E26" s="133"/>
      <c r="F26" s="133">
        <f t="shared" si="4"/>
        <v>1735.0000000000002</v>
      </c>
      <c r="O26" s="2">
        <f t="shared" si="3"/>
        <v>17.2</v>
      </c>
      <c r="P26" s="2">
        <v>0.96</v>
      </c>
      <c r="Q26" s="2">
        <f t="shared" si="2"/>
        <v>16.512</v>
      </c>
    </row>
    <row r="27" spans="2:21" x14ac:dyDescent="0.25">
      <c r="B27" s="123">
        <v>42235</v>
      </c>
      <c r="C27" s="9">
        <v>100</v>
      </c>
      <c r="D27" s="69">
        <v>17.55</v>
      </c>
      <c r="E27" s="69"/>
      <c r="F27" s="69">
        <f t="shared" si="4"/>
        <v>1755</v>
      </c>
      <c r="O27" s="2">
        <f t="shared" si="3"/>
        <v>17.2</v>
      </c>
      <c r="P27" s="2">
        <v>0.95</v>
      </c>
      <c r="Q27" s="2">
        <f t="shared" si="2"/>
        <v>16.34</v>
      </c>
    </row>
    <row r="28" spans="2:21" x14ac:dyDescent="0.25">
      <c r="B28" s="123">
        <v>42235</v>
      </c>
      <c r="C28" s="9">
        <v>100</v>
      </c>
      <c r="D28" s="69">
        <v>17.170000000000002</v>
      </c>
      <c r="E28" s="69"/>
      <c r="F28" s="69">
        <f t="shared" si="4"/>
        <v>1717.0000000000002</v>
      </c>
      <c r="O28" s="2">
        <f t="shared" si="3"/>
        <v>17.2</v>
      </c>
      <c r="P28" s="2">
        <v>0.9</v>
      </c>
      <c r="Q28" s="2">
        <f t="shared" si="2"/>
        <v>15.48</v>
      </c>
    </row>
    <row r="29" spans="2:21" x14ac:dyDescent="0.25">
      <c r="B29" s="123">
        <v>42235</v>
      </c>
      <c r="C29" s="9">
        <v>100</v>
      </c>
      <c r="D29" s="69">
        <v>17</v>
      </c>
      <c r="E29" s="69"/>
      <c r="F29" s="69">
        <f t="shared" si="4"/>
        <v>1700</v>
      </c>
    </row>
    <row r="30" spans="2:21" x14ac:dyDescent="0.25">
      <c r="B30" s="123">
        <v>42236</v>
      </c>
      <c r="C30" s="9">
        <v>100</v>
      </c>
      <c r="D30" s="69">
        <v>16.559999999999999</v>
      </c>
      <c r="E30" s="69"/>
      <c r="F30" s="69">
        <f t="shared" si="4"/>
        <v>1655.9999999999998</v>
      </c>
    </row>
    <row r="31" spans="2:21" x14ac:dyDescent="0.25">
      <c r="B31" s="123">
        <v>42236</v>
      </c>
      <c r="C31" s="9">
        <v>200</v>
      </c>
      <c r="D31" s="69">
        <v>16.21</v>
      </c>
      <c r="E31" s="69"/>
      <c r="F31" s="69">
        <f t="shared" ref="F31:F37" si="5">C31*D31</f>
        <v>3242</v>
      </c>
    </row>
    <row r="32" spans="2:21" x14ac:dyDescent="0.25">
      <c r="B32" s="125">
        <v>42236</v>
      </c>
      <c r="C32" s="6">
        <v>100</v>
      </c>
      <c r="D32" s="5">
        <v>16.399999999999999</v>
      </c>
      <c r="E32" s="5"/>
      <c r="F32" s="5">
        <f t="shared" si="5"/>
        <v>1639.9999999999998</v>
      </c>
    </row>
    <row r="33" spans="1:13" x14ac:dyDescent="0.25">
      <c r="B33" s="131">
        <v>42237</v>
      </c>
      <c r="C33" s="132">
        <v>200</v>
      </c>
      <c r="D33" s="133">
        <v>16.32</v>
      </c>
      <c r="E33" s="133"/>
      <c r="F33" s="133">
        <f t="shared" si="5"/>
        <v>3264</v>
      </c>
    </row>
    <row r="34" spans="1:13" x14ac:dyDescent="0.25">
      <c r="B34" s="131">
        <v>42237</v>
      </c>
      <c r="C34" s="132">
        <v>100</v>
      </c>
      <c r="D34" s="133">
        <v>16.420000000000002</v>
      </c>
      <c r="E34" s="133"/>
      <c r="F34" s="133">
        <f t="shared" si="5"/>
        <v>1642.0000000000002</v>
      </c>
    </row>
    <row r="35" spans="1:13" x14ac:dyDescent="0.25">
      <c r="B35" s="131">
        <v>42240</v>
      </c>
      <c r="C35" s="132">
        <v>200</v>
      </c>
      <c r="D35" s="133">
        <v>16.27</v>
      </c>
      <c r="E35" s="133"/>
      <c r="F35" s="133">
        <f t="shared" si="5"/>
        <v>3254</v>
      </c>
    </row>
    <row r="36" spans="1:13" x14ac:dyDescent="0.25">
      <c r="B36" s="125">
        <v>42240</v>
      </c>
      <c r="C36" s="6">
        <v>200</v>
      </c>
      <c r="D36" s="5">
        <v>16.2</v>
      </c>
      <c r="E36" s="5"/>
      <c r="F36" s="5">
        <f t="shared" si="5"/>
        <v>3240</v>
      </c>
    </row>
    <row r="37" spans="1:13" x14ac:dyDescent="0.25">
      <c r="B37" s="125">
        <v>42240</v>
      </c>
      <c r="C37" s="6">
        <v>100</v>
      </c>
      <c r="D37" s="5">
        <v>16.100000000000001</v>
      </c>
      <c r="E37" s="5"/>
      <c r="F37" s="5">
        <f t="shared" si="5"/>
        <v>1610.0000000000002</v>
      </c>
    </row>
    <row r="38" spans="1:13" x14ac:dyDescent="0.25">
      <c r="A38" s="31" t="s">
        <v>110</v>
      </c>
      <c r="B38" s="20"/>
      <c r="C38" s="20">
        <f>SUM(C2:C37)</f>
        <v>4965</v>
      </c>
      <c r="D38" s="20"/>
      <c r="E38" s="20"/>
      <c r="F38" s="20">
        <f>SUM(F2:F37)</f>
        <v>90074.85</v>
      </c>
      <c r="G38" s="20"/>
      <c r="H38" s="20">
        <f>SUM(H2:H13)</f>
        <v>1945</v>
      </c>
      <c r="I38" s="21"/>
      <c r="J38" s="21"/>
      <c r="K38" s="21">
        <f>SUM(K2:K13)</f>
        <v>34675.679999999993</v>
      </c>
      <c r="L38" s="20"/>
      <c r="M38" s="20"/>
    </row>
    <row r="43" spans="1:13" x14ac:dyDescent="0.25">
      <c r="B43" s="125"/>
      <c r="C43" s="6"/>
      <c r="D43" s="5"/>
      <c r="E43" s="5"/>
      <c r="F43" s="5"/>
    </row>
    <row r="44" spans="1:13" x14ac:dyDescent="0.25">
      <c r="B44" s="125"/>
      <c r="C44" s="6"/>
      <c r="D44" s="5"/>
      <c r="E44" s="5"/>
      <c r="F44" s="5"/>
    </row>
  </sheetData>
  <conditionalFormatting sqref="Q7">
    <cfRule type="expression" dxfId="49" priority="2">
      <formula>Q7&gt;0</formula>
    </cfRule>
    <cfRule type="expression" dxfId="48"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121"/>
    <col min="18" max="18" width="12" style="55" customWidth="1"/>
    <col min="19" max="19" width="18.5703125" style="149" bestFit="1" customWidth="1"/>
    <col min="20" max="20" width="36.140625" bestFit="1" customWidth="1"/>
    <col min="22" max="22" width="13.140625" customWidth="1"/>
    <col min="23" max="23" width="7.28515625" style="2" customWidth="1"/>
    <col min="24" max="24" width="7.7109375" style="2" customWidth="1"/>
    <col min="25" max="26" width="6" style="2" bestFit="1" customWidth="1"/>
    <col min="27" max="27" width="10.140625" bestFit="1" customWidth="1"/>
    <col min="28" max="28" width="10.28515625" bestFit="1" customWidth="1"/>
  </cols>
  <sheetData>
    <row r="1" spans="1:28" s="19" customFormat="1" x14ac:dyDescent="0.25">
      <c r="A1" s="19" t="s">
        <v>1</v>
      </c>
      <c r="B1" s="19" t="s">
        <v>2</v>
      </c>
      <c r="C1" s="19" t="s">
        <v>4</v>
      </c>
      <c r="D1" s="19" t="s">
        <v>5</v>
      </c>
      <c r="E1" s="19" t="s">
        <v>145</v>
      </c>
      <c r="F1" s="19" t="s">
        <v>60</v>
      </c>
      <c r="G1" s="19" t="s">
        <v>3</v>
      </c>
      <c r="H1" s="128" t="s">
        <v>6</v>
      </c>
      <c r="I1" s="19" t="s">
        <v>7</v>
      </c>
      <c r="J1" s="19" t="s">
        <v>144</v>
      </c>
      <c r="K1" s="19" t="s">
        <v>61</v>
      </c>
      <c r="L1" s="19" t="s">
        <v>84</v>
      </c>
      <c r="M1" s="19" t="s">
        <v>38</v>
      </c>
      <c r="R1" s="54"/>
      <c r="S1" s="147" t="s">
        <v>74</v>
      </c>
      <c r="V1" s="156" t="s">
        <v>209</v>
      </c>
      <c r="W1" s="165" t="s">
        <v>210</v>
      </c>
      <c r="X1" s="165" t="s">
        <v>211</v>
      </c>
      <c r="Y1" s="165" t="s">
        <v>212</v>
      </c>
      <c r="Z1" s="165" t="s">
        <v>213</v>
      </c>
      <c r="AA1" s="156" t="s">
        <v>214</v>
      </c>
      <c r="AB1" s="156" t="s">
        <v>215</v>
      </c>
    </row>
    <row r="2" spans="1:28" x14ac:dyDescent="0.25">
      <c r="A2" s="8" t="s">
        <v>27</v>
      </c>
      <c r="B2" s="1">
        <v>42164</v>
      </c>
      <c r="C2">
        <v>30</v>
      </c>
      <c r="D2" s="2">
        <v>32.200000000000003</v>
      </c>
      <c r="E2" s="2"/>
      <c r="F2" s="2">
        <f>C2*D2</f>
        <v>966.00000000000011</v>
      </c>
      <c r="G2" s="107">
        <v>42247</v>
      </c>
      <c r="H2" s="129">
        <v>100</v>
      </c>
      <c r="I2" s="108">
        <v>27.15</v>
      </c>
      <c r="J2" s="108">
        <v>6.95</v>
      </c>
      <c r="K2" s="109">
        <f>H2*I2-J2</f>
        <v>2708.05</v>
      </c>
      <c r="L2" s="1">
        <v>42248</v>
      </c>
      <c r="M2" s="127">
        <v>156</v>
      </c>
      <c r="O2" s="19" t="s">
        <v>57</v>
      </c>
      <c r="Q2">
        <f>C13-H13</f>
        <v>800</v>
      </c>
      <c r="S2" s="177" t="s">
        <v>75</v>
      </c>
      <c r="T2" s="26" t="s">
        <v>73</v>
      </c>
      <c r="U2" s="26"/>
      <c r="V2" s="162">
        <v>42251</v>
      </c>
      <c r="W2" s="166">
        <v>28.57</v>
      </c>
      <c r="X2" s="166">
        <v>28.9</v>
      </c>
      <c r="Y2" s="166">
        <v>28.41</v>
      </c>
      <c r="Z2" s="166">
        <v>28.52</v>
      </c>
      <c r="AA2" s="164">
        <v>29116500</v>
      </c>
      <c r="AB2" s="163">
        <v>28.52</v>
      </c>
    </row>
    <row r="3" spans="1:28" x14ac:dyDescent="0.25">
      <c r="A3" s="32" t="s">
        <v>77</v>
      </c>
      <c r="B3" s="1">
        <v>42166</v>
      </c>
      <c r="C3">
        <v>30</v>
      </c>
      <c r="D3" s="2">
        <v>31.3</v>
      </c>
      <c r="E3" s="2"/>
      <c r="F3" s="2">
        <f t="shared" ref="F3:F12" si="0">C3*D3</f>
        <v>939</v>
      </c>
      <c r="O3" s="19" t="s">
        <v>58</v>
      </c>
      <c r="Q3" s="2">
        <f>(F13-K13-M13)/Q2</f>
        <v>29.7318125</v>
      </c>
      <c r="S3" s="178">
        <v>42221</v>
      </c>
      <c r="T3" s="26" t="s">
        <v>76</v>
      </c>
      <c r="U3" s="26"/>
      <c r="V3" s="162">
        <v>42250</v>
      </c>
      <c r="W3" s="166">
        <v>28.8</v>
      </c>
      <c r="X3" s="166">
        <v>29.42</v>
      </c>
      <c r="Y3" s="166">
        <v>28.69</v>
      </c>
      <c r="Z3" s="166">
        <v>29.08</v>
      </c>
      <c r="AA3" s="164">
        <v>38312900</v>
      </c>
      <c r="AB3" s="163">
        <v>29.08</v>
      </c>
    </row>
    <row r="4" spans="1:28" x14ac:dyDescent="0.25">
      <c r="B4" s="1">
        <v>42186</v>
      </c>
      <c r="C4">
        <v>140</v>
      </c>
      <c r="D4" s="2">
        <v>31.1</v>
      </c>
      <c r="E4" s="2"/>
      <c r="F4" s="2">
        <f t="shared" si="0"/>
        <v>4354</v>
      </c>
      <c r="O4" s="19" t="s">
        <v>66</v>
      </c>
      <c r="Q4" s="94">
        <v>29.27</v>
      </c>
      <c r="V4" s="162">
        <v>42249</v>
      </c>
      <c r="W4" s="166">
        <v>28.35</v>
      </c>
      <c r="X4" s="166">
        <v>28.6</v>
      </c>
      <c r="Y4" s="166">
        <v>28.14</v>
      </c>
      <c r="Z4" s="166">
        <v>28.6</v>
      </c>
      <c r="AA4" s="164">
        <v>34239300</v>
      </c>
      <c r="AB4" s="163">
        <v>28.6</v>
      </c>
    </row>
    <row r="5" spans="1:28" x14ac:dyDescent="0.25">
      <c r="B5" s="1">
        <v>42186</v>
      </c>
      <c r="C5">
        <v>200</v>
      </c>
      <c r="D5" s="2">
        <v>30.9</v>
      </c>
      <c r="E5" s="2"/>
      <c r="F5" s="2">
        <f t="shared" si="0"/>
        <v>6180</v>
      </c>
      <c r="O5" s="19" t="s">
        <v>67</v>
      </c>
      <c r="Q5" s="5">
        <f>Q4*Q2</f>
        <v>23416</v>
      </c>
      <c r="S5" s="148">
        <v>42242</v>
      </c>
      <c r="V5" s="162">
        <v>42248</v>
      </c>
      <c r="W5" s="166">
        <v>27.91</v>
      </c>
      <c r="X5" s="166">
        <v>28.17</v>
      </c>
      <c r="Y5" s="166">
        <v>27.66</v>
      </c>
      <c r="Z5" s="166">
        <v>27.82</v>
      </c>
      <c r="AA5" s="164">
        <v>43630100</v>
      </c>
      <c r="AB5" s="163">
        <v>27.82</v>
      </c>
    </row>
    <row r="6" spans="1:28" x14ac:dyDescent="0.25">
      <c r="B6" s="1">
        <v>42194</v>
      </c>
      <c r="C6">
        <v>100</v>
      </c>
      <c r="D6" s="2">
        <v>29.8</v>
      </c>
      <c r="E6" s="2"/>
      <c r="F6" s="2">
        <f t="shared" si="0"/>
        <v>2980</v>
      </c>
      <c r="O6" s="19" t="s">
        <v>64</v>
      </c>
      <c r="Q6" s="2">
        <f>Q3*Q2</f>
        <v>23785.45</v>
      </c>
      <c r="S6" s="148">
        <v>42255</v>
      </c>
      <c r="T6" t="s">
        <v>180</v>
      </c>
      <c r="V6" s="162">
        <v>42247</v>
      </c>
      <c r="W6" s="166">
        <v>28.33</v>
      </c>
      <c r="X6" s="166">
        <v>29.13</v>
      </c>
      <c r="Y6" s="166">
        <v>28.16</v>
      </c>
      <c r="Z6" s="166">
        <v>28.54</v>
      </c>
      <c r="AA6" s="164">
        <v>42197500</v>
      </c>
      <c r="AB6" s="163">
        <v>28.54</v>
      </c>
    </row>
    <row r="7" spans="1:28" x14ac:dyDescent="0.25">
      <c r="B7" s="1">
        <v>42207</v>
      </c>
      <c r="C7">
        <v>50</v>
      </c>
      <c r="D7" s="2">
        <v>29.32</v>
      </c>
      <c r="E7" s="2"/>
      <c r="F7" s="2">
        <f t="shared" si="0"/>
        <v>1466</v>
      </c>
      <c r="O7" s="19" t="s">
        <v>65</v>
      </c>
      <c r="Q7" s="2">
        <f>Q5-Q6</f>
        <v>-369.45000000000073</v>
      </c>
      <c r="V7" s="162">
        <v>42244</v>
      </c>
      <c r="W7" s="166">
        <v>27.67</v>
      </c>
      <c r="X7" s="166">
        <v>28.61</v>
      </c>
      <c r="Y7" s="166">
        <v>27.45</v>
      </c>
      <c r="Z7" s="166">
        <v>28.42</v>
      </c>
      <c r="AA7" s="164">
        <v>43004100</v>
      </c>
      <c r="AB7" s="163">
        <v>28.42</v>
      </c>
    </row>
    <row r="8" spans="1:28" x14ac:dyDescent="0.25">
      <c r="B8" s="1">
        <v>42209</v>
      </c>
      <c r="C8">
        <v>50</v>
      </c>
      <c r="D8" s="2">
        <v>28.6</v>
      </c>
      <c r="E8" s="2"/>
      <c r="F8" s="2">
        <f t="shared" si="0"/>
        <v>1430</v>
      </c>
      <c r="S8" s="179" t="s">
        <v>179</v>
      </c>
      <c r="T8" t="s">
        <v>178</v>
      </c>
      <c r="V8" s="162">
        <v>42243</v>
      </c>
      <c r="W8" s="166">
        <v>27.72</v>
      </c>
      <c r="X8" s="166">
        <v>27.91</v>
      </c>
      <c r="Y8" s="166">
        <v>27.01</v>
      </c>
      <c r="Z8" s="166">
        <v>27.72</v>
      </c>
      <c r="AA8" s="164">
        <v>38254400</v>
      </c>
      <c r="AB8" s="163">
        <v>27.72</v>
      </c>
    </row>
    <row r="9" spans="1:28" x14ac:dyDescent="0.25">
      <c r="B9" s="1">
        <v>42214</v>
      </c>
      <c r="C9">
        <v>50</v>
      </c>
      <c r="D9" s="2">
        <v>28.19</v>
      </c>
      <c r="E9" s="2"/>
      <c r="F9" s="2">
        <f t="shared" si="0"/>
        <v>1409.5</v>
      </c>
      <c r="V9" s="162">
        <v>42242</v>
      </c>
      <c r="W9" s="166">
        <v>26.51</v>
      </c>
      <c r="X9" s="166">
        <v>27.34</v>
      </c>
      <c r="Y9" s="166">
        <v>26.08</v>
      </c>
      <c r="Z9" s="166">
        <v>27.3</v>
      </c>
      <c r="AA9" s="164">
        <v>46911700</v>
      </c>
      <c r="AB9" s="163">
        <v>27.3</v>
      </c>
    </row>
    <row r="10" spans="1:28" x14ac:dyDescent="0.25">
      <c r="B10" s="1">
        <v>42240</v>
      </c>
      <c r="C10">
        <v>100</v>
      </c>
      <c r="D10" s="2">
        <v>28.4</v>
      </c>
      <c r="E10" s="2"/>
      <c r="F10" s="2">
        <f t="shared" si="0"/>
        <v>2840</v>
      </c>
      <c r="V10" s="162">
        <v>42241</v>
      </c>
      <c r="W10" s="166">
        <v>27.04</v>
      </c>
      <c r="X10" s="166">
        <v>27.15</v>
      </c>
      <c r="Y10" s="166">
        <v>25.87</v>
      </c>
      <c r="Z10" s="166">
        <v>25.87</v>
      </c>
      <c r="AA10" s="164">
        <v>58673100</v>
      </c>
      <c r="AB10" s="163">
        <v>25.87</v>
      </c>
    </row>
    <row r="11" spans="1:28" x14ac:dyDescent="0.25">
      <c r="B11" s="1">
        <v>42240</v>
      </c>
      <c r="C11">
        <v>50</v>
      </c>
      <c r="D11" s="2">
        <v>28.3</v>
      </c>
      <c r="E11" s="2"/>
      <c r="F11" s="2">
        <f t="shared" ref="F11" si="1">C11*D11</f>
        <v>1415</v>
      </c>
      <c r="V11" s="162">
        <v>42240</v>
      </c>
      <c r="W11" s="166">
        <v>25.2</v>
      </c>
      <c r="X11" s="166">
        <v>27.63</v>
      </c>
      <c r="Y11" s="166">
        <v>24.87</v>
      </c>
      <c r="Z11" s="166">
        <v>26.25</v>
      </c>
      <c r="AA11" s="164">
        <v>82795500</v>
      </c>
      <c r="AB11" s="163">
        <v>26.25</v>
      </c>
    </row>
    <row r="12" spans="1:28" x14ac:dyDescent="0.25">
      <c r="B12" s="110">
        <v>42244</v>
      </c>
      <c r="C12" s="10">
        <v>100</v>
      </c>
      <c r="D12" s="23">
        <v>26.7</v>
      </c>
      <c r="E12" s="23"/>
      <c r="F12" s="23">
        <f t="shared" si="0"/>
        <v>2670</v>
      </c>
      <c r="V12" s="162">
        <v>42237</v>
      </c>
      <c r="W12" s="166">
        <v>27.33</v>
      </c>
      <c r="X12" s="166">
        <v>27.63</v>
      </c>
      <c r="Y12" s="166">
        <v>26.56</v>
      </c>
      <c r="Z12" s="166">
        <v>26.56</v>
      </c>
      <c r="AA12" s="164">
        <v>51667600</v>
      </c>
      <c r="AB12" s="163">
        <v>26.56</v>
      </c>
    </row>
    <row r="13" spans="1:28" x14ac:dyDescent="0.25">
      <c r="A13" s="31" t="s">
        <v>110</v>
      </c>
      <c r="B13" s="20"/>
      <c r="C13" s="20">
        <f>SUM(C2:C12)</f>
        <v>900</v>
      </c>
      <c r="D13" s="20"/>
      <c r="E13" s="20"/>
      <c r="F13" s="21">
        <f>SUM(F2:F12)</f>
        <v>26649.5</v>
      </c>
      <c r="G13" s="21"/>
      <c r="H13" s="130">
        <f t="shared" ref="H13:M13" si="2">SUM(H2:H12)</f>
        <v>100</v>
      </c>
      <c r="I13" s="21"/>
      <c r="J13" s="21"/>
      <c r="K13" s="21">
        <f t="shared" si="2"/>
        <v>2708.05</v>
      </c>
      <c r="L13" s="21"/>
      <c r="M13" s="21">
        <f t="shared" si="2"/>
        <v>156</v>
      </c>
      <c r="V13" s="162">
        <v>42236</v>
      </c>
      <c r="W13" s="166">
        <v>28.03</v>
      </c>
      <c r="X13" s="166">
        <v>28.24</v>
      </c>
      <c r="Y13" s="166">
        <v>27.53</v>
      </c>
      <c r="Z13" s="166">
        <v>27.53</v>
      </c>
      <c r="AA13" s="164">
        <v>31492000</v>
      </c>
      <c r="AB13" s="163">
        <v>27.53</v>
      </c>
    </row>
    <row r="14" spans="1:28" x14ac:dyDescent="0.25">
      <c r="V14" s="162">
        <v>42235</v>
      </c>
      <c r="W14" s="166">
        <v>28.65</v>
      </c>
      <c r="X14" s="166">
        <v>28.8</v>
      </c>
      <c r="Y14" s="166">
        <v>28.28</v>
      </c>
      <c r="Z14" s="166">
        <v>28.36</v>
      </c>
      <c r="AA14" s="164">
        <v>30450600</v>
      </c>
      <c r="AB14" s="163">
        <v>28.36</v>
      </c>
    </row>
    <row r="15" spans="1:28" x14ac:dyDescent="0.25">
      <c r="V15" s="162">
        <v>42234</v>
      </c>
      <c r="W15" s="166">
        <v>28.95</v>
      </c>
      <c r="X15" s="166">
        <v>29.05</v>
      </c>
      <c r="Y15" s="166">
        <v>28.8</v>
      </c>
      <c r="Z15" s="166">
        <v>28.91</v>
      </c>
      <c r="AA15" s="164">
        <v>19097400</v>
      </c>
      <c r="AB15" s="163">
        <v>28.91</v>
      </c>
    </row>
    <row r="16" spans="1:28" x14ac:dyDescent="0.25">
      <c r="V16" s="162">
        <v>42233</v>
      </c>
      <c r="W16" s="166">
        <v>28.83</v>
      </c>
      <c r="X16" s="166">
        <v>29.2</v>
      </c>
      <c r="Y16" s="166">
        <v>28.71</v>
      </c>
      <c r="Z16" s="166">
        <v>29.08</v>
      </c>
      <c r="AA16" s="164">
        <v>15506500</v>
      </c>
      <c r="AB16" s="163">
        <v>29.08</v>
      </c>
    </row>
    <row r="17" spans="15:28" x14ac:dyDescent="0.25">
      <c r="V17" s="162">
        <v>42230</v>
      </c>
      <c r="W17" s="166">
        <v>28.92</v>
      </c>
      <c r="X17" s="166">
        <v>29.04</v>
      </c>
      <c r="Y17" s="166">
        <v>28.82</v>
      </c>
      <c r="Z17" s="166">
        <v>29.02</v>
      </c>
      <c r="AA17" s="164">
        <v>14279000</v>
      </c>
      <c r="AB17" s="163">
        <v>29.02</v>
      </c>
    </row>
    <row r="18" spans="15:28" x14ac:dyDescent="0.25">
      <c r="V18" s="162">
        <v>42229</v>
      </c>
      <c r="W18" s="166">
        <v>29.4</v>
      </c>
      <c r="X18" s="166">
        <v>29.45</v>
      </c>
      <c r="Y18" s="166">
        <v>28.87</v>
      </c>
      <c r="Z18" s="166">
        <v>28.87</v>
      </c>
      <c r="AA18" s="164">
        <v>18781000</v>
      </c>
      <c r="AB18" s="163">
        <v>28.87</v>
      </c>
    </row>
    <row r="19" spans="15:28" x14ac:dyDescent="0.25">
      <c r="V19" s="162">
        <v>42228</v>
      </c>
      <c r="W19" s="166">
        <v>28.66</v>
      </c>
      <c r="X19" s="166">
        <v>29.57</v>
      </c>
      <c r="Y19" s="166">
        <v>28.66</v>
      </c>
      <c r="Z19" s="166">
        <v>29.46</v>
      </c>
      <c r="AA19" s="164">
        <v>33589100</v>
      </c>
      <c r="AB19" s="163">
        <v>29.46</v>
      </c>
    </row>
    <row r="20" spans="15:28" x14ac:dyDescent="0.25">
      <c r="V20" s="162">
        <v>42227</v>
      </c>
      <c r="W20" s="166">
        <v>29.47</v>
      </c>
      <c r="X20" s="166">
        <v>29.48</v>
      </c>
      <c r="Y20" s="166">
        <v>28.96</v>
      </c>
      <c r="Z20" s="166">
        <v>28.97</v>
      </c>
      <c r="AA20" s="164">
        <v>23434700</v>
      </c>
      <c r="AB20" s="163">
        <v>28.97</v>
      </c>
    </row>
    <row r="21" spans="15:28" ht="20.25" thickBot="1" x14ac:dyDescent="0.35">
      <c r="O21" s="201" t="s">
        <v>85</v>
      </c>
      <c r="P21" s="201"/>
      <c r="S21" s="154" t="s">
        <v>208</v>
      </c>
      <c r="V21" s="162">
        <v>42226</v>
      </c>
      <c r="W21" s="166">
        <v>29.07</v>
      </c>
      <c r="X21" s="166">
        <v>29.68</v>
      </c>
      <c r="Y21" s="166">
        <v>29.06</v>
      </c>
      <c r="Z21" s="166">
        <v>29.64</v>
      </c>
      <c r="AA21" s="164">
        <v>22643700</v>
      </c>
      <c r="AB21" s="163">
        <v>29.64</v>
      </c>
    </row>
    <row r="22" spans="15:28" ht="15.75" thickTop="1" x14ac:dyDescent="0.25">
      <c r="O22" s="146">
        <v>1.1000000000000001</v>
      </c>
      <c r="P22" s="146">
        <f>O22*$Q$4</f>
        <v>32.197000000000003</v>
      </c>
      <c r="Q22" s="2"/>
      <c r="S22" s="160" t="s">
        <v>186</v>
      </c>
      <c r="T22" s="161">
        <v>29.08</v>
      </c>
      <c r="V22" s="162">
        <v>42223</v>
      </c>
      <c r="W22" s="166">
        <v>28.8</v>
      </c>
      <c r="X22" s="166">
        <v>28.96</v>
      </c>
      <c r="Y22" s="166">
        <v>28.69</v>
      </c>
      <c r="Z22" s="166">
        <v>28.88</v>
      </c>
      <c r="AA22" s="164">
        <v>25587000</v>
      </c>
      <c r="AB22" s="163">
        <v>28.88</v>
      </c>
    </row>
    <row r="23" spans="15:28" x14ac:dyDescent="0.25">
      <c r="O23" s="146">
        <v>1.0900000000000001</v>
      </c>
      <c r="P23" s="146">
        <f t="shared" ref="P23:P42" si="3">O23*$Q$4</f>
        <v>31.904300000000003</v>
      </c>
      <c r="Q23" s="2"/>
      <c r="S23" s="150" t="s">
        <v>187</v>
      </c>
      <c r="T23" s="151">
        <v>28.59</v>
      </c>
      <c r="V23" s="162">
        <v>42222</v>
      </c>
      <c r="W23" s="166">
        <v>29.16</v>
      </c>
      <c r="X23" s="166">
        <v>29.23</v>
      </c>
      <c r="Y23" s="166">
        <v>28.85</v>
      </c>
      <c r="Z23" s="166">
        <v>29.01</v>
      </c>
      <c r="AA23" s="164">
        <v>27958200</v>
      </c>
      <c r="AB23" s="163">
        <v>29.01</v>
      </c>
    </row>
    <row r="24" spans="15:28" x14ac:dyDescent="0.25">
      <c r="O24" s="146">
        <v>1.08</v>
      </c>
      <c r="P24" s="146">
        <f t="shared" si="3"/>
        <v>31.611600000000003</v>
      </c>
      <c r="Q24" s="2"/>
      <c r="S24" s="150" t="s">
        <v>188</v>
      </c>
      <c r="T24" s="151" t="s">
        <v>218</v>
      </c>
      <c r="V24" s="162">
        <v>42221</v>
      </c>
      <c r="W24" s="166">
        <v>29.19</v>
      </c>
      <c r="X24" s="166">
        <v>29.39</v>
      </c>
      <c r="Y24" s="166">
        <v>29.02</v>
      </c>
      <c r="Z24" s="166">
        <v>29.12</v>
      </c>
      <c r="AA24" s="164">
        <v>23622700</v>
      </c>
      <c r="AB24" s="163">
        <v>29.12</v>
      </c>
    </row>
    <row r="25" spans="15:28" x14ac:dyDescent="0.25">
      <c r="O25" s="146">
        <v>1.07</v>
      </c>
      <c r="P25" s="146">
        <f t="shared" si="3"/>
        <v>31.318900000000003</v>
      </c>
      <c r="Q25" s="2"/>
      <c r="S25" s="150" t="s">
        <v>189</v>
      </c>
      <c r="T25" s="151" t="s">
        <v>219</v>
      </c>
      <c r="V25" s="162">
        <v>42221</v>
      </c>
      <c r="W25" s="166" t="s">
        <v>225</v>
      </c>
      <c r="X25" s="166"/>
      <c r="Y25" s="166"/>
      <c r="Z25" s="166"/>
      <c r="AA25" s="163"/>
      <c r="AB25" s="163"/>
    </row>
    <row r="26" spans="15:28" x14ac:dyDescent="0.25">
      <c r="O26" s="146">
        <v>1.06</v>
      </c>
      <c r="P26" s="146">
        <f t="shared" si="3"/>
        <v>31.026199999999999</v>
      </c>
      <c r="Q26" s="2"/>
      <c r="S26" s="150" t="s">
        <v>190</v>
      </c>
      <c r="T26" s="151">
        <v>33.200000000000003</v>
      </c>
      <c r="V26" s="162">
        <v>42220</v>
      </c>
      <c r="W26" s="166">
        <v>28.98</v>
      </c>
      <c r="X26" s="166">
        <v>29.15</v>
      </c>
      <c r="Y26" s="166">
        <v>28.86</v>
      </c>
      <c r="Z26" s="166">
        <v>29.13</v>
      </c>
      <c r="AA26" s="164">
        <v>25741700</v>
      </c>
      <c r="AB26" s="163">
        <v>28.89</v>
      </c>
    </row>
    <row r="27" spans="15:28" x14ac:dyDescent="0.25">
      <c r="O27" s="146">
        <v>1.05</v>
      </c>
      <c r="P27" s="146">
        <f t="shared" si="3"/>
        <v>30.733499999999999</v>
      </c>
      <c r="Q27" s="2"/>
      <c r="S27" s="150" t="s">
        <v>191</v>
      </c>
      <c r="T27" s="151">
        <v>0.84752300000000003</v>
      </c>
      <c r="V27" s="162">
        <v>42219</v>
      </c>
      <c r="W27" s="166">
        <v>29</v>
      </c>
      <c r="X27" s="166">
        <v>29.35</v>
      </c>
      <c r="Y27" s="166">
        <v>28.9</v>
      </c>
      <c r="Z27" s="166">
        <v>29.05</v>
      </c>
      <c r="AA27" s="164">
        <v>26213600</v>
      </c>
      <c r="AB27" s="163">
        <v>28.81</v>
      </c>
    </row>
    <row r="28" spans="15:28" x14ac:dyDescent="0.25">
      <c r="O28" s="146">
        <v>1.04</v>
      </c>
      <c r="P28" s="146">
        <f t="shared" si="3"/>
        <v>30.440799999999999</v>
      </c>
      <c r="Q28" s="2"/>
      <c r="S28" s="150" t="s">
        <v>192</v>
      </c>
      <c r="T28" s="152" t="s">
        <v>220</v>
      </c>
      <c r="V28" s="162">
        <v>42216</v>
      </c>
      <c r="W28" s="166">
        <v>29.12</v>
      </c>
      <c r="X28" s="166">
        <v>29.12</v>
      </c>
      <c r="Y28" s="166">
        <v>28.77</v>
      </c>
      <c r="Z28" s="166">
        <v>28.95</v>
      </c>
      <c r="AA28" s="164">
        <v>27158800</v>
      </c>
      <c r="AB28" s="163">
        <v>28.71</v>
      </c>
    </row>
    <row r="29" spans="15:28" x14ac:dyDescent="0.25">
      <c r="O29" s="146">
        <v>1.03</v>
      </c>
      <c r="P29" s="146">
        <f t="shared" si="3"/>
        <v>30.148099999999999</v>
      </c>
      <c r="Q29" s="2"/>
      <c r="S29" s="150"/>
      <c r="T29" s="151"/>
      <c r="V29" s="162">
        <v>42215</v>
      </c>
      <c r="W29" s="166">
        <v>29.1</v>
      </c>
      <c r="X29" s="166">
        <v>29.45</v>
      </c>
      <c r="Y29" s="166">
        <v>28.85</v>
      </c>
      <c r="Z29" s="166">
        <v>28.91</v>
      </c>
      <c r="AA29" s="164">
        <v>26582400</v>
      </c>
      <c r="AB29" s="163">
        <v>28.67</v>
      </c>
    </row>
    <row r="30" spans="15:28" x14ac:dyDescent="0.25">
      <c r="O30" s="146">
        <v>1.02</v>
      </c>
      <c r="P30" s="146">
        <f t="shared" si="3"/>
        <v>29.855399999999999</v>
      </c>
      <c r="Q30" s="2"/>
      <c r="S30" s="150" t="s">
        <v>193</v>
      </c>
      <c r="T30" s="151" t="s">
        <v>221</v>
      </c>
      <c r="V30" s="162">
        <v>42214</v>
      </c>
      <c r="W30" s="166">
        <v>28.95</v>
      </c>
      <c r="X30" s="166">
        <v>29.13</v>
      </c>
      <c r="Y30" s="166">
        <v>28.79</v>
      </c>
      <c r="Z30" s="166">
        <v>29.01</v>
      </c>
      <c r="AA30" s="164">
        <v>26470200</v>
      </c>
      <c r="AB30" s="163">
        <v>28.77</v>
      </c>
    </row>
    <row r="31" spans="15:28" x14ac:dyDescent="0.25">
      <c r="O31" s="146">
        <v>1.01</v>
      </c>
      <c r="P31" s="146">
        <f t="shared" si="3"/>
        <v>29.5627</v>
      </c>
      <c r="Q31" s="2"/>
      <c r="S31" s="150" t="s">
        <v>194</v>
      </c>
      <c r="T31" s="151" t="s">
        <v>222</v>
      </c>
      <c r="V31" s="162">
        <v>42213</v>
      </c>
      <c r="W31" s="166">
        <v>28.51</v>
      </c>
      <c r="X31" s="166">
        <v>29.18</v>
      </c>
      <c r="Y31" s="166">
        <v>28.44</v>
      </c>
      <c r="Z31" s="166">
        <v>28.96</v>
      </c>
      <c r="AA31" s="164">
        <v>33182400</v>
      </c>
      <c r="AB31" s="163">
        <v>28.72</v>
      </c>
    </row>
    <row r="32" spans="15:28" x14ac:dyDescent="0.25">
      <c r="O32" s="146">
        <v>1</v>
      </c>
      <c r="P32" s="146">
        <f t="shared" si="3"/>
        <v>29.27</v>
      </c>
      <c r="Q32" s="2"/>
      <c r="S32" s="150" t="s">
        <v>195</v>
      </c>
      <c r="T32" s="153">
        <v>29117537</v>
      </c>
      <c r="V32" s="162">
        <v>42212</v>
      </c>
      <c r="W32" s="166">
        <v>28.07</v>
      </c>
      <c r="X32" s="166">
        <v>28.42</v>
      </c>
      <c r="Y32" s="166">
        <v>27.62</v>
      </c>
      <c r="Z32" s="166">
        <v>28.35</v>
      </c>
      <c r="AA32" s="164">
        <v>42161100</v>
      </c>
      <c r="AB32" s="163">
        <v>28.12</v>
      </c>
    </row>
    <row r="33" spans="15:28" x14ac:dyDescent="0.25">
      <c r="O33" s="146">
        <v>0.99</v>
      </c>
      <c r="P33" s="146">
        <f t="shared" si="3"/>
        <v>28.9773</v>
      </c>
      <c r="Q33" s="2"/>
      <c r="S33" s="150" t="s">
        <v>204</v>
      </c>
      <c r="T33" s="153">
        <v>34300400</v>
      </c>
      <c r="V33" s="162">
        <v>42209</v>
      </c>
      <c r="W33" s="166">
        <v>28.53</v>
      </c>
      <c r="X33" s="166">
        <v>28.64</v>
      </c>
      <c r="Y33" s="166">
        <v>28.06</v>
      </c>
      <c r="Z33" s="166">
        <v>28.06</v>
      </c>
      <c r="AA33" s="164">
        <v>31621000</v>
      </c>
      <c r="AB33" s="163">
        <v>27.83</v>
      </c>
    </row>
    <row r="34" spans="15:28" x14ac:dyDescent="0.25">
      <c r="O34" s="146">
        <v>0.98</v>
      </c>
      <c r="P34" s="146">
        <f t="shared" si="3"/>
        <v>28.6846</v>
      </c>
      <c r="Q34" s="2"/>
      <c r="S34" s="150" t="s">
        <v>196</v>
      </c>
      <c r="T34" s="151" t="s">
        <v>223</v>
      </c>
      <c r="V34" s="162">
        <v>42208</v>
      </c>
      <c r="W34" s="166">
        <v>28.66</v>
      </c>
      <c r="X34" s="166">
        <v>28.97</v>
      </c>
      <c r="Y34" s="166">
        <v>28.43</v>
      </c>
      <c r="Z34" s="166">
        <v>28.6</v>
      </c>
      <c r="AA34" s="164">
        <v>33775200</v>
      </c>
      <c r="AB34" s="163">
        <v>28.36</v>
      </c>
    </row>
    <row r="35" spans="15:28" x14ac:dyDescent="0.25">
      <c r="O35" s="146">
        <v>0.97</v>
      </c>
      <c r="P35" s="146">
        <f t="shared" si="3"/>
        <v>28.3919</v>
      </c>
      <c r="S35" s="150" t="s">
        <v>205</v>
      </c>
      <c r="T35" s="151">
        <v>12.08</v>
      </c>
      <c r="V35" s="162">
        <v>42207</v>
      </c>
      <c r="W35" s="166">
        <v>28.57</v>
      </c>
      <c r="X35" s="166">
        <v>28.85</v>
      </c>
      <c r="Y35" s="166">
        <v>28.43</v>
      </c>
      <c r="Z35" s="166">
        <v>28.61</v>
      </c>
      <c r="AA35" s="164">
        <v>36387200</v>
      </c>
      <c r="AB35" s="163">
        <v>28.37</v>
      </c>
    </row>
    <row r="36" spans="15:28" x14ac:dyDescent="0.25">
      <c r="O36" s="146">
        <v>0.96</v>
      </c>
      <c r="P36" s="146">
        <f t="shared" si="3"/>
        <v>28.0992</v>
      </c>
      <c r="S36" s="150" t="s">
        <v>206</v>
      </c>
      <c r="T36" s="151">
        <v>2.36</v>
      </c>
      <c r="V36" s="162">
        <v>42206</v>
      </c>
      <c r="W36" s="166">
        <v>28.96</v>
      </c>
      <c r="X36" s="166">
        <v>29.26</v>
      </c>
      <c r="Y36" s="166">
        <v>28.67</v>
      </c>
      <c r="Z36" s="166">
        <v>28.72</v>
      </c>
      <c r="AA36" s="164">
        <v>45191000</v>
      </c>
      <c r="AB36" s="163">
        <v>28.48</v>
      </c>
    </row>
    <row r="37" spans="15:28" x14ac:dyDescent="0.25">
      <c r="O37" s="146">
        <v>0.95</v>
      </c>
      <c r="P37" s="146">
        <f t="shared" si="3"/>
        <v>27.8065</v>
      </c>
      <c r="S37" s="150" t="s">
        <v>198</v>
      </c>
      <c r="T37" s="151" t="s">
        <v>224</v>
      </c>
      <c r="V37" s="162">
        <v>42205</v>
      </c>
      <c r="W37" s="166">
        <v>29.62</v>
      </c>
      <c r="X37" s="166">
        <v>29.62</v>
      </c>
      <c r="Y37" s="166">
        <v>29.07</v>
      </c>
      <c r="Z37" s="166">
        <v>29.1</v>
      </c>
      <c r="AA37" s="164">
        <v>33812900</v>
      </c>
      <c r="AB37" s="163">
        <v>28.86</v>
      </c>
    </row>
    <row r="38" spans="15:28" x14ac:dyDescent="0.25">
      <c r="O38" s="146">
        <v>0.94</v>
      </c>
      <c r="P38" s="146">
        <f t="shared" si="3"/>
        <v>27.5138</v>
      </c>
      <c r="V38" s="162">
        <v>42202</v>
      </c>
      <c r="W38" s="166">
        <v>29.66</v>
      </c>
      <c r="X38" s="166">
        <v>29.8</v>
      </c>
      <c r="Y38" s="166">
        <v>29.1</v>
      </c>
      <c r="Z38" s="166">
        <v>29.47</v>
      </c>
      <c r="AA38" s="164">
        <v>43697600</v>
      </c>
      <c r="AB38" s="163">
        <v>29.23</v>
      </c>
    </row>
    <row r="39" spans="15:28" x14ac:dyDescent="0.25">
      <c r="O39" s="146">
        <v>0.93</v>
      </c>
      <c r="P39" s="146">
        <f t="shared" si="3"/>
        <v>27.2211</v>
      </c>
      <c r="V39" s="162">
        <v>42201</v>
      </c>
      <c r="W39" s="166">
        <v>30.47</v>
      </c>
      <c r="X39" s="166">
        <v>30.48</v>
      </c>
      <c r="Y39" s="166">
        <v>29.1</v>
      </c>
      <c r="Z39" s="166">
        <v>29.9</v>
      </c>
      <c r="AA39" s="164">
        <v>81166700</v>
      </c>
      <c r="AB39" s="163">
        <v>29.65</v>
      </c>
    </row>
    <row r="40" spans="15:28" x14ac:dyDescent="0.25">
      <c r="O40" s="146">
        <v>0.92</v>
      </c>
      <c r="P40" s="146">
        <f t="shared" si="3"/>
        <v>26.9284</v>
      </c>
      <c r="V40" s="162">
        <v>42200</v>
      </c>
      <c r="W40" s="166">
        <v>29.65</v>
      </c>
      <c r="X40" s="166">
        <v>29.99</v>
      </c>
      <c r="Y40" s="166">
        <v>29.47</v>
      </c>
      <c r="Z40" s="166">
        <v>29.69</v>
      </c>
      <c r="AA40" s="164">
        <v>47852500</v>
      </c>
      <c r="AB40" s="163">
        <v>29.45</v>
      </c>
    </row>
    <row r="41" spans="15:28" x14ac:dyDescent="0.25">
      <c r="O41" s="146">
        <v>0.91</v>
      </c>
      <c r="P41" s="146">
        <f t="shared" si="3"/>
        <v>26.6357</v>
      </c>
      <c r="V41" s="162">
        <v>42199</v>
      </c>
      <c r="W41" s="166">
        <v>29.66</v>
      </c>
      <c r="X41" s="166">
        <v>30.11</v>
      </c>
      <c r="Y41" s="166">
        <v>29.44</v>
      </c>
      <c r="Z41" s="166">
        <v>29.65</v>
      </c>
      <c r="AA41" s="164">
        <v>39778300</v>
      </c>
      <c r="AB41" s="163">
        <v>29.41</v>
      </c>
    </row>
    <row r="42" spans="15:28" x14ac:dyDescent="0.25">
      <c r="O42" s="146">
        <v>0.9</v>
      </c>
      <c r="P42" s="146">
        <f t="shared" si="3"/>
        <v>26.343</v>
      </c>
      <c r="V42" s="162">
        <v>42198</v>
      </c>
      <c r="W42" s="166">
        <v>29.27</v>
      </c>
      <c r="X42" s="166">
        <v>29.82</v>
      </c>
      <c r="Y42" s="166">
        <v>29.19</v>
      </c>
      <c r="Z42" s="166">
        <v>29.73</v>
      </c>
      <c r="AA42" s="164">
        <v>26452400</v>
      </c>
      <c r="AB42" s="163">
        <v>29.49</v>
      </c>
    </row>
    <row r="43" spans="15:28" x14ac:dyDescent="0.25">
      <c r="V43" s="162">
        <v>42195</v>
      </c>
      <c r="W43" s="166">
        <v>29.2</v>
      </c>
      <c r="X43" s="166">
        <v>29.35</v>
      </c>
      <c r="Y43" s="166">
        <v>28.94</v>
      </c>
      <c r="Z43" s="166">
        <v>29.17</v>
      </c>
      <c r="AA43" s="164">
        <v>31423800</v>
      </c>
      <c r="AB43" s="163">
        <v>28.93</v>
      </c>
    </row>
    <row r="44" spans="15:28" x14ac:dyDescent="0.25">
      <c r="V44" s="162">
        <v>42194</v>
      </c>
      <c r="W44" s="166">
        <v>29.72</v>
      </c>
      <c r="X44" s="166">
        <v>29.89</v>
      </c>
      <c r="Y44" s="166">
        <v>28.82</v>
      </c>
      <c r="Z44" s="166">
        <v>28.93</v>
      </c>
      <c r="AA44" s="164">
        <v>47167800</v>
      </c>
      <c r="AB44" s="163">
        <v>28.69</v>
      </c>
    </row>
    <row r="45" spans="15:28" x14ac:dyDescent="0.25">
      <c r="V45" s="162">
        <v>42193</v>
      </c>
      <c r="W45" s="166">
        <v>29.4</v>
      </c>
      <c r="X45" s="166">
        <v>29.67</v>
      </c>
      <c r="Y45" s="166">
        <v>29.15</v>
      </c>
      <c r="Z45" s="166">
        <v>29.5</v>
      </c>
      <c r="AA45" s="164">
        <v>45223800</v>
      </c>
      <c r="AB45" s="163">
        <v>29.26</v>
      </c>
    </row>
    <row r="46" spans="15:28" x14ac:dyDescent="0.25">
      <c r="V46" s="162">
        <v>42192</v>
      </c>
      <c r="W46" s="166">
        <v>29.87</v>
      </c>
      <c r="X46" s="166">
        <v>29.93</v>
      </c>
      <c r="Y46" s="166">
        <v>29.09</v>
      </c>
      <c r="Z46" s="166">
        <v>29.9</v>
      </c>
      <c r="AA46" s="164">
        <v>43833700</v>
      </c>
      <c r="AB46" s="163">
        <v>29.65</v>
      </c>
    </row>
    <row r="47" spans="15:28" x14ac:dyDescent="0.25">
      <c r="V47" s="162">
        <v>42191</v>
      </c>
      <c r="W47" s="166">
        <v>30.24</v>
      </c>
      <c r="X47" s="166">
        <v>30.45</v>
      </c>
      <c r="Y47" s="166">
        <v>29.84</v>
      </c>
      <c r="Z47" s="166">
        <v>30.04</v>
      </c>
      <c r="AA47" s="164">
        <v>32468100</v>
      </c>
      <c r="AB47" s="163">
        <v>29.79</v>
      </c>
    </row>
    <row r="48" spans="15:28" x14ac:dyDescent="0.25">
      <c r="V48" s="162">
        <v>42187</v>
      </c>
      <c r="W48" s="166">
        <v>30.18</v>
      </c>
      <c r="X48" s="166">
        <v>30.92</v>
      </c>
      <c r="Y48" s="166">
        <v>30.1</v>
      </c>
      <c r="Z48" s="166">
        <v>30.56</v>
      </c>
      <c r="AA48" s="164">
        <v>27105200</v>
      </c>
      <c r="AB48" s="163">
        <v>30.31</v>
      </c>
    </row>
    <row r="49" spans="22:28" x14ac:dyDescent="0.25">
      <c r="V49" s="162">
        <v>42186</v>
      </c>
      <c r="W49" s="166">
        <v>30.49</v>
      </c>
      <c r="X49" s="166">
        <v>30.55</v>
      </c>
      <c r="Y49" s="166">
        <v>30.01</v>
      </c>
      <c r="Z49" s="166">
        <v>30.18</v>
      </c>
      <c r="AA49" s="164">
        <v>27178900</v>
      </c>
      <c r="AB49" s="163">
        <v>29.93</v>
      </c>
    </row>
    <row r="50" spans="22:28" x14ac:dyDescent="0.25">
      <c r="V50" s="162">
        <v>42185</v>
      </c>
      <c r="W50" s="166">
        <v>30.63</v>
      </c>
      <c r="X50" s="166">
        <v>30.69</v>
      </c>
      <c r="Y50" s="166">
        <v>30.15</v>
      </c>
      <c r="Z50" s="166">
        <v>30.42</v>
      </c>
      <c r="AA50" s="164">
        <v>34412200</v>
      </c>
      <c r="AB50" s="163">
        <v>30.17</v>
      </c>
    </row>
    <row r="51" spans="22:28" x14ac:dyDescent="0.25">
      <c r="V51" s="162">
        <v>42184</v>
      </c>
      <c r="W51" s="166">
        <v>30.7</v>
      </c>
      <c r="X51" s="166">
        <v>30.98</v>
      </c>
      <c r="Y51" s="166">
        <v>30.31</v>
      </c>
      <c r="Z51" s="166">
        <v>30.39</v>
      </c>
      <c r="AA51" s="164">
        <v>35194500</v>
      </c>
      <c r="AB51" s="163">
        <v>30.14</v>
      </c>
    </row>
    <row r="52" spans="22:28" x14ac:dyDescent="0.25">
      <c r="V52" s="162">
        <v>42181</v>
      </c>
      <c r="W52" s="166">
        <v>31.51</v>
      </c>
      <c r="X52" s="166">
        <v>31.53</v>
      </c>
      <c r="Y52" s="166">
        <v>30.76</v>
      </c>
      <c r="Z52" s="166">
        <v>31.02</v>
      </c>
      <c r="AA52" s="164">
        <v>62157200</v>
      </c>
      <c r="AB52" s="163">
        <v>30.76</v>
      </c>
    </row>
    <row r="53" spans="22:28" x14ac:dyDescent="0.25">
      <c r="V53" s="162">
        <v>42180</v>
      </c>
      <c r="W53" s="166">
        <v>32.020000000000003</v>
      </c>
      <c r="X53" s="166">
        <v>32.32</v>
      </c>
      <c r="Y53" s="166">
        <v>31.99</v>
      </c>
      <c r="Z53" s="166">
        <v>31.99</v>
      </c>
      <c r="AA53" s="164">
        <v>22743300</v>
      </c>
      <c r="AB53" s="163">
        <v>31.73</v>
      </c>
    </row>
    <row r="54" spans="22:28" x14ac:dyDescent="0.25">
      <c r="V54" s="162">
        <v>42179</v>
      </c>
      <c r="W54" s="166">
        <v>32.15</v>
      </c>
      <c r="X54" s="166">
        <v>32.15</v>
      </c>
      <c r="Y54" s="166">
        <v>31.88</v>
      </c>
      <c r="Z54" s="166">
        <v>31.91</v>
      </c>
      <c r="AA54" s="164">
        <v>23313900</v>
      </c>
      <c r="AB54" s="163">
        <v>31.65</v>
      </c>
    </row>
    <row r="55" spans="22:28" x14ac:dyDescent="0.25">
      <c r="V55" s="162">
        <v>42178</v>
      </c>
      <c r="W55" s="166">
        <v>32.31</v>
      </c>
      <c r="X55" s="166">
        <v>32.340000000000003</v>
      </c>
      <c r="Y55" s="166">
        <v>31.93</v>
      </c>
      <c r="Z55" s="166">
        <v>32.090000000000003</v>
      </c>
      <c r="AA55" s="164">
        <v>17995900</v>
      </c>
      <c r="AB55" s="163">
        <v>31.83</v>
      </c>
    </row>
    <row r="56" spans="22:28" x14ac:dyDescent="0.25">
      <c r="V56" s="162">
        <v>42177</v>
      </c>
      <c r="W56" s="166">
        <v>32.26</v>
      </c>
      <c r="X56" s="166">
        <v>32.39</v>
      </c>
      <c r="Y56" s="166">
        <v>32.08</v>
      </c>
      <c r="Z56" s="166">
        <v>32.26</v>
      </c>
      <c r="AA56" s="164">
        <v>23608400</v>
      </c>
      <c r="AB56" s="163">
        <v>31.99</v>
      </c>
    </row>
    <row r="57" spans="22:28" x14ac:dyDescent="0.25">
      <c r="V57" s="162">
        <v>42174</v>
      </c>
      <c r="W57" s="166">
        <v>32.4</v>
      </c>
      <c r="X57" s="166">
        <v>32.57</v>
      </c>
      <c r="Y57" s="166">
        <v>31.96</v>
      </c>
      <c r="Z57" s="166">
        <v>32.07</v>
      </c>
      <c r="AA57" s="164">
        <v>39008400</v>
      </c>
      <c r="AB57" s="163">
        <v>31.81</v>
      </c>
    </row>
    <row r="58" spans="22:28" x14ac:dyDescent="0.25">
      <c r="V58" s="162">
        <v>42173</v>
      </c>
      <c r="W58" s="166">
        <v>32.08</v>
      </c>
      <c r="X58" s="166">
        <v>32.5</v>
      </c>
      <c r="Y58" s="166">
        <v>32</v>
      </c>
      <c r="Z58" s="166">
        <v>32.380000000000003</v>
      </c>
      <c r="AA58" s="164">
        <v>27722400</v>
      </c>
      <c r="AB58" s="163">
        <v>32.11</v>
      </c>
    </row>
    <row r="59" spans="22:28" x14ac:dyDescent="0.25">
      <c r="V59" s="162">
        <v>42172</v>
      </c>
      <c r="W59" s="166">
        <v>31.75</v>
      </c>
      <c r="X59" s="166">
        <v>32.090000000000003</v>
      </c>
      <c r="Y59" s="166">
        <v>31.69</v>
      </c>
      <c r="Z59" s="166">
        <v>31.95</v>
      </c>
      <c r="AA59" s="164">
        <v>28194200</v>
      </c>
      <c r="AB59" s="163">
        <v>31.69</v>
      </c>
    </row>
    <row r="60" spans="22:28" x14ac:dyDescent="0.25">
      <c r="V60" s="162">
        <v>42171</v>
      </c>
      <c r="W60" s="166">
        <v>31.26</v>
      </c>
      <c r="X60" s="166">
        <v>31.76</v>
      </c>
      <c r="Y60" s="166">
        <v>31.13</v>
      </c>
      <c r="Z60" s="166">
        <v>31.64</v>
      </c>
      <c r="AA60" s="164">
        <v>20254500</v>
      </c>
      <c r="AB60" s="163">
        <v>31.38</v>
      </c>
    </row>
    <row r="61" spans="22:28" x14ac:dyDescent="0.25">
      <c r="V61" s="162">
        <v>42170</v>
      </c>
      <c r="W61" s="166">
        <v>31.12</v>
      </c>
      <c r="X61" s="166">
        <v>31.51</v>
      </c>
      <c r="Y61" s="166">
        <v>30.94</v>
      </c>
      <c r="Z61" s="166">
        <v>31.39</v>
      </c>
      <c r="AA61" s="164">
        <v>23175000</v>
      </c>
      <c r="AB61" s="163">
        <v>31.13</v>
      </c>
    </row>
    <row r="62" spans="22:28" x14ac:dyDescent="0.25">
      <c r="V62" s="162">
        <v>42167</v>
      </c>
      <c r="W62" s="166">
        <v>31.72</v>
      </c>
      <c r="X62" s="166">
        <v>32.1</v>
      </c>
      <c r="Y62" s="166">
        <v>31.2</v>
      </c>
      <c r="Z62" s="166">
        <v>31.32</v>
      </c>
      <c r="AA62" s="164">
        <v>31629800</v>
      </c>
      <c r="AB62" s="163">
        <v>31.06</v>
      </c>
    </row>
    <row r="63" spans="22:28" x14ac:dyDescent="0.25">
      <c r="V63" s="162">
        <v>42166</v>
      </c>
      <c r="W63" s="166">
        <v>31.95</v>
      </c>
      <c r="X63" s="166">
        <v>32.1</v>
      </c>
      <c r="Y63" s="166">
        <v>31.84</v>
      </c>
      <c r="Z63" s="166">
        <v>31.85</v>
      </c>
      <c r="AA63" s="164">
        <v>24293600</v>
      </c>
      <c r="AB63" s="163">
        <v>31.59</v>
      </c>
    </row>
    <row r="64" spans="22:28" x14ac:dyDescent="0.25">
      <c r="V64" s="162">
        <v>42165</v>
      </c>
      <c r="W64" s="166">
        <v>31.46</v>
      </c>
      <c r="X64" s="166">
        <v>32.159999999999997</v>
      </c>
      <c r="Y64" s="166">
        <v>31.37</v>
      </c>
      <c r="Z64" s="166">
        <v>31.82</v>
      </c>
      <c r="AA64" s="164">
        <v>33336800</v>
      </c>
      <c r="AB64" s="163">
        <v>31.56</v>
      </c>
    </row>
    <row r="65" spans="22:28" x14ac:dyDescent="0.25">
      <c r="V65" s="162">
        <v>42164</v>
      </c>
      <c r="W65" s="166">
        <v>31.33</v>
      </c>
      <c r="X65" s="166">
        <v>31.66</v>
      </c>
      <c r="Y65" s="166">
        <v>31.15</v>
      </c>
      <c r="Z65" s="166">
        <v>31.25</v>
      </c>
      <c r="AA65" s="164">
        <v>33976700</v>
      </c>
      <c r="AB65" s="163">
        <v>30.99</v>
      </c>
    </row>
    <row r="66" spans="22:28" x14ac:dyDescent="0.25">
      <c r="V66" s="162">
        <v>42163</v>
      </c>
      <c r="W66" s="166">
        <v>31.81</v>
      </c>
      <c r="X66" s="166">
        <v>31.95</v>
      </c>
      <c r="Y66" s="166">
        <v>31.21</v>
      </c>
      <c r="Z66" s="166">
        <v>31.3</v>
      </c>
      <c r="AA66" s="164">
        <v>38171600</v>
      </c>
      <c r="AB66" s="163">
        <v>31.04</v>
      </c>
    </row>
    <row r="67" spans="22:28" x14ac:dyDescent="0.25">
      <c r="V67" s="162">
        <v>42160</v>
      </c>
      <c r="W67" s="166">
        <v>32.28</v>
      </c>
      <c r="X67" s="166">
        <v>32.299999999999997</v>
      </c>
      <c r="Y67" s="166">
        <v>31.83</v>
      </c>
      <c r="Z67" s="166">
        <v>31.84</v>
      </c>
      <c r="AA67" s="164">
        <v>27778500</v>
      </c>
      <c r="AB67" s="163">
        <v>31.58</v>
      </c>
    </row>
    <row r="68" spans="22:28" x14ac:dyDescent="0.25">
      <c r="V68" s="162">
        <v>42159</v>
      </c>
      <c r="W68" s="166">
        <v>32.51</v>
      </c>
      <c r="X68" s="166">
        <v>32.72</v>
      </c>
      <c r="Y68" s="166">
        <v>32.200000000000003</v>
      </c>
      <c r="Z68" s="166">
        <v>32.31</v>
      </c>
      <c r="AA68" s="164">
        <v>33761800</v>
      </c>
      <c r="AB68" s="163">
        <v>32.04</v>
      </c>
    </row>
    <row r="69" spans="22:28" x14ac:dyDescent="0.25">
      <c r="V69" s="163" t="s">
        <v>217</v>
      </c>
      <c r="W69" s="166"/>
      <c r="X69" s="166"/>
      <c r="Y69" s="166"/>
      <c r="Z69" s="166"/>
      <c r="AA69" s="163"/>
      <c r="AB69" s="163"/>
    </row>
  </sheetData>
  <mergeCells count="1">
    <mergeCell ref="O21:P21"/>
  </mergeCells>
  <conditionalFormatting sqref="Q7">
    <cfRule type="expression" dxfId="47" priority="6">
      <formula>Q7&gt;0</formula>
    </cfRule>
    <cfRule type="expression" dxfId="46" priority="7">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6"/>
  <sheetViews>
    <sheetView workbookViewId="0">
      <selection activeCell="A3" sqref="A3"/>
    </sheetView>
  </sheetViews>
  <sheetFormatPr defaultRowHeight="15" x14ac:dyDescent="0.25"/>
  <cols>
    <col min="2" max="2" width="9.140625" style="55"/>
    <col min="3" max="3" width="11.5703125" customWidth="1"/>
    <col min="4" max="5" width="9.140625" style="2"/>
    <col min="6" max="6" width="12.140625" style="2" bestFit="1" customWidth="1"/>
    <col min="8" max="8" width="9.140625" style="121"/>
    <col min="9" max="11" width="9.140625" style="2"/>
    <col min="18" max="18" width="14.7109375" customWidth="1"/>
    <col min="21" max="21" width="11.5703125" customWidth="1"/>
    <col min="22" max="22" width="12.140625" customWidth="1"/>
  </cols>
  <sheetData>
    <row r="1" spans="1:24" s="85" customFormat="1" x14ac:dyDescent="0.25">
      <c r="A1" s="85" t="s">
        <v>1</v>
      </c>
      <c r="B1" s="189" t="s">
        <v>2</v>
      </c>
      <c r="C1" s="85" t="s">
        <v>4</v>
      </c>
      <c r="D1" s="86" t="s">
        <v>5</v>
      </c>
      <c r="E1" s="86" t="s">
        <v>145</v>
      </c>
      <c r="F1" s="86" t="s">
        <v>60</v>
      </c>
      <c r="G1" s="85" t="s">
        <v>3</v>
      </c>
      <c r="H1" s="119" t="s">
        <v>6</v>
      </c>
      <c r="I1" s="86" t="s">
        <v>7</v>
      </c>
      <c r="J1" s="86" t="s">
        <v>144</v>
      </c>
      <c r="K1" s="86" t="s">
        <v>61</v>
      </c>
      <c r="L1" s="85" t="s">
        <v>43</v>
      </c>
      <c r="M1" s="85" t="s">
        <v>38</v>
      </c>
      <c r="T1" s="85" t="s">
        <v>74</v>
      </c>
    </row>
    <row r="2" spans="1:24" x14ac:dyDescent="0.25">
      <c r="A2" s="8" t="s">
        <v>22</v>
      </c>
      <c r="B2" s="190">
        <v>42153</v>
      </c>
      <c r="C2" s="10">
        <v>20</v>
      </c>
      <c r="D2" s="23">
        <v>67.3</v>
      </c>
      <c r="E2" s="23">
        <v>0</v>
      </c>
      <c r="F2" s="23">
        <f t="shared" ref="F2:F17" si="0">D2*C2+E2</f>
        <v>1346</v>
      </c>
      <c r="G2" s="125">
        <v>42219</v>
      </c>
      <c r="H2" s="120">
        <v>25</v>
      </c>
      <c r="I2" s="74">
        <v>60.05</v>
      </c>
      <c r="J2" s="74">
        <v>0.03</v>
      </c>
      <c r="K2" s="74">
        <f>H2*I2-J2</f>
        <v>1501.22</v>
      </c>
      <c r="L2" s="1">
        <v>42185</v>
      </c>
      <c r="M2" s="2">
        <v>5</v>
      </c>
      <c r="O2" s="19" t="s">
        <v>57</v>
      </c>
      <c r="Q2">
        <f>C18-H18</f>
        <v>100</v>
      </c>
      <c r="T2" t="s">
        <v>112</v>
      </c>
    </row>
    <row r="3" spans="1:24" x14ac:dyDescent="0.25">
      <c r="A3" s="32" t="s">
        <v>77</v>
      </c>
      <c r="B3" s="190">
        <v>42205</v>
      </c>
      <c r="C3">
        <v>20</v>
      </c>
      <c r="D3" s="2">
        <v>63.4</v>
      </c>
      <c r="E3" s="2">
        <v>0</v>
      </c>
      <c r="F3" s="2">
        <f t="shared" si="0"/>
        <v>1268</v>
      </c>
      <c r="G3" s="125">
        <v>42219</v>
      </c>
      <c r="H3" s="120">
        <v>55</v>
      </c>
      <c r="I3" s="74">
        <v>59.75</v>
      </c>
      <c r="J3" s="74">
        <v>0.06</v>
      </c>
      <c r="K3" s="74">
        <f>H3*I3-J3</f>
        <v>3286.19</v>
      </c>
      <c r="L3" t="s">
        <v>116</v>
      </c>
      <c r="M3" s="2"/>
      <c r="O3" s="19" t="s">
        <v>58</v>
      </c>
      <c r="Q3" s="2">
        <f>(F18-K18-M2)/Q2</f>
        <v>58.619799999999998</v>
      </c>
      <c r="T3" t="s">
        <v>113</v>
      </c>
      <c r="U3" t="s">
        <v>71</v>
      </c>
      <c r="V3" t="s">
        <v>72</v>
      </c>
      <c r="W3" t="s">
        <v>115</v>
      </c>
      <c r="X3" t="s">
        <v>114</v>
      </c>
    </row>
    <row r="4" spans="1:24" x14ac:dyDescent="0.25">
      <c r="B4" s="190">
        <v>42205</v>
      </c>
      <c r="C4">
        <v>20</v>
      </c>
      <c r="D4" s="2">
        <v>63.15</v>
      </c>
      <c r="E4" s="2">
        <v>0</v>
      </c>
      <c r="F4" s="2">
        <f t="shared" si="0"/>
        <v>1263</v>
      </c>
      <c r="G4" s="125">
        <v>42250</v>
      </c>
      <c r="H4" s="124">
        <v>100</v>
      </c>
      <c r="I4" s="23">
        <v>59.4</v>
      </c>
      <c r="J4" s="23">
        <v>0.06</v>
      </c>
      <c r="K4" s="108">
        <f>H4*I4-J4</f>
        <v>5939.94</v>
      </c>
      <c r="M4" s="2"/>
      <c r="O4" s="19" t="s">
        <v>66</v>
      </c>
      <c r="Q4" s="94">
        <v>54.1</v>
      </c>
      <c r="T4" s="51">
        <v>42249</v>
      </c>
      <c r="U4" s="51">
        <v>42264</v>
      </c>
      <c r="V4" s="56">
        <v>42276</v>
      </c>
      <c r="W4">
        <v>0.25</v>
      </c>
    </row>
    <row r="5" spans="1:24" x14ac:dyDescent="0.25">
      <c r="B5" s="190">
        <v>42207</v>
      </c>
      <c r="C5" s="6">
        <v>10</v>
      </c>
      <c r="D5" s="5">
        <v>62</v>
      </c>
      <c r="E5" s="5">
        <v>0</v>
      </c>
      <c r="F5" s="5">
        <f t="shared" si="0"/>
        <v>620</v>
      </c>
      <c r="G5" s="125">
        <v>42258</v>
      </c>
      <c r="H5" s="187">
        <v>80</v>
      </c>
      <c r="I5" s="186">
        <v>56.47</v>
      </c>
      <c r="J5" s="186">
        <v>0.08</v>
      </c>
      <c r="K5" s="188">
        <f>H5*I5-J5</f>
        <v>4517.5200000000004</v>
      </c>
      <c r="M5" s="2"/>
      <c r="O5" s="19" t="s">
        <v>67</v>
      </c>
      <c r="Q5" s="5">
        <f>Q4*Q2</f>
        <v>5410</v>
      </c>
      <c r="T5" t="s">
        <v>117</v>
      </c>
    </row>
    <row r="6" spans="1:24" x14ac:dyDescent="0.25">
      <c r="B6" s="190">
        <v>42207</v>
      </c>
      <c r="C6" s="6">
        <v>5</v>
      </c>
      <c r="D6" s="5">
        <v>61.6</v>
      </c>
      <c r="E6" s="5">
        <v>0</v>
      </c>
      <c r="F6" s="5">
        <f t="shared" si="0"/>
        <v>308</v>
      </c>
      <c r="M6" s="2"/>
      <c r="O6" s="19" t="s">
        <v>64</v>
      </c>
      <c r="Q6" s="2">
        <f>Q3*Q2</f>
        <v>5861.98</v>
      </c>
    </row>
    <row r="7" spans="1:24" x14ac:dyDescent="0.25">
      <c r="B7" s="190">
        <v>42207</v>
      </c>
      <c r="C7" s="6">
        <v>20</v>
      </c>
      <c r="D7" s="5">
        <v>59.85</v>
      </c>
      <c r="E7" s="5">
        <v>0</v>
      </c>
      <c r="F7" s="5">
        <f t="shared" si="0"/>
        <v>1197</v>
      </c>
      <c r="M7" s="2"/>
      <c r="O7" s="19" t="s">
        <v>65</v>
      </c>
      <c r="Q7" s="2">
        <f>Q5-Q6+M18</f>
        <v>-446.97999999999956</v>
      </c>
    </row>
    <row r="8" spans="1:24" x14ac:dyDescent="0.25">
      <c r="B8" s="190">
        <v>42208</v>
      </c>
      <c r="C8" s="9">
        <v>5</v>
      </c>
      <c r="D8" s="69">
        <v>61.3</v>
      </c>
      <c r="E8" s="69">
        <v>0</v>
      </c>
      <c r="F8" s="69">
        <f t="shared" si="0"/>
        <v>306.5</v>
      </c>
      <c r="M8" s="2"/>
    </row>
    <row r="9" spans="1:24" x14ac:dyDescent="0.25">
      <c r="B9" s="190">
        <v>42219</v>
      </c>
      <c r="C9" s="12">
        <v>25</v>
      </c>
      <c r="D9" s="69">
        <v>59.4</v>
      </c>
      <c r="E9" s="69">
        <v>0</v>
      </c>
      <c r="F9" s="69">
        <f t="shared" si="0"/>
        <v>1485</v>
      </c>
      <c r="M9" s="2"/>
    </row>
    <row r="10" spans="1:24" x14ac:dyDescent="0.25">
      <c r="B10" s="190">
        <v>42219</v>
      </c>
      <c r="C10" s="12">
        <v>50</v>
      </c>
      <c r="D10" s="69">
        <v>59.2</v>
      </c>
      <c r="E10" s="69">
        <v>0</v>
      </c>
      <c r="F10" s="69">
        <f t="shared" si="0"/>
        <v>2960</v>
      </c>
      <c r="M10" s="2"/>
    </row>
    <row r="11" spans="1:24" x14ac:dyDescent="0.25">
      <c r="B11" s="190">
        <v>42226</v>
      </c>
      <c r="C11" s="12">
        <v>5</v>
      </c>
      <c r="D11" s="69">
        <v>56.2</v>
      </c>
      <c r="E11" s="69">
        <v>0</v>
      </c>
      <c r="F11" s="69">
        <f t="shared" si="0"/>
        <v>281</v>
      </c>
      <c r="M11" s="2"/>
    </row>
    <row r="12" spans="1:24" x14ac:dyDescent="0.25">
      <c r="B12" s="190">
        <v>42226</v>
      </c>
      <c r="C12" s="10">
        <v>15</v>
      </c>
      <c r="D12" s="23">
        <v>56.5</v>
      </c>
      <c r="E12" s="23">
        <v>0</v>
      </c>
      <c r="F12" s="23">
        <f t="shared" si="0"/>
        <v>847.5</v>
      </c>
      <c r="M12" s="2"/>
    </row>
    <row r="13" spans="1:24" x14ac:dyDescent="0.25">
      <c r="B13" s="190">
        <v>42240</v>
      </c>
      <c r="C13" s="109">
        <v>15</v>
      </c>
      <c r="D13" s="23">
        <v>57.19</v>
      </c>
      <c r="E13" s="23">
        <v>0</v>
      </c>
      <c r="F13" s="23">
        <f t="shared" si="0"/>
        <v>857.84999999999991</v>
      </c>
      <c r="M13" s="2"/>
    </row>
    <row r="14" spans="1:24" x14ac:dyDescent="0.25">
      <c r="B14" s="190">
        <v>42240</v>
      </c>
      <c r="C14" s="10">
        <v>20</v>
      </c>
      <c r="D14" s="23">
        <v>56.6</v>
      </c>
      <c r="E14" s="23">
        <v>0</v>
      </c>
      <c r="F14" s="23">
        <f t="shared" si="0"/>
        <v>1132</v>
      </c>
      <c r="M14" s="2"/>
    </row>
    <row r="15" spans="1:24" x14ac:dyDescent="0.25">
      <c r="B15" s="190">
        <v>42240</v>
      </c>
      <c r="C15" s="10">
        <v>30</v>
      </c>
      <c r="D15" s="23">
        <v>56.5</v>
      </c>
      <c r="E15" s="23">
        <v>0</v>
      </c>
      <c r="F15" s="23">
        <f t="shared" si="0"/>
        <v>1695</v>
      </c>
      <c r="M15" s="2"/>
    </row>
    <row r="16" spans="1:24" x14ac:dyDescent="0.25">
      <c r="B16" s="202">
        <v>42258</v>
      </c>
      <c r="C16" s="185">
        <v>80</v>
      </c>
      <c r="D16" s="186">
        <v>55.45</v>
      </c>
      <c r="E16" s="186">
        <v>0</v>
      </c>
      <c r="F16" s="186">
        <f t="shared" si="0"/>
        <v>4436</v>
      </c>
      <c r="M16" s="2"/>
    </row>
    <row r="17" spans="1:21" x14ac:dyDescent="0.25">
      <c r="B17" s="203"/>
      <c r="C17" s="6">
        <v>20</v>
      </c>
      <c r="D17" s="5">
        <v>55.45</v>
      </c>
      <c r="E17" s="5">
        <v>0</v>
      </c>
      <c r="F17" s="5">
        <f t="shared" si="0"/>
        <v>1109</v>
      </c>
      <c r="M17" s="2"/>
    </row>
    <row r="18" spans="1:21" x14ac:dyDescent="0.25">
      <c r="A18" s="53" t="s">
        <v>110</v>
      </c>
      <c r="B18" s="191"/>
      <c r="C18" s="22">
        <f>SUM(C2:C17)</f>
        <v>360</v>
      </c>
      <c r="D18" s="27"/>
      <c r="E18" s="27"/>
      <c r="F18" s="27">
        <f>SUM(F2:F17)</f>
        <v>21111.85</v>
      </c>
      <c r="G18" s="22"/>
      <c r="H18" s="122">
        <f>SUM(H2:H10)</f>
        <v>260</v>
      </c>
      <c r="I18" s="27"/>
      <c r="J18" s="27"/>
      <c r="K18" s="27">
        <f>SUM(K2:K10)</f>
        <v>15244.869999999999</v>
      </c>
      <c r="L18" s="22"/>
      <c r="M18" s="27">
        <f>SUM(M2:M10)</f>
        <v>5</v>
      </c>
    </row>
    <row r="22" spans="1:21" x14ac:dyDescent="0.25">
      <c r="G22" s="2"/>
      <c r="U22" s="2"/>
    </row>
    <row r="23" spans="1:21" x14ac:dyDescent="0.25">
      <c r="P23" t="s">
        <v>85</v>
      </c>
      <c r="R23" s="55"/>
    </row>
    <row r="24" spans="1:21" x14ac:dyDescent="0.25">
      <c r="G24" s="2"/>
      <c r="O24" s="2">
        <f>$Q$4</f>
        <v>54.1</v>
      </c>
      <c r="P24">
        <v>1.1000000000000001</v>
      </c>
      <c r="Q24" s="2">
        <f t="shared" ref="Q24:Q36" si="1">P24*O24</f>
        <v>59.510000000000005</v>
      </c>
      <c r="R24" s="55"/>
    </row>
    <row r="25" spans="1:21" x14ac:dyDescent="0.25">
      <c r="O25" s="2">
        <f>$Q$4</f>
        <v>54.1</v>
      </c>
      <c r="P25">
        <v>1.05</v>
      </c>
      <c r="Q25" s="2">
        <f t="shared" si="1"/>
        <v>56.805000000000007</v>
      </c>
      <c r="R25" s="55"/>
    </row>
    <row r="26" spans="1:21" x14ac:dyDescent="0.25">
      <c r="O26" s="2">
        <f t="shared" ref="O26:O36" si="2">$Q$4</f>
        <v>54.1</v>
      </c>
      <c r="P26">
        <v>1.04</v>
      </c>
      <c r="Q26" s="2">
        <f t="shared" si="1"/>
        <v>56.264000000000003</v>
      </c>
      <c r="R26" s="55"/>
    </row>
    <row r="27" spans="1:21" x14ac:dyDescent="0.25">
      <c r="O27" s="2">
        <f t="shared" si="2"/>
        <v>54.1</v>
      </c>
      <c r="P27" s="2">
        <v>1.03</v>
      </c>
      <c r="Q27" s="2">
        <f t="shared" si="1"/>
        <v>55.723000000000006</v>
      </c>
      <c r="R27" s="55"/>
    </row>
    <row r="28" spans="1:21" x14ac:dyDescent="0.25">
      <c r="J28" s="2" t="s">
        <v>246</v>
      </c>
      <c r="O28" s="2">
        <f t="shared" si="2"/>
        <v>54.1</v>
      </c>
      <c r="P28" s="2">
        <v>1.02</v>
      </c>
      <c r="Q28" s="2">
        <f t="shared" si="1"/>
        <v>55.182000000000002</v>
      </c>
      <c r="R28" s="55"/>
    </row>
    <row r="29" spans="1:21" x14ac:dyDescent="0.25">
      <c r="O29" s="2">
        <f t="shared" si="2"/>
        <v>54.1</v>
      </c>
      <c r="P29" s="2">
        <v>1.01</v>
      </c>
      <c r="Q29" s="2">
        <f t="shared" si="1"/>
        <v>54.641000000000005</v>
      </c>
      <c r="R29" s="55"/>
    </row>
    <row r="30" spans="1:21" x14ac:dyDescent="0.25">
      <c r="O30" s="2">
        <f t="shared" si="2"/>
        <v>54.1</v>
      </c>
      <c r="P30" s="2">
        <v>1</v>
      </c>
      <c r="Q30" s="2">
        <f t="shared" si="1"/>
        <v>54.1</v>
      </c>
      <c r="R30" s="55"/>
    </row>
    <row r="31" spans="1:21" x14ac:dyDescent="0.25">
      <c r="O31" s="2">
        <f t="shared" si="2"/>
        <v>54.1</v>
      </c>
      <c r="P31" s="2">
        <v>0.99</v>
      </c>
      <c r="Q31" s="2">
        <f t="shared" si="1"/>
        <v>53.558999999999997</v>
      </c>
      <c r="R31" s="55"/>
    </row>
    <row r="32" spans="1:21" x14ac:dyDescent="0.25">
      <c r="O32" s="2">
        <f t="shared" si="2"/>
        <v>54.1</v>
      </c>
      <c r="P32" s="2">
        <v>0.98</v>
      </c>
      <c r="Q32" s="2">
        <f t="shared" si="1"/>
        <v>53.018000000000001</v>
      </c>
      <c r="R32" s="55"/>
    </row>
    <row r="33" spans="15:18" x14ac:dyDescent="0.25">
      <c r="O33" s="2">
        <f t="shared" si="2"/>
        <v>54.1</v>
      </c>
      <c r="P33" s="2">
        <v>0.97</v>
      </c>
      <c r="Q33" s="2">
        <f t="shared" si="1"/>
        <v>52.476999999999997</v>
      </c>
      <c r="R33" s="55"/>
    </row>
    <row r="34" spans="15:18" x14ac:dyDescent="0.25">
      <c r="O34" s="2">
        <f t="shared" si="2"/>
        <v>54.1</v>
      </c>
      <c r="P34" s="2">
        <v>0.96</v>
      </c>
      <c r="Q34" s="2">
        <f t="shared" si="1"/>
        <v>51.936</v>
      </c>
      <c r="R34" s="55"/>
    </row>
    <row r="35" spans="15:18" x14ac:dyDescent="0.25">
      <c r="O35" s="2">
        <f t="shared" si="2"/>
        <v>54.1</v>
      </c>
      <c r="P35" s="2">
        <v>0.95</v>
      </c>
      <c r="Q35" s="2">
        <f t="shared" si="1"/>
        <v>51.394999999999996</v>
      </c>
      <c r="R35" s="55"/>
    </row>
    <row r="36" spans="15:18" x14ac:dyDescent="0.25">
      <c r="O36" s="2">
        <f t="shared" si="2"/>
        <v>54.1</v>
      </c>
      <c r="P36" s="2">
        <v>0.9</v>
      </c>
      <c r="Q36" s="2">
        <f t="shared" si="1"/>
        <v>48.690000000000005</v>
      </c>
      <c r="R36" s="55"/>
    </row>
  </sheetData>
  <mergeCells count="1">
    <mergeCell ref="B16:B17"/>
  </mergeCells>
  <conditionalFormatting sqref="Q7">
    <cfRule type="expression" dxfId="45" priority="2">
      <formula>Q7&gt;0</formula>
    </cfRule>
    <cfRule type="expression" dxfId="44" priority="3">
      <formula>Q7&lt;0</formula>
    </cfRule>
  </conditionalFormatting>
  <conditionalFormatting sqref="P24:P36">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5" customWidth="1"/>
    <col min="20" max="20" width="11.28515625" style="65" customWidth="1"/>
    <col min="21" max="21" width="14.5703125" customWidth="1"/>
  </cols>
  <sheetData>
    <row r="1" spans="1:23" s="19" customFormat="1" x14ac:dyDescent="0.25">
      <c r="A1" s="19" t="s">
        <v>1</v>
      </c>
      <c r="B1" s="19" t="s">
        <v>2</v>
      </c>
      <c r="C1" s="19" t="s">
        <v>4</v>
      </c>
      <c r="D1" s="30" t="s">
        <v>5</v>
      </c>
      <c r="E1" s="30"/>
      <c r="F1" s="30" t="s">
        <v>60</v>
      </c>
      <c r="G1" s="19" t="s">
        <v>3</v>
      </c>
      <c r="H1" s="19" t="s">
        <v>6</v>
      </c>
      <c r="I1" s="30" t="s">
        <v>7</v>
      </c>
      <c r="J1" s="30"/>
      <c r="K1" s="30" t="s">
        <v>61</v>
      </c>
      <c r="L1" s="19" t="s">
        <v>37</v>
      </c>
      <c r="M1" s="19" t="s">
        <v>38</v>
      </c>
      <c r="R1" s="54"/>
      <c r="T1" s="66"/>
    </row>
    <row r="2" spans="1:23" x14ac:dyDescent="0.25">
      <c r="A2" s="8" t="s">
        <v>42</v>
      </c>
      <c r="B2" s="1">
        <v>42184</v>
      </c>
      <c r="C2">
        <v>10</v>
      </c>
      <c r="D2" s="2">
        <v>99.05</v>
      </c>
      <c r="F2" s="2">
        <f>C2*D2</f>
        <v>990.5</v>
      </c>
      <c r="G2" s="1">
        <v>42216</v>
      </c>
      <c r="H2" s="10">
        <v>40</v>
      </c>
      <c r="I2" s="23">
        <v>95.1</v>
      </c>
      <c r="J2" s="23"/>
      <c r="K2" s="23">
        <f>H2*I2</f>
        <v>3804</v>
      </c>
      <c r="L2" t="s">
        <v>119</v>
      </c>
      <c r="O2" s="19" t="s">
        <v>57</v>
      </c>
      <c r="Q2">
        <f>C11-H11</f>
        <v>60</v>
      </c>
      <c r="T2" s="66" t="s">
        <v>137</v>
      </c>
    </row>
    <row r="3" spans="1:23" x14ac:dyDescent="0.25">
      <c r="A3" s="32" t="s">
        <v>77</v>
      </c>
      <c r="B3" s="1">
        <v>42184</v>
      </c>
      <c r="C3" s="6">
        <v>20</v>
      </c>
      <c r="D3" s="5">
        <v>99.5</v>
      </c>
      <c r="E3" s="5"/>
      <c r="F3" s="5">
        <f t="shared" ref="F3:F9" si="0">C3*D3</f>
        <v>1990</v>
      </c>
      <c r="G3" s="1">
        <v>42216</v>
      </c>
      <c r="H3" s="10">
        <v>20</v>
      </c>
      <c r="I3" s="23">
        <v>95.6</v>
      </c>
      <c r="J3" s="23"/>
      <c r="K3" s="23">
        <f>H3*I3</f>
        <v>1912</v>
      </c>
      <c r="O3" s="19" t="s">
        <v>58</v>
      </c>
      <c r="Q3" s="2">
        <f>(F11-K11)/Q2</f>
        <v>96.710833333333326</v>
      </c>
      <c r="T3" s="65">
        <v>42229</v>
      </c>
      <c r="U3" t="s">
        <v>120</v>
      </c>
    </row>
    <row r="4" spans="1:23" x14ac:dyDescent="0.25">
      <c r="B4" s="1">
        <v>42184</v>
      </c>
      <c r="C4" s="6">
        <v>10</v>
      </c>
      <c r="D4" s="5">
        <v>98.35</v>
      </c>
      <c r="E4" s="5"/>
      <c r="F4" s="5">
        <f t="shared" si="0"/>
        <v>983.5</v>
      </c>
      <c r="O4" s="19" t="s">
        <v>66</v>
      </c>
      <c r="Q4" s="94">
        <v>87.1</v>
      </c>
    </row>
    <row r="5" spans="1:23" x14ac:dyDescent="0.25">
      <c r="B5" s="1">
        <v>42184</v>
      </c>
      <c r="C5" s="10">
        <v>20</v>
      </c>
      <c r="D5" s="23">
        <v>98.1</v>
      </c>
      <c r="E5" s="23"/>
      <c r="F5" s="23">
        <f t="shared" si="0"/>
        <v>1962</v>
      </c>
      <c r="O5" s="19" t="s">
        <v>67</v>
      </c>
      <c r="Q5" s="5">
        <f>Q4*Q2</f>
        <v>5226</v>
      </c>
      <c r="V5" s="2"/>
    </row>
    <row r="6" spans="1:23" x14ac:dyDescent="0.25">
      <c r="B6" s="1">
        <v>42213</v>
      </c>
      <c r="C6">
        <v>10</v>
      </c>
      <c r="D6" s="2">
        <v>92.5</v>
      </c>
      <c r="F6" s="2">
        <f t="shared" si="0"/>
        <v>925</v>
      </c>
      <c r="O6" s="19" t="s">
        <v>64</v>
      </c>
      <c r="Q6" s="2">
        <f>Q3*Q2</f>
        <v>5802.65</v>
      </c>
    </row>
    <row r="7" spans="1:23" x14ac:dyDescent="0.25">
      <c r="B7" s="1">
        <v>42213</v>
      </c>
      <c r="C7">
        <v>10</v>
      </c>
      <c r="D7" s="2">
        <v>91.65</v>
      </c>
      <c r="F7" s="2">
        <f t="shared" si="0"/>
        <v>916.5</v>
      </c>
      <c r="O7" s="19" t="s">
        <v>65</v>
      </c>
      <c r="Q7" s="2">
        <f>Q5-Q6</f>
        <v>-576.64999999999964</v>
      </c>
    </row>
    <row r="8" spans="1:23" x14ac:dyDescent="0.25">
      <c r="B8" s="1">
        <v>42213</v>
      </c>
      <c r="C8" s="10">
        <v>15</v>
      </c>
      <c r="D8" s="23">
        <v>94</v>
      </c>
      <c r="E8" s="23"/>
      <c r="F8" s="23">
        <f t="shared" si="0"/>
        <v>1410</v>
      </c>
    </row>
    <row r="9" spans="1:23" x14ac:dyDescent="0.25">
      <c r="B9" s="1">
        <v>42213</v>
      </c>
      <c r="C9" s="10">
        <v>15</v>
      </c>
      <c r="D9" s="23">
        <v>92.75</v>
      </c>
      <c r="E9" s="23"/>
      <c r="F9" s="23">
        <f t="shared" si="0"/>
        <v>1391.25</v>
      </c>
    </row>
    <row r="10" spans="1:23" x14ac:dyDescent="0.25">
      <c r="B10" s="1">
        <v>42226</v>
      </c>
      <c r="C10" s="10">
        <v>10</v>
      </c>
      <c r="D10" s="23">
        <v>94.99</v>
      </c>
      <c r="E10" s="23"/>
      <c r="F10" s="23">
        <f>C10*D10</f>
        <v>949.9</v>
      </c>
    </row>
    <row r="11" spans="1:23" x14ac:dyDescent="0.25">
      <c r="A11" s="31" t="s">
        <v>110</v>
      </c>
      <c r="B11" s="20"/>
      <c r="C11" s="20">
        <f>SUM(C2:C10)</f>
        <v>120</v>
      </c>
      <c r="D11" s="21"/>
      <c r="E11" s="21"/>
      <c r="F11" s="21">
        <f>SUM(F2:F10)</f>
        <v>11518.65</v>
      </c>
      <c r="G11" s="20"/>
      <c r="H11" s="20">
        <f>SUM(H2:H7)</f>
        <v>60</v>
      </c>
      <c r="I11" s="21"/>
      <c r="J11" s="21"/>
      <c r="K11" s="21">
        <f>SUM(K2:K7)</f>
        <v>5716</v>
      </c>
      <c r="L11" s="20"/>
      <c r="M11" s="20"/>
      <c r="T11" s="66" t="s">
        <v>134</v>
      </c>
      <c r="U11" s="19"/>
      <c r="V11" s="19"/>
      <c r="W11" s="19"/>
    </row>
    <row r="12" spans="1:23" x14ac:dyDescent="0.25">
      <c r="T12" s="65">
        <v>42338</v>
      </c>
      <c r="U12" s="57" t="s">
        <v>136</v>
      </c>
    </row>
    <row r="13" spans="1:23" x14ac:dyDescent="0.25">
      <c r="T13" s="65">
        <v>42300</v>
      </c>
      <c r="U13" t="s">
        <v>121</v>
      </c>
    </row>
    <row r="14" spans="1:23" x14ac:dyDescent="0.25">
      <c r="T14" s="65">
        <v>42370</v>
      </c>
      <c r="U14" t="s">
        <v>138</v>
      </c>
    </row>
    <row r="16" spans="1:23" x14ac:dyDescent="0.25">
      <c r="P16" t="s">
        <v>85</v>
      </c>
    </row>
    <row r="17" spans="15:23" x14ac:dyDescent="0.25">
      <c r="O17" s="2">
        <f>$Q$4</f>
        <v>87.1</v>
      </c>
      <c r="P17">
        <v>1.1000000000000001</v>
      </c>
      <c r="Q17" s="2">
        <f t="shared" ref="Q17:Q29" si="1">P17*O17</f>
        <v>95.81</v>
      </c>
    </row>
    <row r="18" spans="15:23" x14ac:dyDescent="0.25">
      <c r="O18" s="2">
        <f>$Q$4</f>
        <v>87.1</v>
      </c>
      <c r="P18">
        <v>1.05</v>
      </c>
      <c r="Q18" s="2">
        <f t="shared" si="1"/>
        <v>91.454999999999998</v>
      </c>
    </row>
    <row r="19" spans="15:23" x14ac:dyDescent="0.25">
      <c r="O19" s="2">
        <f t="shared" ref="O19:O29" si="2">$Q$4</f>
        <v>87.1</v>
      </c>
      <c r="P19">
        <v>1.04</v>
      </c>
      <c r="Q19" s="2">
        <f t="shared" si="1"/>
        <v>90.584000000000003</v>
      </c>
    </row>
    <row r="20" spans="15:23" x14ac:dyDescent="0.25">
      <c r="O20" s="2">
        <f t="shared" si="2"/>
        <v>87.1</v>
      </c>
      <c r="P20" s="2">
        <v>1.03</v>
      </c>
      <c r="Q20" s="2">
        <f t="shared" si="1"/>
        <v>89.712999999999994</v>
      </c>
    </row>
    <row r="21" spans="15:23" x14ac:dyDescent="0.25">
      <c r="O21" s="2">
        <f t="shared" si="2"/>
        <v>87.1</v>
      </c>
      <c r="P21" s="2">
        <v>1.02</v>
      </c>
      <c r="Q21" s="2">
        <f t="shared" si="1"/>
        <v>88.841999999999999</v>
      </c>
      <c r="W21" s="2"/>
    </row>
    <row r="22" spans="15:23" x14ac:dyDescent="0.25">
      <c r="O22" s="2">
        <f t="shared" si="2"/>
        <v>87.1</v>
      </c>
      <c r="P22" s="2">
        <v>1.01</v>
      </c>
      <c r="Q22" s="2">
        <f t="shared" si="1"/>
        <v>87.970999999999989</v>
      </c>
    </row>
    <row r="23" spans="15:23" x14ac:dyDescent="0.25">
      <c r="O23" s="2">
        <f t="shared" si="2"/>
        <v>87.1</v>
      </c>
      <c r="P23" s="2">
        <v>1</v>
      </c>
      <c r="Q23" s="2">
        <f t="shared" si="1"/>
        <v>87.1</v>
      </c>
    </row>
    <row r="24" spans="15:23" x14ac:dyDescent="0.25">
      <c r="O24" s="2">
        <f t="shared" si="2"/>
        <v>87.1</v>
      </c>
      <c r="P24" s="2">
        <v>0.99</v>
      </c>
      <c r="Q24" s="2">
        <f t="shared" si="1"/>
        <v>86.228999999999999</v>
      </c>
    </row>
    <row r="25" spans="15:23" x14ac:dyDescent="0.25">
      <c r="O25" s="2">
        <f t="shared" si="2"/>
        <v>87.1</v>
      </c>
      <c r="P25" s="2">
        <v>0.98</v>
      </c>
      <c r="Q25" s="2">
        <f t="shared" si="1"/>
        <v>85.35799999999999</v>
      </c>
    </row>
    <row r="26" spans="15:23" x14ac:dyDescent="0.25">
      <c r="O26" s="2">
        <f t="shared" si="2"/>
        <v>87.1</v>
      </c>
      <c r="P26" s="2">
        <v>0.97</v>
      </c>
      <c r="Q26" s="2">
        <f t="shared" si="1"/>
        <v>84.486999999999995</v>
      </c>
    </row>
    <row r="27" spans="15:23" x14ac:dyDescent="0.25">
      <c r="O27" s="2">
        <f t="shared" si="2"/>
        <v>87.1</v>
      </c>
      <c r="P27" s="2">
        <v>0.96</v>
      </c>
      <c r="Q27" s="2">
        <f t="shared" si="1"/>
        <v>83.615999999999985</v>
      </c>
    </row>
    <row r="28" spans="15:23" x14ac:dyDescent="0.25">
      <c r="O28" s="2">
        <f t="shared" si="2"/>
        <v>87.1</v>
      </c>
      <c r="P28" s="2">
        <v>0.95</v>
      </c>
      <c r="Q28" s="2">
        <f t="shared" si="1"/>
        <v>82.74499999999999</v>
      </c>
    </row>
    <row r="29" spans="15:23" x14ac:dyDescent="0.25">
      <c r="O29" s="2">
        <f t="shared" si="2"/>
        <v>87.1</v>
      </c>
      <c r="P29" s="2">
        <v>0.9</v>
      </c>
      <c r="Q29" s="2">
        <f t="shared" si="1"/>
        <v>78.39</v>
      </c>
    </row>
    <row r="38" spans="2:4" x14ac:dyDescent="0.25">
      <c r="B38" t="s">
        <v>166</v>
      </c>
      <c r="D38" s="116" t="s">
        <v>167</v>
      </c>
    </row>
  </sheetData>
  <conditionalFormatting sqref="Q7">
    <cfRule type="expression" dxfId="43" priority="2">
      <formula>Q7&gt;0</formula>
    </cfRule>
    <cfRule type="expression" dxfId="4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5" max="15" width="13.28515625" bestFit="1" customWidth="1"/>
    <col min="16" max="16" width="10.140625" style="55" bestFit="1" customWidth="1"/>
    <col min="17" max="17" width="12.7109375" bestFit="1" customWidth="1"/>
    <col min="20" max="20" width="18.5703125" style="149" bestFit="1" customWidth="1"/>
    <col min="21" max="21" width="33.42578125" bestFit="1" customWidth="1"/>
    <col min="23" max="23" width="13.28515625" style="55" customWidth="1"/>
    <col min="24" max="24" width="8" customWidth="1"/>
    <col min="25" max="27" width="6" customWidth="1"/>
    <col min="28" max="28" width="10.140625" bestFit="1" customWidth="1"/>
    <col min="29" max="29" width="10.28515625" bestFit="1" customWidth="1"/>
  </cols>
  <sheetData>
    <row r="1" spans="1:29" s="19" customFormat="1" x14ac:dyDescent="0.25">
      <c r="A1" s="19" t="s">
        <v>1</v>
      </c>
      <c r="B1" s="19" t="s">
        <v>2</v>
      </c>
      <c r="C1" s="19" t="s">
        <v>4</v>
      </c>
      <c r="D1" s="30" t="s">
        <v>5</v>
      </c>
      <c r="E1" s="30" t="s">
        <v>145</v>
      </c>
      <c r="F1" s="30" t="s">
        <v>60</v>
      </c>
      <c r="G1" s="19" t="s">
        <v>3</v>
      </c>
      <c r="H1" s="19" t="s">
        <v>6</v>
      </c>
      <c r="I1" s="30" t="s">
        <v>7</v>
      </c>
      <c r="J1" s="30" t="s">
        <v>144</v>
      </c>
      <c r="K1" s="30" t="s">
        <v>61</v>
      </c>
      <c r="L1" s="19" t="s">
        <v>84</v>
      </c>
      <c r="M1" s="19" t="s">
        <v>38</v>
      </c>
      <c r="P1" s="55"/>
      <c r="Q1"/>
      <c r="T1" s="147" t="s">
        <v>157</v>
      </c>
      <c r="W1" s="155" t="s">
        <v>209</v>
      </c>
      <c r="X1" s="156" t="s">
        <v>210</v>
      </c>
      <c r="Y1" s="156" t="s">
        <v>211</v>
      </c>
      <c r="Z1" s="156" t="s">
        <v>212</v>
      </c>
      <c r="AA1" s="156" t="s">
        <v>213</v>
      </c>
      <c r="AB1" s="156" t="s">
        <v>214</v>
      </c>
      <c r="AC1" s="156" t="s">
        <v>215</v>
      </c>
    </row>
    <row r="2" spans="1:29" x14ac:dyDescent="0.25">
      <c r="A2" s="8" t="s">
        <v>10</v>
      </c>
      <c r="B2" s="1">
        <v>42146</v>
      </c>
      <c r="C2">
        <v>100</v>
      </c>
      <c r="D2" s="2">
        <v>13.1</v>
      </c>
      <c r="E2" s="2">
        <v>0</v>
      </c>
      <c r="F2" s="2">
        <f>C2*D2</f>
        <v>1310</v>
      </c>
      <c r="G2" s="126">
        <v>42199</v>
      </c>
      <c r="H2" s="11">
        <v>52</v>
      </c>
      <c r="I2" s="70">
        <v>10.7</v>
      </c>
      <c r="J2" s="70">
        <v>0</v>
      </c>
      <c r="K2" s="70">
        <f>H2*I2-J2</f>
        <v>556.4</v>
      </c>
      <c r="L2" s="1">
        <v>42241</v>
      </c>
      <c r="M2" s="5">
        <v>12</v>
      </c>
      <c r="O2" s="19" t="s">
        <v>57</v>
      </c>
      <c r="Q2">
        <f>C13-H13</f>
        <v>400</v>
      </c>
      <c r="T2" s="148">
        <v>42285</v>
      </c>
      <c r="U2" t="s">
        <v>185</v>
      </c>
      <c r="W2" s="157">
        <v>42251</v>
      </c>
      <c r="X2" s="17">
        <v>9.39</v>
      </c>
      <c r="Y2" s="17">
        <v>9.64</v>
      </c>
      <c r="Z2" s="17">
        <v>9.3000000000000007</v>
      </c>
      <c r="AA2" s="17">
        <v>9.49</v>
      </c>
      <c r="AB2" s="158">
        <v>48097800</v>
      </c>
      <c r="AC2" s="17">
        <v>9.49</v>
      </c>
    </row>
    <row r="3" spans="1:29" x14ac:dyDescent="0.25">
      <c r="A3" s="32" t="s">
        <v>77</v>
      </c>
      <c r="B3" s="1">
        <v>42151</v>
      </c>
      <c r="C3">
        <v>102</v>
      </c>
      <c r="D3" s="2">
        <v>12.99</v>
      </c>
      <c r="E3" s="2">
        <v>0</v>
      </c>
      <c r="F3" s="2">
        <f t="shared" ref="F3:F12" si="0">C3*D3</f>
        <v>1324.98</v>
      </c>
      <c r="G3" s="110">
        <v>42235</v>
      </c>
      <c r="H3" s="10">
        <v>150</v>
      </c>
      <c r="I3" s="23">
        <v>9.41</v>
      </c>
      <c r="J3" s="23">
        <v>0</v>
      </c>
      <c r="K3" s="23">
        <f t="shared" ref="K3:K4" si="1">H3*I3-J3</f>
        <v>1411.5</v>
      </c>
      <c r="O3" s="19" t="s">
        <v>58</v>
      </c>
      <c r="Q3" s="2">
        <f>(F13-K13-M13)/Q2</f>
        <v>12.064425000000002</v>
      </c>
      <c r="T3" s="148"/>
      <c r="W3" s="157">
        <v>42250</v>
      </c>
      <c r="X3" s="17">
        <v>9.4</v>
      </c>
      <c r="Y3" s="17">
        <v>9.75</v>
      </c>
      <c r="Z3" s="17">
        <v>9.35</v>
      </c>
      <c r="AA3" s="17">
        <v>9.57</v>
      </c>
      <c r="AB3" s="158">
        <v>28178300</v>
      </c>
      <c r="AC3" s="17">
        <v>9.57</v>
      </c>
    </row>
    <row r="4" spans="1:29" x14ac:dyDescent="0.25">
      <c r="B4" s="1">
        <v>42152</v>
      </c>
      <c r="C4">
        <v>50</v>
      </c>
      <c r="D4" s="2">
        <v>12.94</v>
      </c>
      <c r="E4" s="2">
        <v>0</v>
      </c>
      <c r="F4" s="2">
        <f t="shared" si="0"/>
        <v>647</v>
      </c>
      <c r="G4" s="123">
        <v>42256</v>
      </c>
      <c r="H4" s="69">
        <v>300</v>
      </c>
      <c r="I4" s="69">
        <v>9.6999999999999993</v>
      </c>
      <c r="J4" s="69">
        <v>0.05</v>
      </c>
      <c r="K4" s="69">
        <f t="shared" si="1"/>
        <v>2909.95</v>
      </c>
      <c r="O4" s="19" t="s">
        <v>66</v>
      </c>
      <c r="Q4" s="94">
        <v>9.6300000000000008</v>
      </c>
      <c r="W4" s="157">
        <v>42249</v>
      </c>
      <c r="X4" s="17">
        <v>9.39</v>
      </c>
      <c r="Y4" s="17">
        <v>9.39</v>
      </c>
      <c r="Z4" s="17">
        <v>9.01</v>
      </c>
      <c r="AA4" s="17">
        <v>9.32</v>
      </c>
      <c r="AB4" s="158">
        <v>40290600</v>
      </c>
      <c r="AC4" s="17">
        <v>9.32</v>
      </c>
    </row>
    <row r="5" spans="1:29" x14ac:dyDescent="0.25">
      <c r="B5" s="1">
        <v>42166</v>
      </c>
      <c r="C5">
        <v>48</v>
      </c>
      <c r="D5" s="2">
        <v>12.3</v>
      </c>
      <c r="E5" s="2">
        <v>0</v>
      </c>
      <c r="F5" s="2">
        <f t="shared" si="0"/>
        <v>590.40000000000009</v>
      </c>
      <c r="O5" s="19" t="s">
        <v>67</v>
      </c>
      <c r="Q5" s="5">
        <f>Q4*Q2</f>
        <v>3852.0000000000005</v>
      </c>
      <c r="W5" s="157">
        <v>42248</v>
      </c>
      <c r="X5" s="17">
        <v>9.15</v>
      </c>
      <c r="Y5" s="17">
        <v>9.32</v>
      </c>
      <c r="Z5" s="17">
        <v>9.07</v>
      </c>
      <c r="AA5" s="17">
        <v>9.2200000000000006</v>
      </c>
      <c r="AB5" s="158">
        <v>32615500</v>
      </c>
      <c r="AC5" s="17">
        <v>9.2200000000000006</v>
      </c>
    </row>
    <row r="6" spans="1:29" x14ac:dyDescent="0.25">
      <c r="B6" s="1">
        <v>42180</v>
      </c>
      <c r="C6">
        <v>50</v>
      </c>
      <c r="D6" s="2">
        <v>11.7</v>
      </c>
      <c r="E6" s="2">
        <v>0</v>
      </c>
      <c r="F6" s="2">
        <f t="shared" si="0"/>
        <v>585</v>
      </c>
      <c r="O6" s="19" t="s">
        <v>64</v>
      </c>
      <c r="Q6" s="2">
        <f>Q3*Q2</f>
        <v>4825.7700000000004</v>
      </c>
      <c r="W6" s="157">
        <v>42247</v>
      </c>
      <c r="X6" s="17">
        <v>9.27</v>
      </c>
      <c r="Y6" s="17">
        <v>9.5299999999999994</v>
      </c>
      <c r="Z6" s="17">
        <v>9.2200000000000006</v>
      </c>
      <c r="AA6" s="17">
        <v>9.4499999999999993</v>
      </c>
      <c r="AB6" s="158">
        <v>30435400</v>
      </c>
      <c r="AC6" s="17">
        <v>9.4499999999999993</v>
      </c>
    </row>
    <row r="7" spans="1:29" x14ac:dyDescent="0.25">
      <c r="B7" s="1">
        <v>42198</v>
      </c>
      <c r="C7">
        <v>50</v>
      </c>
      <c r="D7" s="2">
        <v>10.5</v>
      </c>
      <c r="E7" s="2">
        <v>0</v>
      </c>
      <c r="F7" s="2">
        <f t="shared" si="0"/>
        <v>525</v>
      </c>
      <c r="O7" s="19" t="s">
        <v>65</v>
      </c>
      <c r="Q7" s="2">
        <f>Q5-Q6+M13</f>
        <v>-961.77</v>
      </c>
      <c r="W7" s="157">
        <v>42244</v>
      </c>
      <c r="X7" s="17">
        <v>8.8800000000000008</v>
      </c>
      <c r="Y7" s="17">
        <v>9.42</v>
      </c>
      <c r="Z7" s="17">
        <v>8.8000000000000007</v>
      </c>
      <c r="AA7" s="17">
        <v>9.41</v>
      </c>
      <c r="AB7" s="158">
        <v>42041400</v>
      </c>
      <c r="AC7" s="17">
        <v>9.41</v>
      </c>
    </row>
    <row r="8" spans="1:29" x14ac:dyDescent="0.25">
      <c r="B8" s="126">
        <v>42205</v>
      </c>
      <c r="C8" s="11">
        <v>20</v>
      </c>
      <c r="D8" s="70">
        <v>10.56</v>
      </c>
      <c r="E8" s="70">
        <v>0</v>
      </c>
      <c r="F8" s="70">
        <f t="shared" si="0"/>
        <v>211.20000000000002</v>
      </c>
      <c r="W8" s="157">
        <v>42243</v>
      </c>
      <c r="X8" s="17">
        <v>8.4</v>
      </c>
      <c r="Y8" s="17">
        <v>8.92</v>
      </c>
      <c r="Z8" s="17">
        <v>8.3800000000000008</v>
      </c>
      <c r="AA8" s="17">
        <v>8.86</v>
      </c>
      <c r="AB8" s="158">
        <v>27250500</v>
      </c>
      <c r="AC8" s="17">
        <v>8.86</v>
      </c>
    </row>
    <row r="9" spans="1:29" x14ac:dyDescent="0.25">
      <c r="B9" s="126">
        <v>42208</v>
      </c>
      <c r="C9" s="11">
        <v>32</v>
      </c>
      <c r="D9" s="70">
        <v>10.220000000000001</v>
      </c>
      <c r="E9" s="70">
        <v>0</v>
      </c>
      <c r="F9" s="70">
        <f t="shared" si="0"/>
        <v>327.04000000000002</v>
      </c>
      <c r="W9" s="157">
        <v>42242</v>
      </c>
      <c r="X9" s="17">
        <v>8.26</v>
      </c>
      <c r="Y9" s="17">
        <v>8.2899999999999991</v>
      </c>
      <c r="Z9" s="17">
        <v>8.02</v>
      </c>
      <c r="AA9" s="17">
        <v>8.26</v>
      </c>
      <c r="AB9" s="158">
        <v>27639500</v>
      </c>
      <c r="AC9" s="17">
        <v>8.26</v>
      </c>
    </row>
    <row r="10" spans="1:29" x14ac:dyDescent="0.25">
      <c r="B10" s="123">
        <v>42230</v>
      </c>
      <c r="C10" s="9">
        <v>100</v>
      </c>
      <c r="D10" s="69">
        <v>9.58</v>
      </c>
      <c r="E10" s="69">
        <v>0</v>
      </c>
      <c r="F10" s="69">
        <f t="shared" si="0"/>
        <v>958</v>
      </c>
      <c r="W10" s="157">
        <v>42241</v>
      </c>
      <c r="X10" s="17">
        <v>8.6300000000000008</v>
      </c>
      <c r="Y10" s="17">
        <v>8.66</v>
      </c>
      <c r="Z10" s="17">
        <v>8.11</v>
      </c>
      <c r="AA10" s="17">
        <v>8.11</v>
      </c>
      <c r="AB10" s="158">
        <v>26058000</v>
      </c>
      <c r="AC10" s="17">
        <v>8.11</v>
      </c>
    </row>
    <row r="11" spans="1:29" x14ac:dyDescent="0.25">
      <c r="B11" s="110">
        <v>42233</v>
      </c>
      <c r="C11" s="10">
        <v>150</v>
      </c>
      <c r="D11" s="23">
        <v>9.3000000000000007</v>
      </c>
      <c r="E11" s="23">
        <v>0</v>
      </c>
      <c r="F11" s="23">
        <f t="shared" si="0"/>
        <v>1395</v>
      </c>
      <c r="W11" s="157">
        <v>42240</v>
      </c>
      <c r="X11" s="17">
        <v>8.1999999999999993</v>
      </c>
      <c r="Y11" s="17">
        <v>8.5399999999999991</v>
      </c>
      <c r="Z11" s="17">
        <v>7.97</v>
      </c>
      <c r="AA11" s="17">
        <v>8.1999999999999993</v>
      </c>
      <c r="AB11" s="158">
        <v>41042900</v>
      </c>
      <c r="AC11" s="17">
        <v>8.1999999999999993</v>
      </c>
    </row>
    <row r="12" spans="1:29" x14ac:dyDescent="0.25">
      <c r="B12" s="123">
        <v>42240</v>
      </c>
      <c r="C12" s="9">
        <v>200</v>
      </c>
      <c r="D12" s="69">
        <v>9.2100000000000009</v>
      </c>
      <c r="E12" s="69">
        <v>0</v>
      </c>
      <c r="F12" s="69">
        <f t="shared" si="0"/>
        <v>1842.0000000000002</v>
      </c>
      <c r="W12" s="157">
        <v>42237</v>
      </c>
      <c r="X12" s="17">
        <v>8.9700000000000006</v>
      </c>
      <c r="Y12" s="17">
        <v>8.98</v>
      </c>
      <c r="Z12" s="17">
        <v>8.73</v>
      </c>
      <c r="AA12" s="17">
        <v>8.73</v>
      </c>
      <c r="AB12" s="158">
        <v>25138900</v>
      </c>
      <c r="AC12" s="17">
        <v>8.73</v>
      </c>
    </row>
    <row r="13" spans="1:29" x14ac:dyDescent="0.25">
      <c r="A13" s="53" t="s">
        <v>110</v>
      </c>
      <c r="B13" s="22"/>
      <c r="C13" s="22">
        <f>SUM(C2:C12)</f>
        <v>902</v>
      </c>
      <c r="D13" s="27"/>
      <c r="E13" s="27"/>
      <c r="F13" s="27">
        <f>SUM(F2:F12)</f>
        <v>9715.6200000000008</v>
      </c>
      <c r="G13" s="22"/>
      <c r="H13" s="22">
        <f>SUM(H2:H9)</f>
        <v>502</v>
      </c>
      <c r="I13" s="27"/>
      <c r="J13" s="27"/>
      <c r="K13" s="27">
        <f>SUM(K2:K9)</f>
        <v>4877.8500000000004</v>
      </c>
      <c r="L13" s="27"/>
      <c r="M13" s="27">
        <f t="shared" ref="M13" si="2">SUM(M2:M9)</f>
        <v>12</v>
      </c>
      <c r="W13" s="157">
        <v>42236</v>
      </c>
      <c r="X13" s="17">
        <v>9.19</v>
      </c>
      <c r="Y13" s="17">
        <v>9.2200000000000006</v>
      </c>
      <c r="Z13" s="17">
        <v>8.98</v>
      </c>
      <c r="AA13" s="17">
        <v>9.0299999999999994</v>
      </c>
      <c r="AB13" s="158">
        <v>17657900</v>
      </c>
      <c r="AC13" s="17">
        <v>9.0299999999999994</v>
      </c>
    </row>
    <row r="14" spans="1:29" x14ac:dyDescent="0.25">
      <c r="T14" s="147"/>
      <c r="U14" s="19"/>
      <c r="W14" s="157">
        <v>42235</v>
      </c>
      <c r="X14" s="17">
        <v>9.18</v>
      </c>
      <c r="Y14" s="17">
        <v>9.2899999999999991</v>
      </c>
      <c r="Z14" s="17">
        <v>9.1</v>
      </c>
      <c r="AA14" s="17">
        <v>9.11</v>
      </c>
      <c r="AB14" s="158">
        <v>18581600</v>
      </c>
      <c r="AC14" s="17">
        <v>9.11</v>
      </c>
    </row>
    <row r="15" spans="1:29" x14ac:dyDescent="0.25">
      <c r="W15" s="157">
        <v>42234</v>
      </c>
      <c r="X15" s="17">
        <v>9.3000000000000007</v>
      </c>
      <c r="Y15" s="17">
        <v>9.36</v>
      </c>
      <c r="Z15" s="17">
        <v>9.24</v>
      </c>
      <c r="AA15" s="17">
        <v>9.27</v>
      </c>
      <c r="AB15" s="158">
        <v>16213100</v>
      </c>
      <c r="AC15" s="17">
        <v>9.27</v>
      </c>
    </row>
    <row r="16" spans="1:29" x14ac:dyDescent="0.25">
      <c r="G16" s="2"/>
      <c r="W16" s="157">
        <v>42233</v>
      </c>
      <c r="X16" s="17">
        <v>9.31</v>
      </c>
      <c r="Y16" s="17">
        <v>9.49</v>
      </c>
      <c r="Z16" s="17">
        <v>9.26</v>
      </c>
      <c r="AA16" s="17">
        <v>9.43</v>
      </c>
      <c r="AB16" s="158">
        <v>9865300</v>
      </c>
      <c r="AC16" s="17">
        <v>9.43</v>
      </c>
    </row>
    <row r="17" spans="15:29" x14ac:dyDescent="0.25">
      <c r="W17" s="157">
        <v>42230</v>
      </c>
      <c r="X17" s="17">
        <v>9.32</v>
      </c>
      <c r="Y17" s="17">
        <v>9.43</v>
      </c>
      <c r="Z17" s="17">
        <v>9.2799999999999994</v>
      </c>
      <c r="AA17" s="17">
        <v>9.41</v>
      </c>
      <c r="AB17" s="158">
        <v>13221600</v>
      </c>
      <c r="AC17" s="17">
        <v>9.41</v>
      </c>
    </row>
    <row r="18" spans="15:29" x14ac:dyDescent="0.25">
      <c r="W18" s="157">
        <v>42229</v>
      </c>
      <c r="X18" s="17">
        <v>9.52</v>
      </c>
      <c r="Y18" s="17">
        <v>9.52</v>
      </c>
      <c r="Z18" s="17">
        <v>9.3000000000000007</v>
      </c>
      <c r="AA18" s="17">
        <v>9.31</v>
      </c>
      <c r="AB18" s="158">
        <v>14429800</v>
      </c>
      <c r="AC18" s="17">
        <v>9.31</v>
      </c>
    </row>
    <row r="19" spans="15:29" x14ac:dyDescent="0.25">
      <c r="W19" s="157">
        <v>42228</v>
      </c>
      <c r="X19" s="17">
        <v>9.39</v>
      </c>
      <c r="Y19" s="17">
        <v>9.56</v>
      </c>
      <c r="Z19" s="17">
        <v>9.2799999999999994</v>
      </c>
      <c r="AA19" s="17">
        <v>9.51</v>
      </c>
      <c r="AB19" s="158">
        <v>28685600</v>
      </c>
      <c r="AC19" s="17">
        <v>9.51</v>
      </c>
    </row>
    <row r="20" spans="15:29" ht="20.25" thickBot="1" x14ac:dyDescent="0.35">
      <c r="O20" s="19"/>
      <c r="P20" s="201" t="s">
        <v>85</v>
      </c>
      <c r="Q20" s="201"/>
      <c r="R20" s="55"/>
      <c r="T20" s="154" t="s">
        <v>208</v>
      </c>
      <c r="W20" s="157">
        <v>42227</v>
      </c>
      <c r="X20" s="17">
        <v>9.6999999999999993</v>
      </c>
      <c r="Y20" s="17">
        <v>9.74</v>
      </c>
      <c r="Z20" s="17">
        <v>9.42</v>
      </c>
      <c r="AA20" s="17">
        <v>9.48</v>
      </c>
      <c r="AB20" s="158">
        <v>39681000</v>
      </c>
      <c r="AC20" s="17">
        <v>9.48</v>
      </c>
    </row>
    <row r="21" spans="15:29" ht="15.75" thickTop="1" x14ac:dyDescent="0.25">
      <c r="O21" s="2"/>
      <c r="P21" s="146">
        <v>1.1000000000000001</v>
      </c>
      <c r="Q21" s="146">
        <f>P21*$Q$4</f>
        <v>10.593000000000002</v>
      </c>
      <c r="R21" s="55"/>
      <c r="T21" s="150" t="s">
        <v>186</v>
      </c>
      <c r="U21" s="151">
        <v>9.57</v>
      </c>
      <c r="W21" s="157">
        <v>42226</v>
      </c>
      <c r="X21" s="17">
        <v>9.5299999999999994</v>
      </c>
      <c r="Y21" s="17">
        <v>10.09</v>
      </c>
      <c r="Z21" s="17">
        <v>9.41</v>
      </c>
      <c r="AA21" s="17">
        <v>10.08</v>
      </c>
      <c r="AB21" s="158">
        <v>27910500</v>
      </c>
      <c r="AC21" s="17">
        <v>10.08</v>
      </c>
    </row>
    <row r="22" spans="15:29" x14ac:dyDescent="0.25">
      <c r="O22" s="2"/>
      <c r="P22" s="146">
        <v>1.0900000000000001</v>
      </c>
      <c r="Q22" s="146">
        <f t="shared" ref="Q22:Q41" si="3">P22*$Q$4</f>
        <v>10.496700000000002</v>
      </c>
      <c r="R22" s="55"/>
      <c r="T22" s="150" t="s">
        <v>187</v>
      </c>
      <c r="U22" s="151">
        <v>9.39</v>
      </c>
      <c r="W22" s="157">
        <v>42223</v>
      </c>
      <c r="X22" s="17">
        <v>9.82</v>
      </c>
      <c r="Y22" s="17">
        <v>10.06</v>
      </c>
      <c r="Z22" s="17">
        <v>9.36</v>
      </c>
      <c r="AA22" s="17">
        <v>9.41</v>
      </c>
      <c r="AB22" s="158">
        <v>33190200</v>
      </c>
      <c r="AC22" s="17">
        <v>9.41</v>
      </c>
    </row>
    <row r="23" spans="15:29" x14ac:dyDescent="0.25">
      <c r="O23" s="2"/>
      <c r="P23" s="146">
        <v>1.08</v>
      </c>
      <c r="Q23" s="146">
        <f t="shared" si="3"/>
        <v>10.400400000000001</v>
      </c>
      <c r="R23" s="55"/>
      <c r="T23" s="150" t="s">
        <v>188</v>
      </c>
      <c r="U23" s="151" t="s">
        <v>199</v>
      </c>
      <c r="W23" s="157">
        <v>42222</v>
      </c>
      <c r="X23" s="17">
        <v>9.76</v>
      </c>
      <c r="Y23" s="17">
        <v>9.9600000000000009</v>
      </c>
      <c r="Z23" s="17">
        <v>9.64</v>
      </c>
      <c r="AA23" s="17">
        <v>9.91</v>
      </c>
      <c r="AB23" s="158">
        <v>22662000</v>
      </c>
      <c r="AC23" s="17">
        <v>9.91</v>
      </c>
    </row>
    <row r="24" spans="15:29" x14ac:dyDescent="0.25">
      <c r="O24" s="2"/>
      <c r="P24" s="146">
        <v>1.07</v>
      </c>
      <c r="Q24" s="146">
        <f t="shared" si="3"/>
        <v>10.304100000000002</v>
      </c>
      <c r="R24" s="146"/>
      <c r="T24" s="150" t="s">
        <v>189</v>
      </c>
      <c r="U24" s="151" t="s">
        <v>200</v>
      </c>
      <c r="W24" s="157">
        <v>42221</v>
      </c>
      <c r="X24" s="17">
        <v>9.91</v>
      </c>
      <c r="Y24" s="17">
        <v>10.15</v>
      </c>
      <c r="Z24" s="17">
        <v>9.75</v>
      </c>
      <c r="AA24" s="17">
        <v>9.76</v>
      </c>
      <c r="AB24" s="158">
        <v>24967600</v>
      </c>
      <c r="AC24" s="17">
        <v>9.76</v>
      </c>
    </row>
    <row r="25" spans="15:29" x14ac:dyDescent="0.25">
      <c r="O25" s="2"/>
      <c r="P25" s="146">
        <v>1.06</v>
      </c>
      <c r="Q25" s="146">
        <f t="shared" si="3"/>
        <v>10.207800000000001</v>
      </c>
      <c r="R25" s="146"/>
      <c r="T25" s="150" t="s">
        <v>190</v>
      </c>
      <c r="U25" s="151">
        <v>13.62</v>
      </c>
      <c r="W25" s="157">
        <v>42221</v>
      </c>
      <c r="X25" s="17" t="s">
        <v>216</v>
      </c>
      <c r="Y25" s="17"/>
      <c r="Z25" s="17"/>
      <c r="AA25" s="17"/>
      <c r="AB25" s="17"/>
      <c r="AC25" s="17"/>
    </row>
    <row r="26" spans="15:29" x14ac:dyDescent="0.25">
      <c r="O26" s="2"/>
      <c r="P26" s="146">
        <v>1.05</v>
      </c>
      <c r="Q26" s="146">
        <f t="shared" si="3"/>
        <v>10.111500000000001</v>
      </c>
      <c r="R26" s="146"/>
      <c r="T26" s="150" t="s">
        <v>191</v>
      </c>
      <c r="U26" s="151">
        <v>3.3125800000000001</v>
      </c>
      <c r="W26" s="157">
        <v>42220</v>
      </c>
      <c r="X26" s="17">
        <v>9.94</v>
      </c>
      <c r="Y26" s="17">
        <v>10.07</v>
      </c>
      <c r="Z26" s="17">
        <v>9.68</v>
      </c>
      <c r="AA26" s="17">
        <v>9.73</v>
      </c>
      <c r="AB26" s="158">
        <v>24551600</v>
      </c>
      <c r="AC26" s="17">
        <v>9.6999999999999993</v>
      </c>
    </row>
    <row r="27" spans="15:29" x14ac:dyDescent="0.25">
      <c r="O27" s="2"/>
      <c r="P27" s="146">
        <v>1.04</v>
      </c>
      <c r="Q27" s="146">
        <f t="shared" si="3"/>
        <v>10.015200000000002</v>
      </c>
      <c r="R27" s="146"/>
      <c r="T27" s="150" t="s">
        <v>192</v>
      </c>
      <c r="U27" s="152" t="s">
        <v>201</v>
      </c>
      <c r="W27" s="157">
        <v>42219</v>
      </c>
      <c r="X27" s="17">
        <v>9.82</v>
      </c>
      <c r="Y27" s="17">
        <v>9.82</v>
      </c>
      <c r="Z27" s="17">
        <v>9.58</v>
      </c>
      <c r="AA27" s="17">
        <v>9.64</v>
      </c>
      <c r="AB27" s="158">
        <v>21546200</v>
      </c>
      <c r="AC27" s="17">
        <v>9.61</v>
      </c>
    </row>
    <row r="28" spans="15:29" x14ac:dyDescent="0.25">
      <c r="O28" s="2"/>
      <c r="P28" s="146">
        <v>1.03</v>
      </c>
      <c r="Q28" s="146">
        <f t="shared" si="3"/>
        <v>9.9189000000000007</v>
      </c>
      <c r="R28" s="146"/>
      <c r="T28" s="150"/>
      <c r="U28" s="151"/>
      <c r="W28" s="157">
        <v>42216</v>
      </c>
      <c r="X28" s="17">
        <v>10.09</v>
      </c>
      <c r="Y28" s="17">
        <v>10.14</v>
      </c>
      <c r="Z28" s="17">
        <v>9.86</v>
      </c>
      <c r="AA28" s="17">
        <v>9.8699999999999992</v>
      </c>
      <c r="AB28" s="158">
        <v>18334500</v>
      </c>
      <c r="AC28" s="17">
        <v>9.84</v>
      </c>
    </row>
    <row r="29" spans="15:29" x14ac:dyDescent="0.25">
      <c r="O29" s="2"/>
      <c r="P29" s="146">
        <v>1.02</v>
      </c>
      <c r="Q29" s="146">
        <f t="shared" si="3"/>
        <v>9.8226000000000013</v>
      </c>
      <c r="R29" s="146"/>
      <c r="T29" s="150" t="s">
        <v>193</v>
      </c>
      <c r="U29" s="151" t="s">
        <v>202</v>
      </c>
      <c r="W29" s="157">
        <v>42215</v>
      </c>
      <c r="X29" s="17">
        <v>10.19</v>
      </c>
      <c r="Y29" s="17">
        <v>10.25</v>
      </c>
      <c r="Z29" s="17">
        <v>9.8800000000000008</v>
      </c>
      <c r="AA29" s="17">
        <v>9.98</v>
      </c>
      <c r="AB29" s="158">
        <v>19834700</v>
      </c>
      <c r="AC29" s="17">
        <v>9.9499999999999993</v>
      </c>
    </row>
    <row r="30" spans="15:29" x14ac:dyDescent="0.25">
      <c r="O30" s="2"/>
      <c r="P30" s="146">
        <v>1.01</v>
      </c>
      <c r="Q30" s="146">
        <f t="shared" si="3"/>
        <v>9.7263000000000002</v>
      </c>
      <c r="R30" s="146"/>
      <c r="T30" s="150" t="s">
        <v>194</v>
      </c>
      <c r="U30" s="151" t="s">
        <v>203</v>
      </c>
      <c r="W30" s="157">
        <v>42214</v>
      </c>
      <c r="X30" s="17">
        <v>9.92</v>
      </c>
      <c r="Y30" s="17">
        <v>10.220000000000001</v>
      </c>
      <c r="Z30" s="17">
        <v>9.89</v>
      </c>
      <c r="AA30" s="17">
        <v>10.16</v>
      </c>
      <c r="AB30" s="158">
        <v>31605600</v>
      </c>
      <c r="AC30" s="17">
        <v>10.130000000000001</v>
      </c>
    </row>
    <row r="31" spans="15:29" x14ac:dyDescent="0.25">
      <c r="O31" s="2"/>
      <c r="P31" s="146">
        <v>1</v>
      </c>
      <c r="Q31" s="146">
        <f t="shared" si="3"/>
        <v>9.6300000000000008</v>
      </c>
      <c r="R31" s="146"/>
      <c r="T31" s="150" t="s">
        <v>195</v>
      </c>
      <c r="U31" s="153">
        <v>48098516</v>
      </c>
      <c r="W31" s="157">
        <v>42213</v>
      </c>
      <c r="X31" s="17">
        <v>9.75</v>
      </c>
      <c r="Y31" s="17">
        <v>9.93</v>
      </c>
      <c r="Z31" s="17">
        <v>9.61</v>
      </c>
      <c r="AA31" s="17">
        <v>9.8699999999999992</v>
      </c>
      <c r="AB31" s="158">
        <v>27138600</v>
      </c>
      <c r="AC31" s="17">
        <v>9.84</v>
      </c>
    </row>
    <row r="32" spans="15:29" x14ac:dyDescent="0.25">
      <c r="O32" s="2"/>
      <c r="P32" s="146">
        <v>0.99</v>
      </c>
      <c r="Q32" s="146">
        <f t="shared" si="3"/>
        <v>9.5337000000000014</v>
      </c>
      <c r="R32" s="146"/>
      <c r="T32" s="150" t="s">
        <v>204</v>
      </c>
      <c r="U32" s="153">
        <v>23662100</v>
      </c>
      <c r="W32" s="157">
        <v>42212</v>
      </c>
      <c r="X32" s="17">
        <v>9.7100000000000009</v>
      </c>
      <c r="Y32" s="17">
        <v>9.99</v>
      </c>
      <c r="Z32" s="17">
        <v>9.59</v>
      </c>
      <c r="AA32" s="17">
        <v>9.6199999999999992</v>
      </c>
      <c r="AB32" s="158">
        <v>27877700</v>
      </c>
      <c r="AC32" s="17">
        <v>9.59</v>
      </c>
    </row>
    <row r="33" spans="15:29" x14ac:dyDescent="0.25">
      <c r="O33" s="2"/>
      <c r="P33" s="146">
        <v>0.98</v>
      </c>
      <c r="Q33" s="146">
        <f t="shared" si="3"/>
        <v>9.4374000000000002</v>
      </c>
      <c r="R33" s="146"/>
      <c r="T33" s="150" t="s">
        <v>196</v>
      </c>
      <c r="U33" s="151" t="s">
        <v>197</v>
      </c>
      <c r="W33" s="157">
        <v>42209</v>
      </c>
      <c r="X33" s="17">
        <v>9.91</v>
      </c>
      <c r="Y33" s="17">
        <v>9.91</v>
      </c>
      <c r="Z33" s="17">
        <v>9.65</v>
      </c>
      <c r="AA33" s="17">
        <v>9.81</v>
      </c>
      <c r="AB33" s="158">
        <v>27614400</v>
      </c>
      <c r="AC33" s="17">
        <v>9.7799999999999994</v>
      </c>
    </row>
    <row r="34" spans="15:29" x14ac:dyDescent="0.25">
      <c r="O34" s="2"/>
      <c r="P34" s="146">
        <v>0.97</v>
      </c>
      <c r="Q34" s="146">
        <f t="shared" si="3"/>
        <v>9.3411000000000008</v>
      </c>
      <c r="R34" s="146"/>
      <c r="T34" s="150" t="s">
        <v>205</v>
      </c>
      <c r="U34" s="151">
        <v>19.77</v>
      </c>
      <c r="W34" s="157">
        <v>42208</v>
      </c>
      <c r="X34" s="17">
        <v>10.09</v>
      </c>
      <c r="Y34" s="17">
        <v>10.19</v>
      </c>
      <c r="Z34" s="17">
        <v>9.9</v>
      </c>
      <c r="AA34" s="17">
        <v>9.9600000000000009</v>
      </c>
      <c r="AB34" s="158">
        <v>21993800</v>
      </c>
      <c r="AC34" s="17">
        <v>9.93</v>
      </c>
    </row>
    <row r="35" spans="15:29" x14ac:dyDescent="0.25">
      <c r="O35" s="2"/>
      <c r="P35" s="146">
        <v>0.96</v>
      </c>
      <c r="Q35" s="146">
        <f t="shared" si="3"/>
        <v>9.2447999999999997</v>
      </c>
      <c r="R35" s="146"/>
      <c r="T35" s="150" t="s">
        <v>206</v>
      </c>
      <c r="U35" s="151">
        <v>0.48</v>
      </c>
      <c r="W35" s="157">
        <v>42207</v>
      </c>
      <c r="X35" s="17">
        <v>10.16</v>
      </c>
      <c r="Y35" s="17">
        <v>10.16</v>
      </c>
      <c r="Z35" s="17">
        <v>9.9600000000000009</v>
      </c>
      <c r="AA35" s="17">
        <v>9.99</v>
      </c>
      <c r="AB35" s="158">
        <v>40629000</v>
      </c>
      <c r="AC35" s="17">
        <v>9.9600000000000009</v>
      </c>
    </row>
    <row r="36" spans="15:29" x14ac:dyDescent="0.25">
      <c r="O36" s="2"/>
      <c r="P36" s="146">
        <v>0.95</v>
      </c>
      <c r="Q36" s="146">
        <f t="shared" si="3"/>
        <v>9.1485000000000003</v>
      </c>
      <c r="R36" s="146"/>
      <c r="T36" s="150" t="s">
        <v>198</v>
      </c>
      <c r="U36" s="151" t="s">
        <v>207</v>
      </c>
      <c r="W36" s="157">
        <v>42206</v>
      </c>
      <c r="X36" s="17">
        <v>10.199999999999999</v>
      </c>
      <c r="Y36" s="17">
        <v>10.44</v>
      </c>
      <c r="Z36" s="17">
        <v>10.16</v>
      </c>
      <c r="AA36" s="17">
        <v>10.23</v>
      </c>
      <c r="AB36" s="158">
        <v>24257300</v>
      </c>
      <c r="AC36" s="17">
        <v>10.199999999999999</v>
      </c>
    </row>
    <row r="37" spans="15:29" x14ac:dyDescent="0.25">
      <c r="O37" s="2"/>
      <c r="P37" s="146">
        <v>0.94</v>
      </c>
      <c r="Q37" s="146">
        <f t="shared" si="3"/>
        <v>9.0522000000000009</v>
      </c>
      <c r="R37" s="146"/>
      <c r="W37" s="157">
        <v>42205</v>
      </c>
      <c r="X37" s="17">
        <v>10.45</v>
      </c>
      <c r="Y37" s="17">
        <v>10.47</v>
      </c>
      <c r="Z37" s="17">
        <v>10.18</v>
      </c>
      <c r="AA37" s="17">
        <v>10.199999999999999</v>
      </c>
      <c r="AB37" s="158">
        <v>22766800</v>
      </c>
      <c r="AC37" s="17">
        <v>10.17</v>
      </c>
    </row>
    <row r="38" spans="15:29" x14ac:dyDescent="0.25">
      <c r="O38" s="2"/>
      <c r="P38" s="146">
        <v>0.93</v>
      </c>
      <c r="Q38" s="146">
        <f t="shared" si="3"/>
        <v>8.9559000000000015</v>
      </c>
      <c r="R38" s="146"/>
      <c r="W38" s="157">
        <v>42202</v>
      </c>
      <c r="X38" s="17">
        <v>10.49</v>
      </c>
      <c r="Y38" s="17">
        <v>10.55</v>
      </c>
      <c r="Z38" s="17">
        <v>10.36</v>
      </c>
      <c r="AA38" s="17">
        <v>10.49</v>
      </c>
      <c r="AB38" s="158">
        <v>16003600</v>
      </c>
      <c r="AC38" s="17">
        <v>10.46</v>
      </c>
    </row>
    <row r="39" spans="15:29" x14ac:dyDescent="0.25">
      <c r="O39" s="2"/>
      <c r="P39" s="146">
        <v>0.92</v>
      </c>
      <c r="Q39" s="146">
        <f t="shared" si="3"/>
        <v>8.8596000000000004</v>
      </c>
      <c r="R39" s="146"/>
      <c r="W39" s="157">
        <v>42201</v>
      </c>
      <c r="X39" s="17">
        <v>10.65</v>
      </c>
      <c r="Y39" s="17">
        <v>10.65</v>
      </c>
      <c r="Z39" s="17">
        <v>10.43</v>
      </c>
      <c r="AA39" s="17">
        <v>10.51</v>
      </c>
      <c r="AB39" s="158">
        <v>16344600</v>
      </c>
      <c r="AC39" s="17">
        <v>10.48</v>
      </c>
    </row>
    <row r="40" spans="15:29" x14ac:dyDescent="0.25">
      <c r="O40" s="2"/>
      <c r="P40" s="146">
        <v>0.91</v>
      </c>
      <c r="Q40" s="146">
        <f t="shared" si="3"/>
        <v>8.763300000000001</v>
      </c>
      <c r="R40" s="146"/>
      <c r="W40" s="157">
        <v>42200</v>
      </c>
      <c r="X40" s="17">
        <v>10.77</v>
      </c>
      <c r="Y40" s="17">
        <v>10.79</v>
      </c>
      <c r="Z40" s="17">
        <v>10.52</v>
      </c>
      <c r="AA40" s="17">
        <v>10.57</v>
      </c>
      <c r="AB40" s="158">
        <v>19278600</v>
      </c>
      <c r="AC40" s="17">
        <v>10.54</v>
      </c>
    </row>
    <row r="41" spans="15:29" x14ac:dyDescent="0.25">
      <c r="O41" s="2"/>
      <c r="P41" s="146">
        <v>0.9</v>
      </c>
      <c r="Q41" s="146">
        <f t="shared" si="3"/>
        <v>8.6670000000000016</v>
      </c>
      <c r="R41" s="146"/>
      <c r="W41" s="157">
        <v>42199</v>
      </c>
      <c r="X41" s="17">
        <v>10.77</v>
      </c>
      <c r="Y41" s="17">
        <v>10.86</v>
      </c>
      <c r="Z41" s="17">
        <v>10.65</v>
      </c>
      <c r="AA41" s="17">
        <v>10.77</v>
      </c>
      <c r="AB41" s="158">
        <v>17365100</v>
      </c>
      <c r="AC41" s="17">
        <v>10.74</v>
      </c>
    </row>
    <row r="42" spans="15:29" x14ac:dyDescent="0.25">
      <c r="R42" s="146"/>
      <c r="W42" s="157">
        <v>42198</v>
      </c>
      <c r="X42" s="17">
        <v>10.77</v>
      </c>
      <c r="Y42" s="17">
        <v>10.84</v>
      </c>
      <c r="Z42" s="17">
        <v>10.69</v>
      </c>
      <c r="AA42" s="17">
        <v>10.82</v>
      </c>
      <c r="AB42" s="158">
        <v>19075700</v>
      </c>
      <c r="AC42" s="17">
        <v>10.79</v>
      </c>
    </row>
    <row r="43" spans="15:29" x14ac:dyDescent="0.25">
      <c r="R43" s="146"/>
      <c r="W43" s="157">
        <v>42195</v>
      </c>
      <c r="X43" s="17">
        <v>10.77</v>
      </c>
      <c r="Y43" s="17">
        <v>10.87</v>
      </c>
      <c r="Z43" s="17">
        <v>10.61</v>
      </c>
      <c r="AA43" s="17">
        <v>10.63</v>
      </c>
      <c r="AB43" s="158">
        <v>23818300</v>
      </c>
      <c r="AC43" s="17">
        <v>10.6</v>
      </c>
    </row>
    <row r="44" spans="15:29" x14ac:dyDescent="0.25">
      <c r="R44" s="146"/>
      <c r="W44" s="157">
        <v>42194</v>
      </c>
      <c r="X44" s="17">
        <v>10.74</v>
      </c>
      <c r="Y44" s="17">
        <v>10.97</v>
      </c>
      <c r="Z44" s="17">
        <v>10.57</v>
      </c>
      <c r="AA44" s="17">
        <v>10.59</v>
      </c>
      <c r="AB44" s="158">
        <v>40237700</v>
      </c>
      <c r="AC44" s="17">
        <v>10.56</v>
      </c>
    </row>
    <row r="45" spans="15:29" x14ac:dyDescent="0.25">
      <c r="W45" s="157">
        <v>42193</v>
      </c>
      <c r="X45" s="17">
        <v>10.95</v>
      </c>
      <c r="Y45" s="17">
        <v>11</v>
      </c>
      <c r="Z45" s="17">
        <v>10.39</v>
      </c>
      <c r="AA45" s="17">
        <v>10.5</v>
      </c>
      <c r="AB45" s="158">
        <v>45976600</v>
      </c>
      <c r="AC45" s="17">
        <v>10.47</v>
      </c>
    </row>
    <row r="46" spans="15:29" x14ac:dyDescent="0.25">
      <c r="W46" s="157">
        <v>42192</v>
      </c>
      <c r="X46" s="17">
        <v>10.96</v>
      </c>
      <c r="Y46" s="17">
        <v>11.11</v>
      </c>
      <c r="Z46" s="17">
        <v>10.58</v>
      </c>
      <c r="AA46" s="17">
        <v>11.06</v>
      </c>
      <c r="AB46" s="158">
        <v>31468600</v>
      </c>
      <c r="AC46" s="17">
        <v>11.03</v>
      </c>
    </row>
    <row r="47" spans="15:29" x14ac:dyDescent="0.25">
      <c r="W47" s="157">
        <v>42191</v>
      </c>
      <c r="X47" s="17">
        <v>10.95</v>
      </c>
      <c r="Y47" s="17">
        <v>11.13</v>
      </c>
      <c r="Z47" s="17">
        <v>10.92</v>
      </c>
      <c r="AA47" s="17">
        <v>11.03</v>
      </c>
      <c r="AB47" s="158">
        <v>18040300</v>
      </c>
      <c r="AC47" s="17">
        <v>11</v>
      </c>
    </row>
    <row r="48" spans="15:29" x14ac:dyDescent="0.25">
      <c r="W48" s="157">
        <v>42187</v>
      </c>
      <c r="X48" s="17">
        <v>11.09</v>
      </c>
      <c r="Y48" s="17">
        <v>11.23</v>
      </c>
      <c r="Z48" s="17">
        <v>11.04</v>
      </c>
      <c r="AA48" s="17">
        <v>11.1</v>
      </c>
      <c r="AB48" s="158">
        <v>14451000</v>
      </c>
      <c r="AC48" s="17">
        <v>11.07</v>
      </c>
    </row>
    <row r="49" spans="23:29" x14ac:dyDescent="0.25">
      <c r="W49" s="157">
        <v>42186</v>
      </c>
      <c r="X49" s="17">
        <v>11.2</v>
      </c>
      <c r="Y49" s="17">
        <v>11.23</v>
      </c>
      <c r="Z49" s="17">
        <v>10.94</v>
      </c>
      <c r="AA49" s="17">
        <v>11.07</v>
      </c>
      <c r="AB49" s="158">
        <v>28330900</v>
      </c>
      <c r="AC49" s="17">
        <v>11.04</v>
      </c>
    </row>
    <row r="50" spans="23:29" x14ac:dyDescent="0.25">
      <c r="W50" s="157">
        <v>42185</v>
      </c>
      <c r="X50" s="17">
        <v>11.45</v>
      </c>
      <c r="Y50" s="17">
        <v>11.5</v>
      </c>
      <c r="Z50" s="17">
        <v>11.15</v>
      </c>
      <c r="AA50" s="17">
        <v>11.15</v>
      </c>
      <c r="AB50" s="158">
        <v>22622900</v>
      </c>
      <c r="AC50" s="17">
        <v>11.12</v>
      </c>
    </row>
    <row r="51" spans="23:29" x14ac:dyDescent="0.25">
      <c r="W51" s="157">
        <v>42184</v>
      </c>
      <c r="X51" s="17">
        <v>11.48</v>
      </c>
      <c r="Y51" s="17">
        <v>11.61</v>
      </c>
      <c r="Z51" s="17">
        <v>11.34</v>
      </c>
      <c r="AA51" s="17">
        <v>11.35</v>
      </c>
      <c r="AB51" s="158">
        <v>19926700</v>
      </c>
      <c r="AC51" s="17">
        <v>11.32</v>
      </c>
    </row>
    <row r="52" spans="23:29" x14ac:dyDescent="0.25">
      <c r="W52" s="157">
        <v>42181</v>
      </c>
      <c r="X52" s="17">
        <v>11.58</v>
      </c>
      <c r="Y52" s="17">
        <v>11.76</v>
      </c>
      <c r="Z52" s="17">
        <v>11.56</v>
      </c>
      <c r="AA52" s="17">
        <v>11.69</v>
      </c>
      <c r="AB52" s="158">
        <v>16253300</v>
      </c>
      <c r="AC52" s="17">
        <v>11.65</v>
      </c>
    </row>
    <row r="53" spans="23:29" x14ac:dyDescent="0.25">
      <c r="W53" s="157">
        <v>42180</v>
      </c>
      <c r="X53" s="17">
        <v>11.76</v>
      </c>
      <c r="Y53" s="17">
        <v>11.77</v>
      </c>
      <c r="Z53" s="17">
        <v>11.55</v>
      </c>
      <c r="AA53" s="17">
        <v>11.57</v>
      </c>
      <c r="AB53" s="158">
        <v>15529600</v>
      </c>
      <c r="AC53" s="17">
        <v>11.53</v>
      </c>
    </row>
    <row r="54" spans="23:29" x14ac:dyDescent="0.25">
      <c r="W54" s="157">
        <v>42179</v>
      </c>
      <c r="X54" s="17">
        <v>11.71</v>
      </c>
      <c r="Y54" s="17">
        <v>11.85</v>
      </c>
      <c r="Z54" s="17">
        <v>11.69</v>
      </c>
      <c r="AA54" s="17">
        <v>11.74</v>
      </c>
      <c r="AB54" s="158">
        <v>18029900</v>
      </c>
      <c r="AC54" s="17">
        <v>11.7</v>
      </c>
    </row>
    <row r="55" spans="23:29" x14ac:dyDescent="0.25">
      <c r="W55" s="157">
        <v>42178</v>
      </c>
      <c r="X55" s="17">
        <v>11.79</v>
      </c>
      <c r="Y55" s="17">
        <v>11.83</v>
      </c>
      <c r="Z55" s="17">
        <v>11.71</v>
      </c>
      <c r="AA55" s="17">
        <v>11.74</v>
      </c>
      <c r="AB55" s="158">
        <v>16465700</v>
      </c>
      <c r="AC55" s="17">
        <v>11.7</v>
      </c>
    </row>
    <row r="56" spans="23:29" x14ac:dyDescent="0.25">
      <c r="W56" s="157">
        <v>42177</v>
      </c>
      <c r="X56" s="17">
        <v>11.9</v>
      </c>
      <c r="Y56" s="17">
        <v>11.9</v>
      </c>
      <c r="Z56" s="17">
        <v>11.69</v>
      </c>
      <c r="AA56" s="17">
        <v>11.76</v>
      </c>
      <c r="AB56" s="158">
        <v>24095500</v>
      </c>
      <c r="AC56" s="17">
        <v>11.72</v>
      </c>
    </row>
    <row r="57" spans="23:29" x14ac:dyDescent="0.25">
      <c r="W57" s="157">
        <v>42174</v>
      </c>
      <c r="X57" s="17">
        <v>11.9</v>
      </c>
      <c r="Y57" s="17">
        <v>12</v>
      </c>
      <c r="Z57" s="17">
        <v>11.86</v>
      </c>
      <c r="AA57" s="17">
        <v>11.93</v>
      </c>
      <c r="AB57" s="158">
        <v>19106600</v>
      </c>
      <c r="AC57" s="17">
        <v>11.89</v>
      </c>
    </row>
    <row r="58" spans="23:29" x14ac:dyDescent="0.25">
      <c r="W58" s="157">
        <v>42173</v>
      </c>
      <c r="X58" s="17">
        <v>12</v>
      </c>
      <c r="Y58" s="17">
        <v>12.07</v>
      </c>
      <c r="Z58" s="17">
        <v>11.87</v>
      </c>
      <c r="AA58" s="17">
        <v>11.92</v>
      </c>
      <c r="AB58" s="158">
        <v>13423800</v>
      </c>
      <c r="AC58" s="17">
        <v>11.88</v>
      </c>
    </row>
    <row r="59" spans="23:29" x14ac:dyDescent="0.25">
      <c r="W59" s="157">
        <v>42172</v>
      </c>
      <c r="X59" s="17">
        <v>12.03</v>
      </c>
      <c r="Y59" s="17">
        <v>12.04</v>
      </c>
      <c r="Z59" s="17">
        <v>11.85</v>
      </c>
      <c r="AA59" s="17">
        <v>11.96</v>
      </c>
      <c r="AB59" s="158">
        <v>14743000</v>
      </c>
      <c r="AC59" s="17">
        <v>11.92</v>
      </c>
    </row>
    <row r="60" spans="23:29" x14ac:dyDescent="0.25">
      <c r="W60" s="157">
        <v>42171</v>
      </c>
      <c r="X60" s="17">
        <v>11.97</v>
      </c>
      <c r="Y60" s="17">
        <v>12.05</v>
      </c>
      <c r="Z60" s="17">
        <v>11.92</v>
      </c>
      <c r="AA60" s="17">
        <v>12.02</v>
      </c>
      <c r="AB60" s="158">
        <v>12010800</v>
      </c>
      <c r="AC60" s="17">
        <v>11.98</v>
      </c>
    </row>
    <row r="61" spans="23:29" x14ac:dyDescent="0.25">
      <c r="W61" s="157">
        <v>42170</v>
      </c>
      <c r="X61" s="17">
        <v>11.97</v>
      </c>
      <c r="Y61" s="17">
        <v>12.11</v>
      </c>
      <c r="Z61" s="17">
        <v>11.92</v>
      </c>
      <c r="AA61" s="17">
        <v>12</v>
      </c>
      <c r="AB61" s="158">
        <v>12755200</v>
      </c>
      <c r="AC61" s="17">
        <v>11.96</v>
      </c>
    </row>
    <row r="62" spans="23:29" x14ac:dyDescent="0.25">
      <c r="W62" s="157">
        <v>42167</v>
      </c>
      <c r="X62" s="17">
        <v>12.07</v>
      </c>
      <c r="Y62" s="17">
        <v>12.16</v>
      </c>
      <c r="Z62" s="17">
        <v>12.02</v>
      </c>
      <c r="AA62" s="17">
        <v>12.06</v>
      </c>
      <c r="AB62" s="158">
        <v>14542300</v>
      </c>
      <c r="AC62" s="17">
        <v>12.02</v>
      </c>
    </row>
    <row r="63" spans="23:29" x14ac:dyDescent="0.25">
      <c r="W63" s="157">
        <v>42166</v>
      </c>
      <c r="X63" s="17">
        <v>12.17</v>
      </c>
      <c r="Y63" s="17">
        <v>12.19</v>
      </c>
      <c r="Z63" s="17">
        <v>12.03</v>
      </c>
      <c r="AA63" s="17">
        <v>12.09</v>
      </c>
      <c r="AB63" s="158">
        <v>15411500</v>
      </c>
      <c r="AC63" s="17">
        <v>12.05</v>
      </c>
    </row>
    <row r="64" spans="23:29" x14ac:dyDescent="0.25">
      <c r="W64" s="157">
        <v>42165</v>
      </c>
      <c r="X64" s="17">
        <v>12.28</v>
      </c>
      <c r="Y64" s="17">
        <v>12.32</v>
      </c>
      <c r="Z64" s="17">
        <v>12.14</v>
      </c>
      <c r="AA64" s="17">
        <v>12.17</v>
      </c>
      <c r="AB64" s="158">
        <v>16315600</v>
      </c>
      <c r="AC64" s="17">
        <v>12.13</v>
      </c>
    </row>
    <row r="65" spans="23:29" x14ac:dyDescent="0.25">
      <c r="W65" s="157">
        <v>42164</v>
      </c>
      <c r="X65" s="17">
        <v>12.27</v>
      </c>
      <c r="Y65" s="17">
        <v>12.34</v>
      </c>
      <c r="Z65" s="17">
        <v>12.15</v>
      </c>
      <c r="AA65" s="17">
        <v>12.19</v>
      </c>
      <c r="AB65" s="158">
        <v>15033700</v>
      </c>
      <c r="AC65" s="17">
        <v>12.15</v>
      </c>
    </row>
    <row r="66" spans="23:29" x14ac:dyDescent="0.25">
      <c r="W66" s="157">
        <v>42163</v>
      </c>
      <c r="X66" s="17">
        <v>12.4</v>
      </c>
      <c r="Y66" s="17">
        <v>12.42</v>
      </c>
      <c r="Z66" s="17">
        <v>12.24</v>
      </c>
      <c r="AA66" s="17">
        <v>12.25</v>
      </c>
      <c r="AB66" s="158">
        <v>17656200</v>
      </c>
      <c r="AC66" s="17">
        <v>12.21</v>
      </c>
    </row>
    <row r="67" spans="23:29" x14ac:dyDescent="0.25">
      <c r="W67" s="157">
        <v>42160</v>
      </c>
      <c r="X67" s="17">
        <v>12.45</v>
      </c>
      <c r="Y67" s="17">
        <v>12.49</v>
      </c>
      <c r="Z67" s="17">
        <v>12.35</v>
      </c>
      <c r="AA67" s="17">
        <v>12.42</v>
      </c>
      <c r="AB67" s="158">
        <v>17257800</v>
      </c>
      <c r="AC67" s="17">
        <v>12.38</v>
      </c>
    </row>
    <row r="68" spans="23:29" x14ac:dyDescent="0.25">
      <c r="W68" s="157">
        <v>42159</v>
      </c>
      <c r="X68" s="17">
        <v>12.53</v>
      </c>
      <c r="Y68" s="17">
        <v>12.65</v>
      </c>
      <c r="Z68" s="17">
        <v>12.47</v>
      </c>
      <c r="AA68" s="17">
        <v>12.5</v>
      </c>
      <c r="AB68" s="158">
        <v>14034000</v>
      </c>
      <c r="AC68" s="17">
        <v>12.46</v>
      </c>
    </row>
    <row r="69" spans="23:29" x14ac:dyDescent="0.25">
      <c r="W69" s="159" t="s">
        <v>217</v>
      </c>
      <c r="X69" s="159"/>
      <c r="Y69" s="159"/>
      <c r="Z69" s="159"/>
      <c r="AA69" s="159"/>
      <c r="AB69" s="159"/>
      <c r="AC69" s="159"/>
    </row>
  </sheetData>
  <mergeCells count="1">
    <mergeCell ref="P20:Q20"/>
  </mergeCells>
  <conditionalFormatting sqref="Q7">
    <cfRule type="expression" dxfId="41" priority="6">
      <formula>Q7&gt;0</formula>
    </cfRule>
    <cfRule type="expression" dxfId="40" priority="7">
      <formula>Q7&lt;0</formula>
    </cfRule>
  </conditionalFormatting>
  <conditionalFormatting sqref="P21:P41">
    <cfRule type="colorScale" priority="10">
      <colorScale>
        <cfvo type="min"/>
        <cfvo type="percentile" val="50"/>
        <cfvo type="max"/>
        <color rgb="FFF8696B"/>
        <color rgb="FFFFEB84"/>
        <color rgb="FF63BE7B"/>
      </colorScale>
    </cfRule>
  </conditionalFormatting>
  <conditionalFormatting sqref="Q21:Q41">
    <cfRule type="colorScale" priority="2">
      <colorScale>
        <cfvo type="min"/>
        <cfvo type="percentile" val="50"/>
        <cfvo type="max"/>
        <color rgb="FFF8696B"/>
        <color rgb="FFFFEB84"/>
        <color rgb="FF63BE7B"/>
      </colorScale>
    </cfRule>
  </conditionalFormatting>
  <conditionalFormatting sqref="R24:R4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c r="F1" s="30" t="s">
        <v>60</v>
      </c>
      <c r="G1" s="19" t="s">
        <v>3</v>
      </c>
      <c r="H1" s="19" t="s">
        <v>6</v>
      </c>
      <c r="I1" s="19" t="s">
        <v>7</v>
      </c>
      <c r="K1" s="19" t="s">
        <v>61</v>
      </c>
      <c r="L1" s="19" t="s">
        <v>37</v>
      </c>
      <c r="M1" s="19" t="s">
        <v>38</v>
      </c>
      <c r="U1" s="19" t="s">
        <v>74</v>
      </c>
    </row>
    <row r="2" spans="1:22" x14ac:dyDescent="0.25">
      <c r="A2" s="8" t="s">
        <v>15</v>
      </c>
      <c r="B2" s="1">
        <v>42153</v>
      </c>
      <c r="C2">
        <v>1</v>
      </c>
      <c r="D2" s="2">
        <v>26.75</v>
      </c>
      <c r="F2" s="2">
        <f>C2*D2</f>
        <v>26.75</v>
      </c>
      <c r="G2" s="1">
        <v>42226</v>
      </c>
      <c r="H2" s="10">
        <v>170</v>
      </c>
      <c r="I2" s="10">
        <v>22.35</v>
      </c>
      <c r="J2" s="10"/>
      <c r="K2" s="10">
        <f>H2*I2</f>
        <v>3799.5000000000005</v>
      </c>
      <c r="L2" t="s">
        <v>109</v>
      </c>
      <c r="O2" s="19" t="s">
        <v>57</v>
      </c>
      <c r="Q2">
        <f>C14-H14</f>
        <v>240</v>
      </c>
      <c r="U2" s="1">
        <v>42314</v>
      </c>
      <c r="V2" t="s">
        <v>183</v>
      </c>
    </row>
    <row r="3" spans="1:22" x14ac:dyDescent="0.25">
      <c r="A3" s="32" t="s">
        <v>77</v>
      </c>
      <c r="B3" s="1">
        <v>42173</v>
      </c>
      <c r="C3">
        <v>19</v>
      </c>
      <c r="D3" s="2">
        <v>24.84</v>
      </c>
      <c r="F3" s="2">
        <f t="shared" ref="F3:F13" si="0">C3*D3</f>
        <v>471.96</v>
      </c>
      <c r="O3" s="19" t="s">
        <v>58</v>
      </c>
      <c r="Q3" s="2">
        <f>(F14-K14)/Q2</f>
        <v>20.026916666666661</v>
      </c>
    </row>
    <row r="4" spans="1:22" x14ac:dyDescent="0.25">
      <c r="B4" s="1">
        <v>42184</v>
      </c>
      <c r="C4">
        <v>10</v>
      </c>
      <c r="D4" s="2">
        <v>24.33</v>
      </c>
      <c r="F4" s="2">
        <f t="shared" si="0"/>
        <v>243.29999999999998</v>
      </c>
      <c r="O4" s="19" t="s">
        <v>66</v>
      </c>
      <c r="Q4" s="94">
        <v>18.760000000000002</v>
      </c>
    </row>
    <row r="5" spans="1:22" x14ac:dyDescent="0.25">
      <c r="B5" s="1">
        <v>42185</v>
      </c>
      <c r="C5">
        <v>5</v>
      </c>
      <c r="D5" s="2">
        <v>23.82</v>
      </c>
      <c r="F5" s="2">
        <f t="shared" si="0"/>
        <v>119.1</v>
      </c>
      <c r="O5" s="19" t="s">
        <v>67</v>
      </c>
      <c r="Q5" s="5">
        <f>Q4*Q2</f>
        <v>4502.4000000000005</v>
      </c>
    </row>
    <row r="6" spans="1:22" x14ac:dyDescent="0.25">
      <c r="B6" s="1">
        <v>42185</v>
      </c>
      <c r="C6">
        <v>15</v>
      </c>
      <c r="D6" s="2">
        <v>23.71</v>
      </c>
      <c r="F6" s="2">
        <f t="shared" si="0"/>
        <v>355.65000000000003</v>
      </c>
      <c r="O6" s="19" t="s">
        <v>64</v>
      </c>
      <c r="Q6" s="2">
        <f>Q3*Q2</f>
        <v>4806.4599999999991</v>
      </c>
    </row>
    <row r="7" spans="1:22" x14ac:dyDescent="0.25">
      <c r="B7" s="1">
        <v>42185</v>
      </c>
      <c r="C7">
        <v>30</v>
      </c>
      <c r="D7" s="2">
        <v>23.65</v>
      </c>
      <c r="F7" s="2">
        <f t="shared" si="0"/>
        <v>709.5</v>
      </c>
      <c r="O7" s="19" t="s">
        <v>65</v>
      </c>
      <c r="Q7" s="2">
        <f>Q5-Q6</f>
        <v>-304.05999999999858</v>
      </c>
    </row>
    <row r="8" spans="1:22" x14ac:dyDescent="0.25">
      <c r="B8" s="1">
        <v>42185</v>
      </c>
      <c r="C8" s="10">
        <v>40</v>
      </c>
      <c r="D8" s="23">
        <v>23.2</v>
      </c>
      <c r="E8" s="23"/>
      <c r="F8" s="23">
        <f t="shared" si="0"/>
        <v>928</v>
      </c>
    </row>
    <row r="9" spans="1:22" x14ac:dyDescent="0.25">
      <c r="B9" s="1">
        <v>42185</v>
      </c>
      <c r="C9" s="10">
        <v>50</v>
      </c>
      <c r="D9" s="23">
        <v>22.94</v>
      </c>
      <c r="E9" s="23"/>
      <c r="F9" s="23">
        <f t="shared" si="0"/>
        <v>1147</v>
      </c>
    </row>
    <row r="10" spans="1:22" x14ac:dyDescent="0.25">
      <c r="B10" s="1">
        <v>42209</v>
      </c>
      <c r="C10" s="10">
        <v>50</v>
      </c>
      <c r="D10" s="23">
        <v>19.75</v>
      </c>
      <c r="E10" s="23"/>
      <c r="F10" s="23">
        <f t="shared" si="0"/>
        <v>987.5</v>
      </c>
    </row>
    <row r="11" spans="1:22" x14ac:dyDescent="0.25">
      <c r="B11" s="1">
        <v>42212</v>
      </c>
      <c r="C11" s="10">
        <v>30</v>
      </c>
      <c r="D11" s="23">
        <v>19.2</v>
      </c>
      <c r="E11" s="23"/>
      <c r="F11" s="23">
        <f t="shared" si="0"/>
        <v>576</v>
      </c>
    </row>
    <row r="12" spans="1:22" x14ac:dyDescent="0.25">
      <c r="B12" s="1">
        <v>42240</v>
      </c>
      <c r="C12" s="6">
        <v>40</v>
      </c>
      <c r="D12" s="5">
        <v>19.93</v>
      </c>
      <c r="E12" s="5"/>
      <c r="F12" s="5">
        <f t="shared" si="0"/>
        <v>797.2</v>
      </c>
    </row>
    <row r="13" spans="1:22" x14ac:dyDescent="0.25">
      <c r="B13" s="1">
        <v>42261</v>
      </c>
      <c r="C13" s="6">
        <v>120</v>
      </c>
      <c r="D13" s="5">
        <v>18.7</v>
      </c>
      <c r="E13" s="5"/>
      <c r="F13" s="5">
        <f t="shared" si="0"/>
        <v>2244</v>
      </c>
    </row>
    <row r="14" spans="1:22" x14ac:dyDescent="0.25">
      <c r="A14" s="53" t="s">
        <v>110</v>
      </c>
      <c r="B14" s="22"/>
      <c r="C14" s="22">
        <f>SUM(C2:C13)</f>
        <v>410</v>
      </c>
      <c r="D14" s="27"/>
      <c r="E14" s="27"/>
      <c r="F14" s="27">
        <f>SUM(F2:F13)</f>
        <v>8605.9599999999991</v>
      </c>
      <c r="G14" s="22"/>
      <c r="H14" s="22">
        <f>SUM(H2:H11)</f>
        <v>170</v>
      </c>
      <c r="I14" s="22"/>
      <c r="J14" s="22"/>
      <c r="K14" s="22">
        <f>SUM(K2:K11)</f>
        <v>3799.5000000000005</v>
      </c>
      <c r="L14" s="22"/>
      <c r="M14" s="22"/>
    </row>
    <row r="20" spans="15:17" x14ac:dyDescent="0.25">
      <c r="P20" t="s">
        <v>85</v>
      </c>
    </row>
    <row r="21" spans="15:17" x14ac:dyDescent="0.25">
      <c r="O21" s="2">
        <f>$Q$4</f>
        <v>18.760000000000002</v>
      </c>
      <c r="P21">
        <v>1.1000000000000001</v>
      </c>
      <c r="Q21" s="2">
        <f t="shared" ref="Q21:Q33" si="1">P21*O21</f>
        <v>20.636000000000003</v>
      </c>
    </row>
    <row r="22" spans="15:17" x14ac:dyDescent="0.25">
      <c r="O22" s="2">
        <f>$Q$4</f>
        <v>18.760000000000002</v>
      </c>
      <c r="P22">
        <v>1.05</v>
      </c>
      <c r="Q22" s="2">
        <f t="shared" si="1"/>
        <v>19.698000000000004</v>
      </c>
    </row>
    <row r="23" spans="15:17" x14ac:dyDescent="0.25">
      <c r="O23" s="2">
        <f t="shared" ref="O23:O33" si="2">$Q$4</f>
        <v>18.760000000000002</v>
      </c>
      <c r="P23">
        <v>1.04</v>
      </c>
      <c r="Q23" s="2">
        <f t="shared" si="1"/>
        <v>19.510400000000001</v>
      </c>
    </row>
    <row r="24" spans="15:17" x14ac:dyDescent="0.25">
      <c r="O24" s="2">
        <f t="shared" si="2"/>
        <v>18.760000000000002</v>
      </c>
      <c r="P24" s="2">
        <v>1.03</v>
      </c>
      <c r="Q24" s="2">
        <f t="shared" si="1"/>
        <v>19.322800000000001</v>
      </c>
    </row>
    <row r="25" spans="15:17" x14ac:dyDescent="0.25">
      <c r="O25" s="2">
        <f t="shared" si="2"/>
        <v>18.760000000000002</v>
      </c>
      <c r="P25" s="2">
        <v>1.02</v>
      </c>
      <c r="Q25" s="2">
        <f t="shared" si="1"/>
        <v>19.135200000000001</v>
      </c>
    </row>
    <row r="26" spans="15:17" x14ac:dyDescent="0.25">
      <c r="O26" s="2">
        <f t="shared" si="2"/>
        <v>18.760000000000002</v>
      </c>
      <c r="P26" s="2">
        <v>1.01</v>
      </c>
      <c r="Q26" s="2">
        <f t="shared" si="1"/>
        <v>18.947600000000001</v>
      </c>
    </row>
    <row r="27" spans="15:17" x14ac:dyDescent="0.25">
      <c r="O27" s="2">
        <f t="shared" si="2"/>
        <v>18.760000000000002</v>
      </c>
      <c r="P27" s="2">
        <v>1</v>
      </c>
      <c r="Q27" s="2">
        <f t="shared" si="1"/>
        <v>18.760000000000002</v>
      </c>
    </row>
    <row r="28" spans="15:17" x14ac:dyDescent="0.25">
      <c r="O28" s="2">
        <f t="shared" si="2"/>
        <v>18.760000000000002</v>
      </c>
      <c r="P28" s="2">
        <v>0.99</v>
      </c>
      <c r="Q28" s="2">
        <f t="shared" si="1"/>
        <v>18.572400000000002</v>
      </c>
    </row>
    <row r="29" spans="15:17" x14ac:dyDescent="0.25">
      <c r="O29" s="2">
        <f t="shared" si="2"/>
        <v>18.760000000000002</v>
      </c>
      <c r="P29" s="2">
        <v>0.98</v>
      </c>
      <c r="Q29" s="2">
        <f t="shared" si="1"/>
        <v>18.384800000000002</v>
      </c>
    </row>
    <row r="30" spans="15:17" x14ac:dyDescent="0.25">
      <c r="O30" s="2">
        <f t="shared" si="2"/>
        <v>18.760000000000002</v>
      </c>
      <c r="P30" s="2">
        <v>0.97</v>
      </c>
      <c r="Q30" s="2">
        <f t="shared" si="1"/>
        <v>18.197200000000002</v>
      </c>
    </row>
    <row r="31" spans="15:17" x14ac:dyDescent="0.25">
      <c r="O31" s="2">
        <f t="shared" si="2"/>
        <v>18.760000000000002</v>
      </c>
      <c r="P31" s="2">
        <v>0.96</v>
      </c>
      <c r="Q31" s="2">
        <f t="shared" si="1"/>
        <v>18.009600000000002</v>
      </c>
    </row>
    <row r="32" spans="15:17" x14ac:dyDescent="0.25">
      <c r="O32" s="2">
        <f t="shared" si="2"/>
        <v>18.760000000000002</v>
      </c>
      <c r="P32" s="2">
        <v>0.95</v>
      </c>
      <c r="Q32" s="2">
        <f t="shared" si="1"/>
        <v>17.821999999999999</v>
      </c>
    </row>
    <row r="33" spans="15:17" x14ac:dyDescent="0.25">
      <c r="O33" s="2">
        <f t="shared" si="2"/>
        <v>18.760000000000002</v>
      </c>
      <c r="P33" s="2">
        <v>0.9</v>
      </c>
      <c r="Q33" s="2">
        <f t="shared" si="1"/>
        <v>16.884</v>
      </c>
    </row>
  </sheetData>
  <conditionalFormatting sqref="Q7">
    <cfRule type="expression" dxfId="39" priority="2">
      <formula>Q7&gt;0</formula>
    </cfRule>
    <cfRule type="expression" dxfId="38"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84</v>
      </c>
      <c r="M1" s="19" t="s">
        <v>38</v>
      </c>
      <c r="T1" s="19" t="s">
        <v>74</v>
      </c>
    </row>
    <row r="2" spans="1:21" x14ac:dyDescent="0.25">
      <c r="A2" s="8" t="s">
        <v>24</v>
      </c>
      <c r="B2" s="1">
        <v>42156</v>
      </c>
      <c r="C2">
        <v>5</v>
      </c>
      <c r="D2" s="2">
        <v>48.55</v>
      </c>
      <c r="F2" s="2">
        <f>C2*D2</f>
        <v>242.75</v>
      </c>
      <c r="G2" s="1">
        <v>42186</v>
      </c>
      <c r="H2" s="18">
        <v>100</v>
      </c>
      <c r="I2" s="60">
        <v>44.99</v>
      </c>
      <c r="J2" s="60"/>
      <c r="K2" s="60">
        <f>H2*I2</f>
        <v>4499</v>
      </c>
      <c r="L2" t="s">
        <v>109</v>
      </c>
      <c r="O2" t="s">
        <v>57</v>
      </c>
      <c r="Q2">
        <f>C10-H10</f>
        <v>40</v>
      </c>
      <c r="T2" t="s">
        <v>122</v>
      </c>
      <c r="U2" t="s">
        <v>123</v>
      </c>
    </row>
    <row r="3" spans="1:21" x14ac:dyDescent="0.25">
      <c r="A3" s="32" t="s">
        <v>77</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121</v>
      </c>
    </row>
    <row r="4" spans="1:21" x14ac:dyDescent="0.25">
      <c r="B4" s="1">
        <v>42156</v>
      </c>
      <c r="C4">
        <v>10</v>
      </c>
      <c r="D4" s="2">
        <v>46.5</v>
      </c>
      <c r="F4" s="2">
        <f t="shared" si="0"/>
        <v>465</v>
      </c>
      <c r="G4" s="1"/>
      <c r="O4" t="s">
        <v>66</v>
      </c>
      <c r="Q4" s="94">
        <v>43.69</v>
      </c>
    </row>
    <row r="5" spans="1:21" x14ac:dyDescent="0.25">
      <c r="B5" s="1">
        <v>42156</v>
      </c>
      <c r="C5">
        <v>50</v>
      </c>
      <c r="D5" s="2">
        <v>45.95</v>
      </c>
      <c r="F5" s="2">
        <f t="shared" si="0"/>
        <v>2297.5</v>
      </c>
      <c r="O5" t="s">
        <v>67</v>
      </c>
      <c r="Q5" s="5">
        <f>Q4*Q2</f>
        <v>1747.6</v>
      </c>
    </row>
    <row r="6" spans="1:21" x14ac:dyDescent="0.25">
      <c r="B6" s="1">
        <v>42156</v>
      </c>
      <c r="C6">
        <v>30</v>
      </c>
      <c r="D6" s="2">
        <v>45.95</v>
      </c>
      <c r="F6" s="2">
        <f t="shared" si="0"/>
        <v>1378.5</v>
      </c>
      <c r="O6" t="s">
        <v>64</v>
      </c>
      <c r="Q6" s="2">
        <f>Q3*Q2</f>
        <v>1947.3999999999996</v>
      </c>
    </row>
    <row r="7" spans="1:21" x14ac:dyDescent="0.25">
      <c r="B7" s="1">
        <v>42186</v>
      </c>
      <c r="C7" s="18">
        <v>100</v>
      </c>
      <c r="D7" s="60">
        <v>44.9</v>
      </c>
      <c r="E7" s="60"/>
      <c r="F7" s="60">
        <f t="shared" si="0"/>
        <v>4490</v>
      </c>
      <c r="O7" t="s">
        <v>65</v>
      </c>
      <c r="Q7" s="2">
        <f>Q5-Q6</f>
        <v>-199.79999999999973</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58" t="s">
        <v>110</v>
      </c>
      <c r="B10" s="59"/>
      <c r="C10" s="59">
        <f>SUM(C2:C9)</f>
        <v>240</v>
      </c>
      <c r="D10" s="61"/>
      <c r="E10" s="61"/>
      <c r="F10" s="61">
        <f>SUM(F2:F9)</f>
        <v>10746.4</v>
      </c>
      <c r="G10" s="59"/>
      <c r="H10" s="59">
        <f>SUM(H2:H9)</f>
        <v>200</v>
      </c>
      <c r="I10" s="61"/>
      <c r="J10" s="61"/>
      <c r="K10" s="61">
        <f>SUM(K2:K9)</f>
        <v>8799</v>
      </c>
      <c r="L10" s="59"/>
      <c r="M10" s="59"/>
    </row>
    <row r="21" spans="15:18" x14ac:dyDescent="0.25">
      <c r="P21" t="s">
        <v>85</v>
      </c>
      <c r="R21" s="55"/>
    </row>
    <row r="22" spans="15:18" x14ac:dyDescent="0.25">
      <c r="O22" s="2">
        <f>$Q$4</f>
        <v>43.69</v>
      </c>
      <c r="P22">
        <v>1.1000000000000001</v>
      </c>
      <c r="Q22" s="2">
        <f t="shared" ref="Q22:Q34" si="1">P22*O22</f>
        <v>48.059000000000005</v>
      </c>
      <c r="R22" s="55"/>
    </row>
    <row r="23" spans="15:18" x14ac:dyDescent="0.25">
      <c r="O23" s="2">
        <f>$Q$4</f>
        <v>43.69</v>
      </c>
      <c r="P23">
        <v>1.05</v>
      </c>
      <c r="Q23" s="2">
        <f t="shared" si="1"/>
        <v>45.874499999999998</v>
      </c>
      <c r="R23" s="55"/>
    </row>
    <row r="24" spans="15:18" x14ac:dyDescent="0.25">
      <c r="O24" s="2">
        <f t="shared" ref="O24:O34" si="2">$Q$4</f>
        <v>43.69</v>
      </c>
      <c r="P24">
        <v>1.04</v>
      </c>
      <c r="Q24" s="2">
        <f t="shared" si="1"/>
        <v>45.437599999999996</v>
      </c>
      <c r="R24" s="55"/>
    </row>
    <row r="25" spans="15:18" x14ac:dyDescent="0.25">
      <c r="O25" s="2">
        <f t="shared" si="2"/>
        <v>43.69</v>
      </c>
      <c r="P25" s="2">
        <v>1.03</v>
      </c>
      <c r="Q25" s="2">
        <f t="shared" si="1"/>
        <v>45.000700000000002</v>
      </c>
      <c r="R25" s="55"/>
    </row>
    <row r="26" spans="15:18" x14ac:dyDescent="0.25">
      <c r="O26" s="2">
        <f t="shared" si="2"/>
        <v>43.69</v>
      </c>
      <c r="P26" s="2">
        <v>1.02</v>
      </c>
      <c r="Q26" s="2">
        <f t="shared" si="1"/>
        <v>44.563800000000001</v>
      </c>
      <c r="R26" s="55"/>
    </row>
    <row r="27" spans="15:18" x14ac:dyDescent="0.25">
      <c r="O27" s="2">
        <f t="shared" si="2"/>
        <v>43.69</v>
      </c>
      <c r="P27" s="2">
        <v>1.01</v>
      </c>
      <c r="Q27" s="2">
        <f t="shared" si="1"/>
        <v>44.126899999999999</v>
      </c>
      <c r="R27" s="55"/>
    </row>
    <row r="28" spans="15:18" x14ac:dyDescent="0.25">
      <c r="O28" s="2">
        <f t="shared" si="2"/>
        <v>43.69</v>
      </c>
      <c r="P28" s="2">
        <v>1</v>
      </c>
      <c r="Q28" s="2">
        <f t="shared" si="1"/>
        <v>43.69</v>
      </c>
      <c r="R28" s="55"/>
    </row>
    <row r="29" spans="15:18" x14ac:dyDescent="0.25">
      <c r="O29" s="2">
        <f t="shared" si="2"/>
        <v>43.69</v>
      </c>
      <c r="P29" s="2">
        <v>0.99</v>
      </c>
      <c r="Q29" s="2">
        <f t="shared" si="1"/>
        <v>43.253099999999996</v>
      </c>
      <c r="R29" s="55"/>
    </row>
    <row r="30" spans="15:18" x14ac:dyDescent="0.25">
      <c r="O30" s="2">
        <f t="shared" si="2"/>
        <v>43.69</v>
      </c>
      <c r="P30" s="2">
        <v>0.98</v>
      </c>
      <c r="Q30" s="2">
        <f t="shared" si="1"/>
        <v>42.816199999999995</v>
      </c>
      <c r="R30" s="55"/>
    </row>
    <row r="31" spans="15:18" x14ac:dyDescent="0.25">
      <c r="O31" s="2">
        <f t="shared" si="2"/>
        <v>43.69</v>
      </c>
      <c r="P31" s="2">
        <v>0.97</v>
      </c>
      <c r="Q31" s="2">
        <f t="shared" si="1"/>
        <v>42.379299999999994</v>
      </c>
      <c r="R31" s="55" t="s">
        <v>118</v>
      </c>
    </row>
    <row r="32" spans="15:18" x14ac:dyDescent="0.25">
      <c r="O32" s="2">
        <f t="shared" si="2"/>
        <v>43.69</v>
      </c>
      <c r="P32" s="2">
        <v>0.96</v>
      </c>
      <c r="Q32" s="2">
        <f t="shared" si="1"/>
        <v>41.942399999999999</v>
      </c>
      <c r="R32" s="55"/>
    </row>
    <row r="33" spans="15:18" x14ac:dyDescent="0.25">
      <c r="O33" s="2">
        <f t="shared" si="2"/>
        <v>43.69</v>
      </c>
      <c r="P33" s="2">
        <v>0.95</v>
      </c>
      <c r="Q33" s="2">
        <f t="shared" si="1"/>
        <v>41.505499999999998</v>
      </c>
      <c r="R33" s="55"/>
    </row>
    <row r="34" spans="15:18" x14ac:dyDescent="0.25">
      <c r="O34" s="2">
        <f t="shared" si="2"/>
        <v>43.69</v>
      </c>
      <c r="P34" s="2">
        <v>0.9</v>
      </c>
      <c r="Q34" s="2">
        <f t="shared" si="1"/>
        <v>39.320999999999998</v>
      </c>
      <c r="R34" s="55"/>
    </row>
  </sheetData>
  <conditionalFormatting sqref="Q7">
    <cfRule type="expression" dxfId="37" priority="2">
      <formula>Q7&gt;0</formula>
    </cfRule>
    <cfRule type="expression" dxfId="36"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20" max="20" width="13.7109375" style="149" bestFit="1" customWidth="1"/>
    <col min="21" max="21" width="18.28515625" bestFit="1" customWidth="1"/>
    <col min="24" max="24" width="11.7109375" customWidth="1"/>
    <col min="25" max="25" width="7.7109375" customWidth="1"/>
    <col min="26" max="28" width="6" bestFit="1" customWidth="1"/>
    <col min="29" max="29" width="10.140625" bestFit="1" customWidth="1"/>
    <col min="30" max="30" width="10.28515625" bestFit="1" customWidth="1"/>
  </cols>
  <sheetData>
    <row r="1" spans="1:30" s="19" customFormat="1" x14ac:dyDescent="0.25">
      <c r="A1" s="19" t="s">
        <v>1</v>
      </c>
      <c r="B1" s="19" t="s">
        <v>2</v>
      </c>
      <c r="C1" s="19" t="s">
        <v>4</v>
      </c>
      <c r="D1" s="30" t="s">
        <v>5</v>
      </c>
      <c r="E1" s="30" t="s">
        <v>171</v>
      </c>
      <c r="F1" s="30" t="s">
        <v>60</v>
      </c>
      <c r="G1" s="19" t="s">
        <v>3</v>
      </c>
      <c r="H1" s="19" t="s">
        <v>6</v>
      </c>
      <c r="I1" s="30" t="s">
        <v>7</v>
      </c>
      <c r="J1" s="30" t="s">
        <v>172</v>
      </c>
      <c r="K1" s="30" t="s">
        <v>61</v>
      </c>
      <c r="L1" s="19" t="s">
        <v>84</v>
      </c>
      <c r="M1" s="30" t="s">
        <v>38</v>
      </c>
      <c r="T1" s="147" t="s">
        <v>157</v>
      </c>
      <c r="X1" s="171" t="s">
        <v>209</v>
      </c>
      <c r="Y1" s="171" t="s">
        <v>210</v>
      </c>
      <c r="Z1" s="171" t="s">
        <v>211</v>
      </c>
      <c r="AA1" s="171" t="s">
        <v>212</v>
      </c>
      <c r="AB1" s="171" t="s">
        <v>213</v>
      </c>
      <c r="AC1" s="171" t="s">
        <v>214</v>
      </c>
      <c r="AD1" s="171" t="s">
        <v>215</v>
      </c>
    </row>
    <row r="2" spans="1:30" x14ac:dyDescent="0.25">
      <c r="A2" s="8" t="s">
        <v>45</v>
      </c>
      <c r="B2" s="1">
        <v>42185</v>
      </c>
      <c r="C2">
        <v>10</v>
      </c>
      <c r="D2" s="2">
        <v>65.45</v>
      </c>
      <c r="E2" s="2">
        <v>0</v>
      </c>
      <c r="F2" s="2">
        <f t="shared" ref="F2:F7" si="0">C2*D2</f>
        <v>654.5</v>
      </c>
      <c r="G2" s="1">
        <v>42226</v>
      </c>
      <c r="H2" s="10">
        <v>30</v>
      </c>
      <c r="I2" s="23">
        <v>62.9</v>
      </c>
      <c r="J2" s="23">
        <v>0</v>
      </c>
      <c r="K2" s="23">
        <f>H2*I2</f>
        <v>1887</v>
      </c>
      <c r="L2" t="s">
        <v>169</v>
      </c>
      <c r="O2" s="19" t="s">
        <v>57</v>
      </c>
      <c r="Q2">
        <f>C8-H8</f>
        <v>100</v>
      </c>
      <c r="T2" s="148">
        <v>42243</v>
      </c>
      <c r="U2" t="s">
        <v>173</v>
      </c>
      <c r="X2" s="173">
        <v>42251</v>
      </c>
      <c r="Y2" s="15">
        <v>57.45</v>
      </c>
      <c r="Z2" s="15">
        <v>57.69</v>
      </c>
      <c r="AA2" s="15">
        <v>56.77</v>
      </c>
      <c r="AB2" s="15">
        <v>57.04</v>
      </c>
      <c r="AC2" s="167">
        <v>2341900</v>
      </c>
      <c r="AD2" s="15">
        <v>57.04</v>
      </c>
    </row>
    <row r="3" spans="1:30" x14ac:dyDescent="0.25">
      <c r="A3" s="32" t="s">
        <v>77</v>
      </c>
      <c r="B3" s="1">
        <v>42223</v>
      </c>
      <c r="C3">
        <v>20</v>
      </c>
      <c r="D3" s="2">
        <v>63.52</v>
      </c>
      <c r="E3" s="2">
        <v>0</v>
      </c>
      <c r="F3" s="2">
        <f t="shared" si="0"/>
        <v>1270.4000000000001</v>
      </c>
      <c r="G3" s="1">
        <v>42235</v>
      </c>
      <c r="H3" s="16">
        <v>30</v>
      </c>
      <c r="I3" s="68">
        <v>63.59</v>
      </c>
      <c r="J3" s="68">
        <v>0</v>
      </c>
      <c r="K3" s="68">
        <f>H3*I3</f>
        <v>1907.7</v>
      </c>
      <c r="O3" s="19" t="s">
        <v>58</v>
      </c>
      <c r="Q3" s="2">
        <f>(F8-K8)/Q2</f>
        <v>62.165999999999997</v>
      </c>
      <c r="T3" s="148"/>
      <c r="X3" s="173">
        <v>42250</v>
      </c>
      <c r="Y3" s="15">
        <v>58.01</v>
      </c>
      <c r="Z3" s="15">
        <v>58.55</v>
      </c>
      <c r="AA3" s="15">
        <v>57.82</v>
      </c>
      <c r="AB3" s="15">
        <v>57.98</v>
      </c>
      <c r="AC3" s="167">
        <v>2176700</v>
      </c>
      <c r="AD3" s="15">
        <v>57.98</v>
      </c>
    </row>
    <row r="4" spans="1:30" x14ac:dyDescent="0.25">
      <c r="B4" s="1">
        <v>42223</v>
      </c>
      <c r="C4" s="6">
        <v>40</v>
      </c>
      <c r="D4" s="5">
        <v>62.45</v>
      </c>
      <c r="E4" s="5">
        <v>0</v>
      </c>
      <c r="F4" s="5">
        <f t="shared" si="0"/>
        <v>2498</v>
      </c>
      <c r="O4" s="19" t="s">
        <v>66</v>
      </c>
      <c r="Q4" s="94">
        <v>57.67</v>
      </c>
      <c r="X4" s="173">
        <v>42249</v>
      </c>
      <c r="Y4" s="15">
        <v>57.72</v>
      </c>
      <c r="Z4" s="15">
        <v>57.94</v>
      </c>
      <c r="AA4" s="15">
        <v>57.3</v>
      </c>
      <c r="AB4" s="15">
        <v>57.93</v>
      </c>
      <c r="AC4" s="167">
        <v>2776500</v>
      </c>
      <c r="AD4" s="15">
        <v>57.93</v>
      </c>
    </row>
    <row r="5" spans="1:30" x14ac:dyDescent="0.25">
      <c r="B5" s="1">
        <v>42223</v>
      </c>
      <c r="C5" s="10">
        <v>30</v>
      </c>
      <c r="D5" s="23">
        <v>62</v>
      </c>
      <c r="E5" s="23">
        <v>0</v>
      </c>
      <c r="F5" s="23">
        <f t="shared" si="0"/>
        <v>1860</v>
      </c>
      <c r="O5" s="19" t="s">
        <v>67</v>
      </c>
      <c r="Q5" s="5">
        <f>Q4*Q2</f>
        <v>5767</v>
      </c>
      <c r="T5" s="148"/>
      <c r="U5" s="117"/>
      <c r="X5" s="173">
        <v>42248</v>
      </c>
      <c r="Y5" s="15">
        <v>57.01</v>
      </c>
      <c r="Z5" s="15">
        <v>57.46</v>
      </c>
      <c r="AA5" s="15">
        <v>56.8</v>
      </c>
      <c r="AB5" s="15">
        <v>57.14</v>
      </c>
      <c r="AC5" s="167">
        <v>3470800</v>
      </c>
      <c r="AD5" s="15">
        <v>57.14</v>
      </c>
    </row>
    <row r="6" spans="1:30" x14ac:dyDescent="0.25">
      <c r="B6" s="1">
        <v>42223</v>
      </c>
      <c r="C6" s="16">
        <v>30</v>
      </c>
      <c r="D6" s="68">
        <v>62.98</v>
      </c>
      <c r="E6" s="68">
        <v>0</v>
      </c>
      <c r="F6" s="68">
        <f t="shared" si="0"/>
        <v>1889.3999999999999</v>
      </c>
      <c r="O6" s="19" t="s">
        <v>64</v>
      </c>
      <c r="Q6" s="2">
        <f>Q3*Q2</f>
        <v>6216.5999999999995</v>
      </c>
      <c r="X6" s="173">
        <v>42247</v>
      </c>
      <c r="Y6" s="15">
        <v>58.33</v>
      </c>
      <c r="Z6" s="15">
        <v>58.5</v>
      </c>
      <c r="AA6" s="15">
        <v>58.08</v>
      </c>
      <c r="AB6" s="15">
        <v>58.28</v>
      </c>
      <c r="AC6" s="167">
        <v>2828100</v>
      </c>
      <c r="AD6" s="15">
        <v>58.28</v>
      </c>
    </row>
    <row r="7" spans="1:30" x14ac:dyDescent="0.25">
      <c r="B7" s="1">
        <v>42223</v>
      </c>
      <c r="C7">
        <v>30</v>
      </c>
      <c r="D7" s="2">
        <v>61.3</v>
      </c>
      <c r="E7" s="2">
        <v>0</v>
      </c>
      <c r="F7" s="2">
        <f t="shared" si="0"/>
        <v>1839</v>
      </c>
      <c r="O7" s="19" t="s">
        <v>65</v>
      </c>
      <c r="Q7" s="2">
        <f>Q5-Q6+M8</f>
        <v>-449.59999999999945</v>
      </c>
      <c r="T7" s="148">
        <v>42264</v>
      </c>
      <c r="U7" t="s">
        <v>244</v>
      </c>
      <c r="X7" s="173">
        <v>42244</v>
      </c>
      <c r="Y7" s="15">
        <v>58.55</v>
      </c>
      <c r="Z7" s="15">
        <v>58.95</v>
      </c>
      <c r="AA7" s="15">
        <v>58.26</v>
      </c>
      <c r="AB7" s="15">
        <v>58.63</v>
      </c>
      <c r="AC7" s="167">
        <v>2976800</v>
      </c>
      <c r="AD7" s="15">
        <v>58.63</v>
      </c>
    </row>
    <row r="8" spans="1:30" x14ac:dyDescent="0.25">
      <c r="A8" s="53" t="s">
        <v>110</v>
      </c>
      <c r="B8" s="22"/>
      <c r="C8" s="22">
        <f>SUM(C2:C7)</f>
        <v>160</v>
      </c>
      <c r="D8" s="27"/>
      <c r="E8" s="27"/>
      <c r="F8" s="27">
        <f>SUM(F2:F7)</f>
        <v>10011.299999999999</v>
      </c>
      <c r="G8" s="22"/>
      <c r="H8" s="22">
        <f>SUM(H2:H4)</f>
        <v>60</v>
      </c>
      <c r="I8" s="27"/>
      <c r="J8" s="27"/>
      <c r="K8" s="27">
        <f>SUM(K2:K4)</f>
        <v>3794.7</v>
      </c>
      <c r="L8" s="22"/>
      <c r="M8" s="27"/>
      <c r="T8" s="148">
        <v>42278</v>
      </c>
      <c r="U8" t="s">
        <v>170</v>
      </c>
      <c r="X8" s="173">
        <v>42243</v>
      </c>
      <c r="Y8" s="15">
        <v>57.64</v>
      </c>
      <c r="Z8" s="15">
        <v>59.02</v>
      </c>
      <c r="AA8" s="15">
        <v>57.51</v>
      </c>
      <c r="AB8" s="15">
        <v>58.74</v>
      </c>
      <c r="AC8" s="167">
        <v>4787100</v>
      </c>
      <c r="AD8" s="15">
        <v>58.74</v>
      </c>
    </row>
    <row r="9" spans="1:30" x14ac:dyDescent="0.25">
      <c r="X9" s="173">
        <v>42243</v>
      </c>
      <c r="Y9" s="15" t="s">
        <v>243</v>
      </c>
      <c r="Z9" s="15"/>
      <c r="AA9" s="15"/>
      <c r="AB9" s="15"/>
      <c r="AC9" s="15"/>
      <c r="AD9" s="15"/>
    </row>
    <row r="10" spans="1:30" x14ac:dyDescent="0.25">
      <c r="T10" s="148">
        <v>42306</v>
      </c>
      <c r="U10" s="117" t="s">
        <v>183</v>
      </c>
      <c r="X10" s="173">
        <v>42242</v>
      </c>
      <c r="Y10" s="15">
        <v>58.16</v>
      </c>
      <c r="Z10" s="15">
        <v>58.59</v>
      </c>
      <c r="AA10" s="15">
        <v>56.68</v>
      </c>
      <c r="AB10" s="15">
        <v>57.4</v>
      </c>
      <c r="AC10" s="167">
        <v>7043400</v>
      </c>
      <c r="AD10" s="15">
        <v>57.1</v>
      </c>
    </row>
    <row r="11" spans="1:30" x14ac:dyDescent="0.25">
      <c r="X11" s="173">
        <v>42241</v>
      </c>
      <c r="Y11" s="15">
        <v>59.92</v>
      </c>
      <c r="Z11" s="15">
        <v>59.92</v>
      </c>
      <c r="AA11" s="15">
        <v>56.99</v>
      </c>
      <c r="AB11" s="15">
        <v>56.99</v>
      </c>
      <c r="AC11" s="167">
        <v>4644300</v>
      </c>
      <c r="AD11" s="15">
        <v>56.69</v>
      </c>
    </row>
    <row r="12" spans="1:30" x14ac:dyDescent="0.25">
      <c r="X12" s="173">
        <v>42240</v>
      </c>
      <c r="Y12" s="15">
        <v>60.11</v>
      </c>
      <c r="Z12" s="15">
        <v>60.11</v>
      </c>
      <c r="AA12" s="15">
        <v>54.12</v>
      </c>
      <c r="AB12" s="15">
        <v>58.39</v>
      </c>
      <c r="AC12" s="167">
        <v>4385000</v>
      </c>
      <c r="AD12" s="15">
        <v>58.08</v>
      </c>
    </row>
    <row r="13" spans="1:30" x14ac:dyDescent="0.25">
      <c r="X13" s="173">
        <v>42237</v>
      </c>
      <c r="Y13" s="15">
        <v>62.31</v>
      </c>
      <c r="Z13" s="15">
        <v>62.48</v>
      </c>
      <c r="AA13" s="15">
        <v>61.23</v>
      </c>
      <c r="AB13" s="15">
        <v>61.25</v>
      </c>
      <c r="AC13" s="167">
        <v>3651500</v>
      </c>
      <c r="AD13" s="15">
        <v>60.93</v>
      </c>
    </row>
    <row r="14" spans="1:30" x14ac:dyDescent="0.25">
      <c r="X14" s="173">
        <v>42236</v>
      </c>
      <c r="Y14" s="15">
        <v>63.14</v>
      </c>
      <c r="Z14" s="15">
        <v>63.14</v>
      </c>
      <c r="AA14" s="15">
        <v>62.66</v>
      </c>
      <c r="AB14" s="15">
        <v>62.7</v>
      </c>
      <c r="AC14" s="167">
        <v>2536500</v>
      </c>
      <c r="AD14" s="15">
        <v>62.37</v>
      </c>
    </row>
    <row r="15" spans="1:30" x14ac:dyDescent="0.25">
      <c r="X15" s="173">
        <v>42235</v>
      </c>
      <c r="Y15" s="15">
        <v>63.41</v>
      </c>
      <c r="Z15" s="15">
        <v>64.03</v>
      </c>
      <c r="AA15" s="15">
        <v>63.07</v>
      </c>
      <c r="AB15" s="15">
        <v>63.66</v>
      </c>
      <c r="AC15" s="167">
        <v>2990400</v>
      </c>
      <c r="AD15" s="15">
        <v>63.33</v>
      </c>
    </row>
    <row r="16" spans="1:30" ht="20.25" thickBot="1" x14ac:dyDescent="0.35">
      <c r="A16" s="52"/>
      <c r="O16" s="201" t="s">
        <v>85</v>
      </c>
      <c r="P16" s="201"/>
      <c r="T16" s="175" t="s">
        <v>154</v>
      </c>
      <c r="U16" s="2"/>
      <c r="X16" s="173">
        <v>42234</v>
      </c>
      <c r="Y16" s="15">
        <v>63.74</v>
      </c>
      <c r="Z16" s="15">
        <v>63.93</v>
      </c>
      <c r="AA16" s="15">
        <v>63.47</v>
      </c>
      <c r="AB16" s="15">
        <v>63.57</v>
      </c>
      <c r="AC16" s="167">
        <v>2503500</v>
      </c>
      <c r="AD16" s="15">
        <v>63.24</v>
      </c>
    </row>
    <row r="17" spans="1:30" ht="15.75" thickTop="1" x14ac:dyDescent="0.25">
      <c r="A17" s="52"/>
      <c r="O17" s="146">
        <v>1.1000000000000001</v>
      </c>
      <c r="P17" s="146">
        <f>O17*$Q$4</f>
        <v>63.437000000000005</v>
      </c>
      <c r="Q17" s="2"/>
      <c r="T17" s="176" t="s">
        <v>186</v>
      </c>
      <c r="U17" s="169">
        <v>57.98</v>
      </c>
      <c r="X17" s="173">
        <v>42233</v>
      </c>
      <c r="Y17" s="15">
        <v>63.75</v>
      </c>
      <c r="Z17" s="15">
        <v>64.12</v>
      </c>
      <c r="AA17" s="15">
        <v>63.43</v>
      </c>
      <c r="AB17" s="15">
        <v>63.85</v>
      </c>
      <c r="AC17" s="167">
        <v>2068100</v>
      </c>
      <c r="AD17" s="15">
        <v>63.52</v>
      </c>
    </row>
    <row r="18" spans="1:30" x14ac:dyDescent="0.25">
      <c r="A18" s="52"/>
      <c r="O18" s="146">
        <v>1.0900000000000001</v>
      </c>
      <c r="P18" s="146">
        <f t="shared" ref="P18:P37" si="1">O18*$Q$4</f>
        <v>62.860300000000009</v>
      </c>
      <c r="Q18" s="2"/>
      <c r="T18" s="176" t="s">
        <v>187</v>
      </c>
      <c r="U18" s="169">
        <v>57.45</v>
      </c>
      <c r="X18" s="173">
        <v>42230</v>
      </c>
      <c r="Y18" s="15">
        <v>63.32</v>
      </c>
      <c r="Z18" s="15">
        <v>63.87</v>
      </c>
      <c r="AA18" s="15">
        <v>63.21</v>
      </c>
      <c r="AB18" s="15">
        <v>63.86</v>
      </c>
      <c r="AC18" s="167">
        <v>2221600</v>
      </c>
      <c r="AD18" s="15">
        <v>63.53</v>
      </c>
    </row>
    <row r="19" spans="1:30" x14ac:dyDescent="0.25">
      <c r="O19" s="146">
        <v>1.08</v>
      </c>
      <c r="P19" s="146">
        <f t="shared" si="1"/>
        <v>62.283600000000007</v>
      </c>
      <c r="Q19" s="2"/>
      <c r="T19" s="176" t="s">
        <v>188</v>
      </c>
      <c r="U19" s="169" t="s">
        <v>236</v>
      </c>
      <c r="X19" s="173">
        <v>42229</v>
      </c>
      <c r="Y19" s="15">
        <v>63.62</v>
      </c>
      <c r="Z19" s="15">
        <v>64.040000000000006</v>
      </c>
      <c r="AA19" s="15">
        <v>63.44</v>
      </c>
      <c r="AB19" s="15">
        <v>63.49</v>
      </c>
      <c r="AC19" s="167">
        <v>2261500</v>
      </c>
      <c r="AD19" s="15">
        <v>63.16</v>
      </c>
    </row>
    <row r="20" spans="1:30" x14ac:dyDescent="0.25">
      <c r="O20" s="146">
        <v>1.07</v>
      </c>
      <c r="P20" s="146">
        <f t="shared" si="1"/>
        <v>61.706900000000005</v>
      </c>
      <c r="Q20" s="2"/>
      <c r="T20" s="176" t="s">
        <v>189</v>
      </c>
      <c r="U20" s="169" t="s">
        <v>237</v>
      </c>
      <c r="X20" s="173">
        <v>42228</v>
      </c>
      <c r="Y20" s="15">
        <v>62.93</v>
      </c>
      <c r="Z20" s="15">
        <v>63.78</v>
      </c>
      <c r="AA20" s="15">
        <v>62.74</v>
      </c>
      <c r="AB20" s="15">
        <v>63.61</v>
      </c>
      <c r="AC20" s="167">
        <v>2928600</v>
      </c>
      <c r="AD20" s="15">
        <v>63.28</v>
      </c>
    </row>
    <row r="21" spans="1:30" x14ac:dyDescent="0.25">
      <c r="O21" s="146">
        <v>1.06</v>
      </c>
      <c r="P21" s="146">
        <f t="shared" si="1"/>
        <v>61.130200000000002</v>
      </c>
      <c r="Q21" s="2"/>
      <c r="T21" s="176" t="s">
        <v>190</v>
      </c>
      <c r="U21" s="169">
        <v>69.47</v>
      </c>
      <c r="X21" s="173">
        <v>42227</v>
      </c>
      <c r="Y21" s="15">
        <v>62.76</v>
      </c>
      <c r="Z21" s="15">
        <v>63.54</v>
      </c>
      <c r="AA21" s="15">
        <v>62.76</v>
      </c>
      <c r="AB21" s="15">
        <v>63.47</v>
      </c>
      <c r="AC21" s="167">
        <v>2719500</v>
      </c>
      <c r="AD21" s="15">
        <v>63.14</v>
      </c>
    </row>
    <row r="22" spans="1:30" x14ac:dyDescent="0.25">
      <c r="O22" s="146">
        <v>1.05</v>
      </c>
      <c r="P22" s="146">
        <f t="shared" si="1"/>
        <v>60.553500000000007</v>
      </c>
      <c r="Q22" s="2"/>
      <c r="T22" s="176" t="s">
        <v>191</v>
      </c>
      <c r="U22" s="169">
        <v>1.34368</v>
      </c>
      <c r="X22" s="173">
        <v>42226</v>
      </c>
      <c r="Y22" s="15">
        <v>63.13</v>
      </c>
      <c r="Z22" s="15">
        <v>63.6</v>
      </c>
      <c r="AA22" s="15">
        <v>62.85</v>
      </c>
      <c r="AB22" s="15">
        <v>63.1</v>
      </c>
      <c r="AC22" s="167">
        <v>3748300</v>
      </c>
      <c r="AD22" s="15">
        <v>62.77</v>
      </c>
    </row>
    <row r="23" spans="1:30" x14ac:dyDescent="0.25">
      <c r="O23" s="146">
        <v>1.04</v>
      </c>
      <c r="P23" s="146">
        <f t="shared" si="1"/>
        <v>59.976800000000004</v>
      </c>
      <c r="Q23" s="2"/>
      <c r="T23" s="176" t="s">
        <v>229</v>
      </c>
      <c r="U23" s="169" t="s">
        <v>238</v>
      </c>
      <c r="X23" s="173">
        <v>42223</v>
      </c>
      <c r="Y23" s="15">
        <v>61.8</v>
      </c>
      <c r="Z23" s="15">
        <v>62.59</v>
      </c>
      <c r="AA23" s="15">
        <v>61.65</v>
      </c>
      <c r="AB23" s="15">
        <v>62.54</v>
      </c>
      <c r="AC23" s="167">
        <v>3561000</v>
      </c>
      <c r="AD23" s="15">
        <v>62.21</v>
      </c>
    </row>
    <row r="24" spans="1:30" x14ac:dyDescent="0.25">
      <c r="O24" s="146">
        <v>1.03</v>
      </c>
      <c r="P24" s="146">
        <f t="shared" si="1"/>
        <v>59.400100000000002</v>
      </c>
      <c r="Q24" s="2"/>
      <c r="T24" s="176"/>
      <c r="U24" s="169"/>
      <c r="X24" s="173">
        <v>42222</v>
      </c>
      <c r="Y24" s="15">
        <v>62.86</v>
      </c>
      <c r="Z24" s="15">
        <v>63.07</v>
      </c>
      <c r="AA24" s="15">
        <v>61.59</v>
      </c>
      <c r="AB24" s="15">
        <v>61.97</v>
      </c>
      <c r="AC24" s="167">
        <v>3843300</v>
      </c>
      <c r="AD24" s="15">
        <v>61.65</v>
      </c>
    </row>
    <row r="25" spans="1:30" x14ac:dyDescent="0.25">
      <c r="O25" s="146">
        <v>1.02</v>
      </c>
      <c r="P25" s="146">
        <f t="shared" si="1"/>
        <v>58.823399999999999</v>
      </c>
      <c r="Q25" s="2"/>
      <c r="T25" s="176" t="s">
        <v>193</v>
      </c>
      <c r="U25" s="169" t="s">
        <v>239</v>
      </c>
      <c r="X25" s="173">
        <v>42221</v>
      </c>
      <c r="Y25" s="15">
        <v>62.9</v>
      </c>
      <c r="Z25" s="15">
        <v>63.28</v>
      </c>
      <c r="AA25" s="15">
        <v>62.33</v>
      </c>
      <c r="AB25" s="15">
        <v>62.5</v>
      </c>
      <c r="AC25" s="167">
        <v>6668700</v>
      </c>
      <c r="AD25" s="15">
        <v>62.17</v>
      </c>
    </row>
    <row r="26" spans="1:30" x14ac:dyDescent="0.25">
      <c r="O26" s="146">
        <v>1.01</v>
      </c>
      <c r="P26" s="146">
        <f t="shared" si="1"/>
        <v>58.246700000000004</v>
      </c>
      <c r="Q26" s="2"/>
      <c r="T26" s="176" t="s">
        <v>194</v>
      </c>
      <c r="U26" s="169" t="s">
        <v>240</v>
      </c>
      <c r="X26" s="173">
        <v>42220</v>
      </c>
      <c r="Y26" s="15">
        <v>64.06</v>
      </c>
      <c r="Z26" s="15">
        <v>64.67</v>
      </c>
      <c r="AA26" s="15">
        <v>61</v>
      </c>
      <c r="AB26" s="15">
        <v>62.34</v>
      </c>
      <c r="AC26" s="167">
        <v>13215000</v>
      </c>
      <c r="AD26" s="15">
        <v>62.01</v>
      </c>
    </row>
    <row r="27" spans="1:30" x14ac:dyDescent="0.25">
      <c r="O27" s="146">
        <v>1</v>
      </c>
      <c r="P27" s="146">
        <f t="shared" si="1"/>
        <v>57.67</v>
      </c>
      <c r="Q27" s="2"/>
      <c r="T27" s="176" t="s">
        <v>195</v>
      </c>
      <c r="U27" s="170">
        <v>2341888</v>
      </c>
      <c r="X27" s="173">
        <v>42219</v>
      </c>
      <c r="Y27" s="15">
        <v>69.12</v>
      </c>
      <c r="Z27" s="15">
        <v>69.400000000000006</v>
      </c>
      <c r="AA27" s="15">
        <v>68.73</v>
      </c>
      <c r="AB27" s="15">
        <v>69.38</v>
      </c>
      <c r="AC27" s="167">
        <v>2101100</v>
      </c>
      <c r="AD27" s="15">
        <v>69.02</v>
      </c>
    </row>
    <row r="28" spans="1:30" x14ac:dyDescent="0.25">
      <c r="O28" s="146">
        <v>0.99</v>
      </c>
      <c r="P28" s="146">
        <f t="shared" si="1"/>
        <v>57.093299999999999</v>
      </c>
      <c r="Q28" s="2"/>
      <c r="T28" s="176" t="s">
        <v>204</v>
      </c>
      <c r="U28" s="170">
        <v>2993160</v>
      </c>
      <c r="X28" s="173">
        <v>42216</v>
      </c>
      <c r="Y28" s="15">
        <v>69.31</v>
      </c>
      <c r="Z28" s="15">
        <v>69.48</v>
      </c>
      <c r="AA28" s="15">
        <v>68.86</v>
      </c>
      <c r="AB28" s="15">
        <v>68.95</v>
      </c>
      <c r="AC28" s="167">
        <v>1643700</v>
      </c>
      <c r="AD28" s="15">
        <v>68.59</v>
      </c>
    </row>
    <row r="29" spans="1:30" x14ac:dyDescent="0.25">
      <c r="O29" s="146">
        <v>0.98</v>
      </c>
      <c r="P29" s="146">
        <f t="shared" si="1"/>
        <v>56.516600000000004</v>
      </c>
      <c r="Q29" s="2"/>
      <c r="T29" s="176" t="s">
        <v>196</v>
      </c>
      <c r="U29" s="169" t="s">
        <v>241</v>
      </c>
      <c r="X29" s="173">
        <v>42215</v>
      </c>
      <c r="Y29" s="15">
        <v>68.849999999999994</v>
      </c>
      <c r="Z29" s="15">
        <v>69.28</v>
      </c>
      <c r="AA29" s="15">
        <v>68.72</v>
      </c>
      <c r="AB29" s="15">
        <v>69.16</v>
      </c>
      <c r="AC29" s="167">
        <v>1371900</v>
      </c>
      <c r="AD29" s="15">
        <v>68.8</v>
      </c>
    </row>
    <row r="30" spans="1:30" x14ac:dyDescent="0.25">
      <c r="O30" s="146">
        <v>0.97</v>
      </c>
      <c r="P30" s="146">
        <f t="shared" si="1"/>
        <v>55.939900000000002</v>
      </c>
      <c r="T30" s="176" t="s">
        <v>205</v>
      </c>
      <c r="U30" s="169">
        <v>9.59</v>
      </c>
      <c r="X30" s="173">
        <v>42214</v>
      </c>
      <c r="Y30" s="15">
        <v>68.5</v>
      </c>
      <c r="Z30" s="15">
        <v>69.06</v>
      </c>
      <c r="AA30" s="15">
        <v>68.47</v>
      </c>
      <c r="AB30" s="15">
        <v>69.040000000000006</v>
      </c>
      <c r="AC30" s="167">
        <v>2191600</v>
      </c>
      <c r="AD30" s="15">
        <v>68.680000000000007</v>
      </c>
    </row>
    <row r="31" spans="1:30" x14ac:dyDescent="0.25">
      <c r="O31" s="146">
        <v>0.96</v>
      </c>
      <c r="P31" s="146">
        <f t="shared" si="1"/>
        <v>55.363199999999999</v>
      </c>
      <c r="T31" s="176" t="s">
        <v>206</v>
      </c>
      <c r="U31" s="169">
        <v>5.95</v>
      </c>
      <c r="X31" s="173">
        <v>42213</v>
      </c>
      <c r="Y31" s="15">
        <v>68.790000000000006</v>
      </c>
      <c r="Z31" s="15">
        <v>68.81</v>
      </c>
      <c r="AA31" s="15">
        <v>68.28</v>
      </c>
      <c r="AB31" s="15">
        <v>68.58</v>
      </c>
      <c r="AC31" s="167">
        <v>1855500</v>
      </c>
      <c r="AD31" s="15">
        <v>68.22</v>
      </c>
    </row>
    <row r="32" spans="1:30" x14ac:dyDescent="0.25">
      <c r="O32" s="146">
        <v>0.95</v>
      </c>
      <c r="P32" s="146">
        <f t="shared" si="1"/>
        <v>54.786499999999997</v>
      </c>
      <c r="T32" s="176" t="s">
        <v>198</v>
      </c>
      <c r="U32" s="169" t="s">
        <v>242</v>
      </c>
      <c r="X32" s="173">
        <v>42212</v>
      </c>
      <c r="Y32" s="15">
        <v>67.959999999999994</v>
      </c>
      <c r="Z32" s="15">
        <v>68.63</v>
      </c>
      <c r="AA32" s="15">
        <v>67.94</v>
      </c>
      <c r="AB32" s="15">
        <v>68.400000000000006</v>
      </c>
      <c r="AC32" s="167">
        <v>2622800</v>
      </c>
      <c r="AD32" s="15">
        <v>68.040000000000006</v>
      </c>
    </row>
    <row r="33" spans="15:30" x14ac:dyDescent="0.25">
      <c r="O33" s="146">
        <v>0.94</v>
      </c>
      <c r="P33" s="146">
        <f t="shared" si="1"/>
        <v>54.209800000000001</v>
      </c>
      <c r="X33" s="173">
        <v>42209</v>
      </c>
      <c r="Y33" s="15">
        <v>68.25</v>
      </c>
      <c r="Z33" s="15">
        <v>68.64</v>
      </c>
      <c r="AA33" s="15">
        <v>68.180000000000007</v>
      </c>
      <c r="AB33" s="15">
        <v>68.319999999999993</v>
      </c>
      <c r="AC33" s="167">
        <v>1855800</v>
      </c>
      <c r="AD33" s="15">
        <v>67.959999999999994</v>
      </c>
    </row>
    <row r="34" spans="15:30" x14ac:dyDescent="0.25">
      <c r="O34" s="146">
        <v>0.93</v>
      </c>
      <c r="P34" s="146">
        <f t="shared" si="1"/>
        <v>53.633100000000006</v>
      </c>
      <c r="X34" s="173">
        <v>42208</v>
      </c>
      <c r="Y34" s="15">
        <v>68.400000000000006</v>
      </c>
      <c r="Z34" s="15">
        <v>68.66</v>
      </c>
      <c r="AA34" s="15">
        <v>68.2</v>
      </c>
      <c r="AB34" s="15">
        <v>68.36</v>
      </c>
      <c r="AC34" s="167">
        <v>2112800</v>
      </c>
      <c r="AD34" s="15">
        <v>68</v>
      </c>
    </row>
    <row r="35" spans="15:30" x14ac:dyDescent="0.25">
      <c r="O35" s="146">
        <v>0.92</v>
      </c>
      <c r="P35" s="146">
        <f t="shared" si="1"/>
        <v>53.056400000000004</v>
      </c>
      <c r="X35" s="173">
        <v>42207</v>
      </c>
      <c r="Y35" s="15">
        <v>67.7</v>
      </c>
      <c r="Z35" s="15">
        <v>68.459999999999994</v>
      </c>
      <c r="AA35" s="15">
        <v>67.5</v>
      </c>
      <c r="AB35" s="15">
        <v>68.37</v>
      </c>
      <c r="AC35" s="167">
        <v>2524300</v>
      </c>
      <c r="AD35" s="15">
        <v>68.010000000000005</v>
      </c>
    </row>
    <row r="36" spans="15:30" x14ac:dyDescent="0.25">
      <c r="O36" s="146">
        <v>0.91</v>
      </c>
      <c r="P36" s="146">
        <f t="shared" si="1"/>
        <v>52.479700000000001</v>
      </c>
      <c r="X36" s="173">
        <v>42206</v>
      </c>
      <c r="Y36" s="15">
        <v>67.760000000000005</v>
      </c>
      <c r="Z36" s="15">
        <v>68.11</v>
      </c>
      <c r="AA36" s="15">
        <v>67.37</v>
      </c>
      <c r="AB36" s="15">
        <v>67.7</v>
      </c>
      <c r="AC36" s="167">
        <v>1963300</v>
      </c>
      <c r="AD36" s="15">
        <v>67.349999999999994</v>
      </c>
    </row>
    <row r="37" spans="15:30" ht="15" customHeight="1" x14ac:dyDescent="0.25">
      <c r="O37" s="146">
        <v>0.9</v>
      </c>
      <c r="P37" s="146">
        <f t="shared" si="1"/>
        <v>51.903000000000006</v>
      </c>
      <c r="X37" s="173">
        <v>42205</v>
      </c>
      <c r="Y37" s="15">
        <v>67.47</v>
      </c>
      <c r="Z37" s="15">
        <v>67.94</v>
      </c>
      <c r="AA37" s="15">
        <v>67.11</v>
      </c>
      <c r="AB37" s="15">
        <v>67.709999999999994</v>
      </c>
      <c r="AC37" s="167">
        <v>2345500</v>
      </c>
      <c r="AD37" s="15">
        <v>67.36</v>
      </c>
    </row>
    <row r="38" spans="15:30" x14ac:dyDescent="0.25">
      <c r="X38" s="173">
        <v>42202</v>
      </c>
      <c r="Y38" s="15">
        <v>67.84</v>
      </c>
      <c r="Z38" s="15">
        <v>67.87</v>
      </c>
      <c r="AA38" s="15">
        <v>67.17</v>
      </c>
      <c r="AB38" s="15">
        <v>67.59</v>
      </c>
      <c r="AC38" s="167">
        <v>2628500</v>
      </c>
      <c r="AD38" s="15">
        <v>67.239999999999995</v>
      </c>
    </row>
    <row r="39" spans="15:30" x14ac:dyDescent="0.25">
      <c r="X39" s="173">
        <v>42201</v>
      </c>
      <c r="Y39" s="15">
        <v>68.34</v>
      </c>
      <c r="Z39" s="15">
        <v>68.489999999999995</v>
      </c>
      <c r="AA39" s="15">
        <v>67.64</v>
      </c>
      <c r="AB39" s="15">
        <v>67.98</v>
      </c>
      <c r="AC39" s="167">
        <v>1977800</v>
      </c>
      <c r="AD39" s="15">
        <v>67.62</v>
      </c>
    </row>
    <row r="40" spans="15:30" x14ac:dyDescent="0.25">
      <c r="X40" s="173">
        <v>42200</v>
      </c>
      <c r="Y40" s="15">
        <v>67.599999999999994</v>
      </c>
      <c r="Z40" s="15">
        <v>68.069999999999993</v>
      </c>
      <c r="AA40" s="15">
        <v>67.44</v>
      </c>
      <c r="AB40" s="15">
        <v>68.06</v>
      </c>
      <c r="AC40" s="167">
        <v>2423900</v>
      </c>
      <c r="AD40" s="15">
        <v>67.7</v>
      </c>
    </row>
    <row r="41" spans="15:30" x14ac:dyDescent="0.25">
      <c r="X41" s="173">
        <v>42199</v>
      </c>
      <c r="Y41" s="15">
        <v>66.95</v>
      </c>
      <c r="Z41" s="15">
        <v>67.72</v>
      </c>
      <c r="AA41" s="15">
        <v>66.95</v>
      </c>
      <c r="AB41" s="15">
        <v>67.59</v>
      </c>
      <c r="AC41" s="167">
        <v>2256700</v>
      </c>
      <c r="AD41" s="15">
        <v>67.239999999999995</v>
      </c>
    </row>
    <row r="42" spans="15:30" x14ac:dyDescent="0.25">
      <c r="X42" s="173">
        <v>42198</v>
      </c>
      <c r="Y42" s="15">
        <v>67.180000000000007</v>
      </c>
      <c r="Z42" s="15">
        <v>67.349999999999994</v>
      </c>
      <c r="AA42" s="15">
        <v>66.77</v>
      </c>
      <c r="AB42" s="15">
        <v>67.25</v>
      </c>
      <c r="AC42" s="167">
        <v>2421400</v>
      </c>
      <c r="AD42" s="15">
        <v>66.900000000000006</v>
      </c>
    </row>
    <row r="43" spans="15:30" x14ac:dyDescent="0.25">
      <c r="X43" s="173">
        <v>42195</v>
      </c>
      <c r="Y43" s="15">
        <v>66.05</v>
      </c>
      <c r="Z43" s="15">
        <v>66.349999999999994</v>
      </c>
      <c r="AA43" s="15">
        <v>65.760000000000005</v>
      </c>
      <c r="AB43" s="15">
        <v>66.19</v>
      </c>
      <c r="AC43" s="167">
        <v>2231400</v>
      </c>
      <c r="AD43" s="15">
        <v>65.84</v>
      </c>
    </row>
    <row r="44" spans="15:30" x14ac:dyDescent="0.25">
      <c r="X44" s="173">
        <v>42194</v>
      </c>
      <c r="Y44" s="15">
        <v>65.760000000000005</v>
      </c>
      <c r="Z44" s="15">
        <v>65.77</v>
      </c>
      <c r="AA44" s="15">
        <v>65.25</v>
      </c>
      <c r="AB44" s="15">
        <v>65.41</v>
      </c>
      <c r="AC44" s="167">
        <v>2358900</v>
      </c>
      <c r="AD44" s="15">
        <v>65.069999999999993</v>
      </c>
    </row>
    <row r="45" spans="15:30" x14ac:dyDescent="0.25">
      <c r="X45" s="173">
        <v>42193</v>
      </c>
      <c r="Y45" s="15">
        <v>65.25</v>
      </c>
      <c r="Z45" s="15">
        <v>65.64</v>
      </c>
      <c r="AA45" s="15">
        <v>64.849999999999994</v>
      </c>
      <c r="AB45" s="15">
        <v>64.92</v>
      </c>
      <c r="AC45" s="167">
        <v>2631900</v>
      </c>
      <c r="AD45" s="15">
        <v>64.58</v>
      </c>
    </row>
    <row r="46" spans="15:30" x14ac:dyDescent="0.25">
      <c r="X46" s="173">
        <v>42192</v>
      </c>
      <c r="Y46" s="15">
        <v>64.790000000000006</v>
      </c>
      <c r="Z46" s="15">
        <v>65.77</v>
      </c>
      <c r="AA46" s="15">
        <v>64.44</v>
      </c>
      <c r="AB46" s="15">
        <v>65.739999999999995</v>
      </c>
      <c r="AC46" s="167">
        <v>2943300</v>
      </c>
      <c r="AD46" s="15">
        <v>65.400000000000006</v>
      </c>
    </row>
    <row r="47" spans="15:30" x14ac:dyDescent="0.25">
      <c r="X47" s="173">
        <v>42191</v>
      </c>
      <c r="Y47" s="15">
        <v>64.3</v>
      </c>
      <c r="Z47" s="15">
        <v>64.91</v>
      </c>
      <c r="AA47" s="15">
        <v>64.239999999999995</v>
      </c>
      <c r="AB47" s="15">
        <v>64.81</v>
      </c>
      <c r="AC47" s="167">
        <v>2782900</v>
      </c>
      <c r="AD47" s="15">
        <v>64.47</v>
      </c>
    </row>
    <row r="48" spans="15:30" x14ac:dyDescent="0.25">
      <c r="X48" s="173">
        <v>42187</v>
      </c>
      <c r="Y48" s="15">
        <v>65.48</v>
      </c>
      <c r="Z48" s="15">
        <v>65.7</v>
      </c>
      <c r="AA48" s="15">
        <v>64.89</v>
      </c>
      <c r="AB48" s="15">
        <v>64.989999999999995</v>
      </c>
      <c r="AC48" s="167">
        <v>2818100</v>
      </c>
      <c r="AD48" s="15">
        <v>64.650000000000006</v>
      </c>
    </row>
    <row r="49" spans="24:30" x14ac:dyDescent="0.25">
      <c r="X49" s="173">
        <v>42186</v>
      </c>
      <c r="Y49" s="15">
        <v>65.8</v>
      </c>
      <c r="Z49" s="15">
        <v>66.53</v>
      </c>
      <c r="AA49" s="15">
        <v>65.22</v>
      </c>
      <c r="AB49" s="15">
        <v>65.489999999999995</v>
      </c>
      <c r="AC49" s="167">
        <v>4657600</v>
      </c>
      <c r="AD49" s="15">
        <v>65.150000000000006</v>
      </c>
    </row>
    <row r="50" spans="24:30" x14ac:dyDescent="0.25">
      <c r="X50" s="173">
        <v>42185</v>
      </c>
      <c r="Y50" s="15">
        <v>65.349999999999994</v>
      </c>
      <c r="Z50" s="15">
        <v>65.61</v>
      </c>
      <c r="AA50" s="15">
        <v>64.83</v>
      </c>
      <c r="AB50" s="15">
        <v>64.87</v>
      </c>
      <c r="AC50" s="167">
        <v>3121200</v>
      </c>
      <c r="AD50" s="15">
        <v>64.53</v>
      </c>
    </row>
    <row r="51" spans="24:30" x14ac:dyDescent="0.25">
      <c r="X51" s="173">
        <v>42184</v>
      </c>
      <c r="Y51" s="15">
        <v>65.25</v>
      </c>
      <c r="Z51" s="15">
        <v>65.540000000000006</v>
      </c>
      <c r="AA51" s="15">
        <v>64.62</v>
      </c>
      <c r="AB51" s="15">
        <v>64.680000000000007</v>
      </c>
      <c r="AC51" s="167">
        <v>2718300</v>
      </c>
      <c r="AD51" s="15">
        <v>64.34</v>
      </c>
    </row>
    <row r="52" spans="24:30" x14ac:dyDescent="0.25">
      <c r="X52" s="173">
        <v>42181</v>
      </c>
      <c r="Y52" s="15">
        <v>65.42</v>
      </c>
      <c r="Z52" s="15">
        <v>66.069999999999993</v>
      </c>
      <c r="AA52" s="15">
        <v>65.239999999999995</v>
      </c>
      <c r="AB52" s="15">
        <v>65.83</v>
      </c>
      <c r="AC52" s="167">
        <v>3079300</v>
      </c>
      <c r="AD52" s="15">
        <v>65.489999999999995</v>
      </c>
    </row>
    <row r="53" spans="24:30" x14ac:dyDescent="0.25">
      <c r="X53" s="173">
        <v>42180</v>
      </c>
      <c r="Y53" s="15">
        <v>66.19</v>
      </c>
      <c r="Z53" s="15">
        <v>66.28</v>
      </c>
      <c r="AA53" s="15">
        <v>65.03</v>
      </c>
      <c r="AB53" s="15">
        <v>65.03</v>
      </c>
      <c r="AC53" s="167">
        <v>3805800</v>
      </c>
      <c r="AD53" s="15">
        <v>64.69</v>
      </c>
    </row>
    <row r="54" spans="24:30" x14ac:dyDescent="0.25">
      <c r="X54" s="173">
        <v>42179</v>
      </c>
      <c r="Y54" s="15">
        <v>66.36</v>
      </c>
      <c r="Z54" s="15">
        <v>66.41</v>
      </c>
      <c r="AA54" s="15">
        <v>65.930000000000007</v>
      </c>
      <c r="AB54" s="15">
        <v>65.95</v>
      </c>
      <c r="AC54" s="167">
        <v>2683700</v>
      </c>
      <c r="AD54" s="15">
        <v>65.61</v>
      </c>
    </row>
    <row r="55" spans="24:30" x14ac:dyDescent="0.25">
      <c r="X55" s="173">
        <v>42178</v>
      </c>
      <c r="Y55" s="15">
        <v>66.41</v>
      </c>
      <c r="Z55" s="15">
        <v>66.52</v>
      </c>
      <c r="AA55" s="15">
        <v>66.180000000000007</v>
      </c>
      <c r="AB55" s="15">
        <v>66.36</v>
      </c>
      <c r="AC55" s="167">
        <v>2484200</v>
      </c>
      <c r="AD55" s="15">
        <v>66.010000000000005</v>
      </c>
    </row>
    <row r="56" spans="24:30" x14ac:dyDescent="0.25">
      <c r="X56" s="173">
        <v>42177</v>
      </c>
      <c r="Y56" s="15">
        <v>66.010000000000005</v>
      </c>
      <c r="Z56" s="15">
        <v>66.900000000000006</v>
      </c>
      <c r="AA56" s="15">
        <v>66.010000000000005</v>
      </c>
      <c r="AB56" s="15">
        <v>66.28</v>
      </c>
      <c r="AC56" s="167">
        <v>4124700</v>
      </c>
      <c r="AD56" s="15">
        <v>65.930000000000007</v>
      </c>
    </row>
    <row r="57" spans="24:30" x14ac:dyDescent="0.25">
      <c r="X57" s="173">
        <v>42174</v>
      </c>
      <c r="Y57" s="15">
        <v>68.150000000000006</v>
      </c>
      <c r="Z57" s="15">
        <v>68.290000000000006</v>
      </c>
      <c r="AA57" s="15">
        <v>66.45</v>
      </c>
      <c r="AB57" s="15">
        <v>66.45</v>
      </c>
      <c r="AC57" s="167">
        <v>5049100</v>
      </c>
      <c r="AD57" s="15">
        <v>66.099999999999994</v>
      </c>
    </row>
    <row r="58" spans="24:30" x14ac:dyDescent="0.25">
      <c r="X58" s="173">
        <v>42173</v>
      </c>
      <c r="Y58" s="15">
        <v>67.38</v>
      </c>
      <c r="Z58" s="15">
        <v>68.47</v>
      </c>
      <c r="AA58" s="15">
        <v>67.33</v>
      </c>
      <c r="AB58" s="15">
        <v>68.349999999999994</v>
      </c>
      <c r="AC58" s="167">
        <v>2905900</v>
      </c>
      <c r="AD58" s="15">
        <v>67.989999999999995</v>
      </c>
    </row>
    <row r="59" spans="24:30" x14ac:dyDescent="0.25">
      <c r="X59" s="173">
        <v>42172</v>
      </c>
      <c r="Y59" s="15">
        <v>67.459999999999994</v>
      </c>
      <c r="Z59" s="15">
        <v>67.569999999999993</v>
      </c>
      <c r="AA59" s="15">
        <v>66.95</v>
      </c>
      <c r="AB59" s="15">
        <v>67.180000000000007</v>
      </c>
      <c r="AC59" s="167">
        <v>1511200</v>
      </c>
      <c r="AD59" s="15">
        <v>66.83</v>
      </c>
    </row>
    <row r="60" spans="24:30" x14ac:dyDescent="0.25">
      <c r="X60" s="173">
        <v>42171</v>
      </c>
      <c r="Y60" s="15">
        <v>66.569999999999993</v>
      </c>
      <c r="Z60" s="15">
        <v>67.44</v>
      </c>
      <c r="AA60" s="15">
        <v>66.44</v>
      </c>
      <c r="AB60" s="15">
        <v>67.33</v>
      </c>
      <c r="AC60" s="167">
        <v>1690100</v>
      </c>
      <c r="AD60" s="15">
        <v>66.98</v>
      </c>
    </row>
    <row r="61" spans="24:30" x14ac:dyDescent="0.25">
      <c r="X61" s="173">
        <v>42170</v>
      </c>
      <c r="Y61" s="15">
        <v>66.86</v>
      </c>
      <c r="Z61" s="15">
        <v>67.22</v>
      </c>
      <c r="AA61" s="15">
        <v>66.650000000000006</v>
      </c>
      <c r="AB61" s="15">
        <v>66.67</v>
      </c>
      <c r="AC61" s="167">
        <v>1940400</v>
      </c>
      <c r="AD61" s="15">
        <v>66.319999999999993</v>
      </c>
    </row>
    <row r="62" spans="24:30" x14ac:dyDescent="0.25">
      <c r="X62" s="173">
        <v>42167</v>
      </c>
      <c r="Y62" s="15">
        <v>67.180000000000007</v>
      </c>
      <c r="Z62" s="15">
        <v>67.489999999999995</v>
      </c>
      <c r="AA62" s="15">
        <v>67.069999999999993</v>
      </c>
      <c r="AB62" s="15">
        <v>67.37</v>
      </c>
      <c r="AC62" s="167">
        <v>1819800</v>
      </c>
      <c r="AD62" s="15">
        <v>67.02</v>
      </c>
    </row>
    <row r="63" spans="24:30" x14ac:dyDescent="0.25">
      <c r="X63" s="173">
        <v>42166</v>
      </c>
      <c r="Y63" s="15">
        <v>67.05</v>
      </c>
      <c r="Z63" s="15">
        <v>67.489999999999995</v>
      </c>
      <c r="AA63" s="15">
        <v>66.92</v>
      </c>
      <c r="AB63" s="15">
        <v>67.489999999999995</v>
      </c>
      <c r="AC63" s="167">
        <v>2069600</v>
      </c>
      <c r="AD63" s="15">
        <v>67.14</v>
      </c>
    </row>
    <row r="64" spans="24:30" x14ac:dyDescent="0.25">
      <c r="X64" s="173">
        <v>42165</v>
      </c>
      <c r="Y64" s="15">
        <v>65.92</v>
      </c>
      <c r="Z64" s="15">
        <v>67.02</v>
      </c>
      <c r="AA64" s="15">
        <v>65.900000000000006</v>
      </c>
      <c r="AB64" s="15">
        <v>66.91</v>
      </c>
      <c r="AC64" s="167">
        <v>2420000</v>
      </c>
      <c r="AD64" s="15">
        <v>66.56</v>
      </c>
    </row>
    <row r="65" spans="24:30" x14ac:dyDescent="0.25">
      <c r="X65" s="173">
        <v>42164</v>
      </c>
      <c r="Y65" s="15">
        <v>65.819999999999993</v>
      </c>
      <c r="Z65" s="15">
        <v>66.25</v>
      </c>
      <c r="AA65" s="15">
        <v>65.599999999999994</v>
      </c>
      <c r="AB65" s="15">
        <v>65.709999999999994</v>
      </c>
      <c r="AC65" s="167">
        <v>2205900</v>
      </c>
      <c r="AD65" s="15">
        <v>65.37</v>
      </c>
    </row>
    <row r="66" spans="24:30" x14ac:dyDescent="0.25">
      <c r="X66" s="173">
        <v>42163</v>
      </c>
      <c r="Y66" s="15">
        <v>66.55</v>
      </c>
      <c r="Z66" s="15">
        <v>66.790000000000006</v>
      </c>
      <c r="AA66" s="15">
        <v>65.8</v>
      </c>
      <c r="AB66" s="15">
        <v>65.819999999999993</v>
      </c>
      <c r="AC66" s="167">
        <v>1990900</v>
      </c>
      <c r="AD66" s="15">
        <v>65.48</v>
      </c>
    </row>
    <row r="67" spans="24:30" x14ac:dyDescent="0.25">
      <c r="X67" s="173">
        <v>42160</v>
      </c>
      <c r="Y67" s="15">
        <v>67.41</v>
      </c>
      <c r="Z67" s="15">
        <v>67.650000000000006</v>
      </c>
      <c r="AA67" s="15">
        <v>66.459999999999994</v>
      </c>
      <c r="AB67" s="15">
        <v>66.48</v>
      </c>
      <c r="AC67" s="167">
        <v>1851300</v>
      </c>
      <c r="AD67" s="15">
        <v>66.13</v>
      </c>
    </row>
    <row r="68" spans="24:30" x14ac:dyDescent="0.25">
      <c r="X68" s="173">
        <v>42159</v>
      </c>
      <c r="Y68" s="15">
        <v>67.38</v>
      </c>
      <c r="Z68" s="15">
        <v>67.680000000000007</v>
      </c>
      <c r="AA68" s="15">
        <v>66.959999999999994</v>
      </c>
      <c r="AB68" s="15">
        <v>67.05</v>
      </c>
      <c r="AC68" s="167">
        <v>2392400</v>
      </c>
      <c r="AD68" s="15">
        <v>66.7</v>
      </c>
    </row>
    <row r="69" spans="24:30" x14ac:dyDescent="0.25">
      <c r="X69" s="15" t="s">
        <v>217</v>
      </c>
      <c r="Y69" s="15"/>
      <c r="Z69" s="15"/>
      <c r="AA69" s="15"/>
      <c r="AB69" s="15"/>
      <c r="AC69" s="15"/>
      <c r="AD69" s="15"/>
    </row>
  </sheetData>
  <mergeCells count="1">
    <mergeCell ref="O16:P16"/>
  </mergeCells>
  <conditionalFormatting sqref="Q7">
    <cfRule type="expression" dxfId="35" priority="4">
      <formula>Q7&gt;0</formula>
    </cfRule>
    <cfRule type="expression" dxfId="34"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c r="F1" s="30" t="s">
        <v>60</v>
      </c>
      <c r="G1" s="19" t="s">
        <v>3</v>
      </c>
      <c r="H1" s="19" t="s">
        <v>6</v>
      </c>
      <c r="I1" s="19" t="s">
        <v>7</v>
      </c>
      <c r="K1" s="19" t="s">
        <v>61</v>
      </c>
      <c r="L1" s="19" t="s">
        <v>37</v>
      </c>
      <c r="M1" s="19" t="s">
        <v>38</v>
      </c>
      <c r="T1" s="19" t="s">
        <v>74</v>
      </c>
    </row>
    <row r="2" spans="1:21" x14ac:dyDescent="0.25">
      <c r="A2" s="8" t="s">
        <v>47</v>
      </c>
      <c r="B2" s="1">
        <v>42185</v>
      </c>
      <c r="C2">
        <v>10</v>
      </c>
      <c r="D2" s="2">
        <v>88.85</v>
      </c>
      <c r="F2" s="2">
        <f>C2*D2</f>
        <v>888.5</v>
      </c>
      <c r="L2" t="s">
        <v>125</v>
      </c>
      <c r="O2" s="19" t="s">
        <v>57</v>
      </c>
      <c r="Q2">
        <f>C6-H6</f>
        <v>60</v>
      </c>
      <c r="T2" s="1">
        <v>42305</v>
      </c>
      <c r="U2" t="s">
        <v>121</v>
      </c>
    </row>
    <row r="3" spans="1:21" x14ac:dyDescent="0.25">
      <c r="A3" s="32" t="s">
        <v>77</v>
      </c>
      <c r="B3" s="1">
        <v>42214</v>
      </c>
      <c r="C3">
        <v>10</v>
      </c>
      <c r="D3" s="2">
        <v>83</v>
      </c>
      <c r="F3" s="2">
        <f t="shared" ref="F3:F5" si="0">C3*D3</f>
        <v>830</v>
      </c>
      <c r="O3" s="19" t="s">
        <v>58</v>
      </c>
      <c r="Q3" s="2">
        <f>(F6-K6)/Q2</f>
        <v>84.788333333333341</v>
      </c>
    </row>
    <row r="4" spans="1:21" x14ac:dyDescent="0.25">
      <c r="B4" s="1">
        <v>42221</v>
      </c>
      <c r="C4">
        <v>30</v>
      </c>
      <c r="D4" s="2">
        <v>84.6</v>
      </c>
      <c r="F4" s="2">
        <f t="shared" si="0"/>
        <v>2538</v>
      </c>
      <c r="O4" s="19" t="s">
        <v>66</v>
      </c>
      <c r="Q4" s="94">
        <v>79.040000000000006</v>
      </c>
    </row>
    <row r="5" spans="1:21" x14ac:dyDescent="0.25">
      <c r="B5" s="1">
        <v>42222</v>
      </c>
      <c r="C5">
        <v>10</v>
      </c>
      <c r="D5" s="2">
        <v>83.08</v>
      </c>
      <c r="F5" s="2">
        <f t="shared" si="0"/>
        <v>830.8</v>
      </c>
      <c r="O5" s="19" t="s">
        <v>67</v>
      </c>
      <c r="Q5" s="5">
        <f>Q4*Q2</f>
        <v>4742.4000000000005</v>
      </c>
    </row>
    <row r="6" spans="1:21" x14ac:dyDescent="0.25">
      <c r="A6" s="31" t="s">
        <v>110</v>
      </c>
      <c r="B6" s="20"/>
      <c r="C6" s="20">
        <f>SUM(C2:C5)</f>
        <v>60</v>
      </c>
      <c r="D6" s="21"/>
      <c r="E6" s="21"/>
      <c r="F6" s="21">
        <f>SUM(F2:F5)</f>
        <v>5087.3</v>
      </c>
      <c r="G6" s="20"/>
      <c r="H6" s="20"/>
      <c r="I6" s="20"/>
      <c r="J6" s="20"/>
      <c r="K6" s="20"/>
      <c r="L6" s="20"/>
      <c r="M6" s="20"/>
      <c r="O6" s="19" t="s">
        <v>64</v>
      </c>
      <c r="Q6" s="2">
        <f>Q3*Q2</f>
        <v>5087.3</v>
      </c>
    </row>
    <row r="7" spans="1:21" x14ac:dyDescent="0.25">
      <c r="O7" s="19" t="s">
        <v>65</v>
      </c>
      <c r="Q7" s="2">
        <f>Q5-Q6+M6</f>
        <v>-344.89999999999964</v>
      </c>
    </row>
    <row r="17" spans="15:18" x14ac:dyDescent="0.25">
      <c r="P17" t="s">
        <v>85</v>
      </c>
      <c r="R17" s="55"/>
    </row>
    <row r="18" spans="15:18" x14ac:dyDescent="0.25">
      <c r="O18" s="2">
        <f>$Q$4</f>
        <v>79.040000000000006</v>
      </c>
      <c r="P18">
        <v>1.1000000000000001</v>
      </c>
      <c r="Q18" s="2">
        <f t="shared" ref="Q18:Q30" si="1">P18*O18</f>
        <v>86.944000000000017</v>
      </c>
      <c r="R18" s="55"/>
    </row>
    <row r="19" spans="15:18" x14ac:dyDescent="0.25">
      <c r="O19" s="2">
        <f>$Q$4</f>
        <v>79.040000000000006</v>
      </c>
      <c r="P19">
        <v>1.05</v>
      </c>
      <c r="Q19" s="2">
        <f t="shared" si="1"/>
        <v>82.992000000000004</v>
      </c>
      <c r="R19" s="55"/>
    </row>
    <row r="20" spans="15:18" x14ac:dyDescent="0.25">
      <c r="O20" s="2">
        <f t="shared" ref="O20:O30" si="2">$Q$4</f>
        <v>79.040000000000006</v>
      </c>
      <c r="P20">
        <v>1.04</v>
      </c>
      <c r="Q20" s="2">
        <f t="shared" si="1"/>
        <v>82.201600000000013</v>
      </c>
      <c r="R20" s="55"/>
    </row>
    <row r="21" spans="15:18" x14ac:dyDescent="0.25">
      <c r="O21" s="2">
        <f t="shared" si="2"/>
        <v>79.040000000000006</v>
      </c>
      <c r="P21" s="2">
        <v>1.03</v>
      </c>
      <c r="Q21" s="2">
        <f t="shared" si="1"/>
        <v>81.411200000000008</v>
      </c>
      <c r="R21" s="55" t="s">
        <v>111</v>
      </c>
    </row>
    <row r="22" spans="15:18" x14ac:dyDescent="0.25">
      <c r="O22" s="2">
        <f t="shared" si="2"/>
        <v>79.040000000000006</v>
      </c>
      <c r="P22" s="2">
        <v>1.02</v>
      </c>
      <c r="Q22" s="2">
        <f t="shared" si="1"/>
        <v>80.620800000000003</v>
      </c>
      <c r="R22" s="55"/>
    </row>
    <row r="23" spans="15:18" x14ac:dyDescent="0.25">
      <c r="O23" s="2">
        <f t="shared" si="2"/>
        <v>79.040000000000006</v>
      </c>
      <c r="P23" s="2">
        <v>1.01</v>
      </c>
      <c r="Q23" s="2">
        <f t="shared" si="1"/>
        <v>79.830400000000012</v>
      </c>
      <c r="R23" s="55"/>
    </row>
    <row r="24" spans="15:18" x14ac:dyDescent="0.25">
      <c r="O24" s="2">
        <f t="shared" si="2"/>
        <v>79.040000000000006</v>
      </c>
      <c r="P24" s="2">
        <v>1</v>
      </c>
      <c r="Q24" s="2">
        <f t="shared" si="1"/>
        <v>79.040000000000006</v>
      </c>
      <c r="R24" s="55"/>
    </row>
    <row r="25" spans="15:18" x14ac:dyDescent="0.25">
      <c r="O25" s="2">
        <f t="shared" si="2"/>
        <v>79.040000000000006</v>
      </c>
      <c r="P25" s="2">
        <v>0.99</v>
      </c>
      <c r="Q25" s="2">
        <f t="shared" si="1"/>
        <v>78.249600000000001</v>
      </c>
      <c r="R25" s="55"/>
    </row>
    <row r="26" spans="15:18" x14ac:dyDescent="0.25">
      <c r="O26" s="2">
        <f t="shared" si="2"/>
        <v>79.040000000000006</v>
      </c>
      <c r="P26" s="2">
        <v>0.98</v>
      </c>
      <c r="Q26" s="2">
        <f t="shared" si="1"/>
        <v>77.45920000000001</v>
      </c>
      <c r="R26" s="55" t="s">
        <v>124</v>
      </c>
    </row>
    <row r="27" spans="15:18" x14ac:dyDescent="0.25">
      <c r="O27" s="2">
        <f t="shared" si="2"/>
        <v>79.040000000000006</v>
      </c>
      <c r="P27" s="2">
        <v>0.97</v>
      </c>
      <c r="Q27" s="2">
        <f t="shared" si="1"/>
        <v>76.668800000000005</v>
      </c>
      <c r="R27" s="55"/>
    </row>
    <row r="28" spans="15:18" x14ac:dyDescent="0.25">
      <c r="O28" s="2">
        <f t="shared" si="2"/>
        <v>79.040000000000006</v>
      </c>
      <c r="P28" s="2">
        <v>0.96</v>
      </c>
      <c r="Q28" s="2">
        <f t="shared" si="1"/>
        <v>75.878399999999999</v>
      </c>
      <c r="R28" s="55"/>
    </row>
    <row r="29" spans="15:18" x14ac:dyDescent="0.25">
      <c r="O29" s="2">
        <f t="shared" si="2"/>
        <v>79.040000000000006</v>
      </c>
      <c r="P29" s="2">
        <v>0.95</v>
      </c>
      <c r="Q29" s="2">
        <f t="shared" si="1"/>
        <v>75.088000000000008</v>
      </c>
      <c r="R29" s="55"/>
    </row>
    <row r="30" spans="15:18" x14ac:dyDescent="0.25">
      <c r="O30" s="2">
        <f t="shared" si="2"/>
        <v>79.040000000000006</v>
      </c>
      <c r="P30" s="2">
        <v>0.9</v>
      </c>
      <c r="Q30" s="2">
        <f t="shared" si="1"/>
        <v>71.13600000000001</v>
      </c>
      <c r="R30" s="55"/>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4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157</v>
      </c>
    </row>
    <row r="2" spans="1:23" x14ac:dyDescent="0.25">
      <c r="A2" s="8" t="s">
        <v>52</v>
      </c>
      <c r="B2" s="1">
        <v>42213</v>
      </c>
      <c r="C2" s="6">
        <v>25</v>
      </c>
      <c r="D2" s="5">
        <v>84.9</v>
      </c>
      <c r="E2" s="5"/>
      <c r="F2" s="5">
        <f t="shared" ref="F2:F8" si="0">C2*D2</f>
        <v>2122.5</v>
      </c>
      <c r="G2" s="1">
        <v>42221</v>
      </c>
      <c r="H2" s="10">
        <v>30</v>
      </c>
      <c r="I2" s="23">
        <v>84.23</v>
      </c>
      <c r="J2" s="23"/>
      <c r="K2" s="23">
        <f>H2*I2</f>
        <v>2526.9</v>
      </c>
      <c r="O2" s="19" t="s">
        <v>57</v>
      </c>
      <c r="Q2">
        <f>C10-H10</f>
        <v>40</v>
      </c>
      <c r="T2" s="1">
        <v>42242</v>
      </c>
      <c r="U2" t="s">
        <v>161</v>
      </c>
    </row>
    <row r="3" spans="1:23" x14ac:dyDescent="0.25">
      <c r="A3" s="32" t="s">
        <v>77</v>
      </c>
      <c r="B3" s="1">
        <v>42213</v>
      </c>
      <c r="C3" s="10">
        <v>5</v>
      </c>
      <c r="D3" s="23">
        <v>84.25</v>
      </c>
      <c r="E3" s="23"/>
      <c r="F3" s="23">
        <f t="shared" si="0"/>
        <v>421.25</v>
      </c>
      <c r="G3" s="1"/>
      <c r="O3" s="19" t="s">
        <v>58</v>
      </c>
      <c r="Q3" s="2">
        <f>(F10-K10)/Q2</f>
        <v>82.314999999999998</v>
      </c>
    </row>
    <row r="4" spans="1:23" x14ac:dyDescent="0.25">
      <c r="B4" s="1">
        <v>42214</v>
      </c>
      <c r="C4" s="10">
        <v>10</v>
      </c>
      <c r="D4" s="23">
        <v>83.2</v>
      </c>
      <c r="E4" s="23"/>
      <c r="F4" s="23">
        <f t="shared" si="0"/>
        <v>832</v>
      </c>
      <c r="O4" s="19" t="s">
        <v>66</v>
      </c>
      <c r="Q4" s="94">
        <v>83.01</v>
      </c>
    </row>
    <row r="5" spans="1:23" x14ac:dyDescent="0.25">
      <c r="B5" s="1">
        <v>42215</v>
      </c>
      <c r="C5" s="10">
        <v>5</v>
      </c>
      <c r="D5" s="23">
        <v>82.25</v>
      </c>
      <c r="E5" s="23"/>
      <c r="F5" s="23">
        <f t="shared" si="0"/>
        <v>411.25</v>
      </c>
      <c r="O5" s="19" t="s">
        <v>67</v>
      </c>
      <c r="Q5" s="5">
        <f>Q4*Q2</f>
        <v>3320.4</v>
      </c>
      <c r="T5" s="1">
        <v>42307</v>
      </c>
      <c r="U5" t="s">
        <v>183</v>
      </c>
    </row>
    <row r="6" spans="1:23" x14ac:dyDescent="0.25">
      <c r="B6" s="1">
        <v>42220</v>
      </c>
      <c r="C6" s="10">
        <v>10</v>
      </c>
      <c r="D6" s="23">
        <v>81.349999999999994</v>
      </c>
      <c r="E6" s="23"/>
      <c r="F6" s="23">
        <f t="shared" si="0"/>
        <v>813.5</v>
      </c>
      <c r="O6" s="19" t="s">
        <v>64</v>
      </c>
      <c r="Q6" s="2">
        <f>Q3*Q2</f>
        <v>3292.6</v>
      </c>
    </row>
    <row r="7" spans="1:23" x14ac:dyDescent="0.25">
      <c r="B7" s="1">
        <v>42220</v>
      </c>
      <c r="C7">
        <v>5</v>
      </c>
      <c r="D7" s="2">
        <v>82.4</v>
      </c>
      <c r="F7" s="2">
        <f t="shared" si="0"/>
        <v>412</v>
      </c>
      <c r="O7" s="19" t="s">
        <v>65</v>
      </c>
      <c r="Q7" s="2">
        <f>Q5-Q6+M10</f>
        <v>27.800000000000182</v>
      </c>
    </row>
    <row r="8" spans="1:23" x14ac:dyDescent="0.25">
      <c r="B8" s="1">
        <v>42221</v>
      </c>
      <c r="C8">
        <v>10</v>
      </c>
      <c r="D8" s="2">
        <v>80.7</v>
      </c>
      <c r="F8" s="2">
        <f t="shared" si="0"/>
        <v>807</v>
      </c>
    </row>
    <row r="9" spans="1:23" x14ac:dyDescent="0.25">
      <c r="B9" s="1"/>
    </row>
    <row r="10" spans="1:23" x14ac:dyDescent="0.25">
      <c r="A10" s="31" t="s">
        <v>110</v>
      </c>
      <c r="B10" s="20"/>
      <c r="C10" s="20">
        <f>SUM(C2:C8)</f>
        <v>70</v>
      </c>
      <c r="D10" s="21"/>
      <c r="E10" s="21"/>
      <c r="F10" s="21">
        <f>SUM(F2:F8)</f>
        <v>5819.5</v>
      </c>
      <c r="G10" s="20"/>
      <c r="H10" s="20">
        <f>SUM(H2:H7)</f>
        <v>30</v>
      </c>
      <c r="I10" s="21"/>
      <c r="J10" s="21"/>
      <c r="K10" s="21">
        <f>SUM(K2:K7)</f>
        <v>2526.9</v>
      </c>
      <c r="L10" s="20"/>
      <c r="M10" s="20"/>
    </row>
    <row r="13" spans="1:23" x14ac:dyDescent="0.25">
      <c r="W13" s="2"/>
    </row>
    <row r="14" spans="1:23" x14ac:dyDescent="0.25">
      <c r="W14" s="2"/>
    </row>
    <row r="15" spans="1:23" x14ac:dyDescent="0.25">
      <c r="W15" s="2"/>
    </row>
    <row r="16" spans="1:23" x14ac:dyDescent="0.25">
      <c r="W16" s="2"/>
    </row>
    <row r="17" spans="15:23" x14ac:dyDescent="0.25">
      <c r="W17" s="2"/>
    </row>
    <row r="19" spans="15:23" ht="20.25" thickBot="1" x14ac:dyDescent="0.35">
      <c r="O19" s="201" t="s">
        <v>85</v>
      </c>
      <c r="P19" s="201"/>
    </row>
    <row r="20" spans="15:23" ht="15.75" thickTop="1" x14ac:dyDescent="0.25">
      <c r="O20" s="146">
        <v>1.1000000000000001</v>
      </c>
      <c r="P20" s="146">
        <f>O20*$Q$4</f>
        <v>91.311000000000007</v>
      </c>
      <c r="Q20" s="2"/>
    </row>
    <row r="21" spans="15:23" x14ac:dyDescent="0.25">
      <c r="O21" s="146">
        <v>1.0900000000000001</v>
      </c>
      <c r="P21" s="146">
        <f t="shared" ref="P21:P40" si="1">O21*$Q$4</f>
        <v>90.480900000000005</v>
      </c>
      <c r="Q21" s="2"/>
    </row>
    <row r="22" spans="15:23" x14ac:dyDescent="0.25">
      <c r="O22" s="146">
        <v>1.08</v>
      </c>
      <c r="P22" s="146">
        <f t="shared" si="1"/>
        <v>89.650800000000018</v>
      </c>
      <c r="Q22" s="2"/>
    </row>
    <row r="23" spans="15:23" x14ac:dyDescent="0.25">
      <c r="O23" s="146">
        <v>1.07</v>
      </c>
      <c r="P23" s="146">
        <f t="shared" si="1"/>
        <v>88.820700000000016</v>
      </c>
      <c r="Q23" s="2"/>
    </row>
    <row r="24" spans="15:23" x14ac:dyDescent="0.25">
      <c r="O24" s="146">
        <v>1.06</v>
      </c>
      <c r="P24" s="146">
        <f t="shared" si="1"/>
        <v>87.990600000000015</v>
      </c>
      <c r="Q24" s="2"/>
    </row>
    <row r="25" spans="15:23" x14ac:dyDescent="0.25">
      <c r="O25" s="146">
        <v>1.05</v>
      </c>
      <c r="P25" s="146">
        <f t="shared" si="1"/>
        <v>87.160500000000013</v>
      </c>
      <c r="Q25" s="2"/>
    </row>
    <row r="26" spans="15:23" x14ac:dyDescent="0.25">
      <c r="O26" s="146">
        <v>1.04</v>
      </c>
      <c r="P26" s="146">
        <f t="shared" si="1"/>
        <v>86.330400000000012</v>
      </c>
      <c r="Q26" s="2"/>
    </row>
    <row r="27" spans="15:23" x14ac:dyDescent="0.25">
      <c r="O27" s="146">
        <v>1.03</v>
      </c>
      <c r="P27" s="146">
        <f t="shared" si="1"/>
        <v>85.50030000000001</v>
      </c>
      <c r="Q27" s="2"/>
    </row>
    <row r="28" spans="15:23" x14ac:dyDescent="0.25">
      <c r="O28" s="146">
        <v>1.02</v>
      </c>
      <c r="P28" s="146">
        <f t="shared" si="1"/>
        <v>84.670200000000008</v>
      </c>
      <c r="Q28" s="2"/>
    </row>
    <row r="29" spans="15:23" x14ac:dyDescent="0.25">
      <c r="O29" s="146">
        <v>1.01</v>
      </c>
      <c r="P29" s="146">
        <f t="shared" si="1"/>
        <v>83.840100000000007</v>
      </c>
      <c r="Q29" s="2"/>
    </row>
    <row r="30" spans="15:23" x14ac:dyDescent="0.25">
      <c r="O30" s="146">
        <v>1</v>
      </c>
      <c r="P30" s="146">
        <f t="shared" si="1"/>
        <v>83.01</v>
      </c>
      <c r="Q30" s="2"/>
    </row>
    <row r="31" spans="15:23" x14ac:dyDescent="0.25">
      <c r="O31" s="146">
        <v>0.99</v>
      </c>
      <c r="P31" s="146">
        <f t="shared" si="1"/>
        <v>82.179900000000004</v>
      </c>
      <c r="Q31" s="2"/>
    </row>
    <row r="32" spans="15:23" x14ac:dyDescent="0.25">
      <c r="O32" s="146">
        <v>0.98</v>
      </c>
      <c r="P32" s="146">
        <f t="shared" si="1"/>
        <v>81.349800000000002</v>
      </c>
      <c r="Q32" s="2"/>
    </row>
    <row r="33" spans="15:16" x14ac:dyDescent="0.25">
      <c r="O33" s="146">
        <v>0.97</v>
      </c>
      <c r="P33" s="146">
        <f t="shared" si="1"/>
        <v>80.5197</v>
      </c>
    </row>
    <row r="34" spans="15:16" x14ac:dyDescent="0.25">
      <c r="O34" s="146">
        <v>0.96</v>
      </c>
      <c r="P34" s="146">
        <f t="shared" si="1"/>
        <v>79.689599999999999</v>
      </c>
    </row>
    <row r="35" spans="15:16" x14ac:dyDescent="0.25">
      <c r="O35" s="146">
        <v>0.95</v>
      </c>
      <c r="P35" s="146">
        <f t="shared" si="1"/>
        <v>78.859499999999997</v>
      </c>
    </row>
    <row r="36" spans="15:16" x14ac:dyDescent="0.25">
      <c r="O36" s="146">
        <v>0.94</v>
      </c>
      <c r="P36" s="146">
        <f t="shared" si="1"/>
        <v>78.029399999999995</v>
      </c>
    </row>
    <row r="37" spans="15:16" x14ac:dyDescent="0.25">
      <c r="O37" s="146">
        <v>0.93</v>
      </c>
      <c r="P37" s="146">
        <f t="shared" si="1"/>
        <v>77.199300000000008</v>
      </c>
    </row>
    <row r="38" spans="15:16" x14ac:dyDescent="0.25">
      <c r="O38" s="146">
        <v>0.92</v>
      </c>
      <c r="P38" s="146">
        <f t="shared" si="1"/>
        <v>76.369200000000006</v>
      </c>
    </row>
    <row r="39" spans="15:16" x14ac:dyDescent="0.25">
      <c r="O39" s="146">
        <v>0.91</v>
      </c>
      <c r="P39" s="146">
        <f t="shared" si="1"/>
        <v>75.539100000000005</v>
      </c>
    </row>
    <row r="40" spans="15:16" x14ac:dyDescent="0.25">
      <c r="O40" s="146">
        <v>0.9</v>
      </c>
      <c r="P40" s="146">
        <f t="shared" si="1"/>
        <v>74.709000000000003</v>
      </c>
    </row>
    <row r="41" spans="15:16" x14ac:dyDescent="0.25">
      <c r="O41" s="55"/>
    </row>
  </sheetData>
  <mergeCells count="1">
    <mergeCell ref="O19:P19"/>
  </mergeCells>
  <conditionalFormatting sqref="Q7">
    <cfRule type="expression" dxfId="31" priority="4">
      <formula>Q7&gt;0</formula>
    </cfRule>
    <cfRule type="expression" dxfId="30" priority="5">
      <formula>Q7&lt;0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74</v>
      </c>
    </row>
    <row r="2" spans="1:21" x14ac:dyDescent="0.25">
      <c r="A2" s="8" t="s">
        <v>35</v>
      </c>
      <c r="B2" s="1">
        <v>42166</v>
      </c>
      <c r="C2" s="17">
        <v>10</v>
      </c>
      <c r="D2" s="63">
        <v>55.7</v>
      </c>
      <c r="E2" s="63"/>
      <c r="F2" s="63">
        <f>C2*D2</f>
        <v>557</v>
      </c>
      <c r="G2" s="1">
        <v>42208</v>
      </c>
      <c r="H2" s="17">
        <v>10</v>
      </c>
      <c r="I2" s="63">
        <v>56</v>
      </c>
      <c r="J2" s="63"/>
      <c r="K2" s="63">
        <f>H2*I2</f>
        <v>560</v>
      </c>
      <c r="O2" s="19" t="s">
        <v>57</v>
      </c>
      <c r="Q2">
        <f>C8-H8</f>
        <v>35</v>
      </c>
      <c r="T2" s="1">
        <v>42313</v>
      </c>
      <c r="U2" t="s">
        <v>121</v>
      </c>
    </row>
    <row r="3" spans="1:21" x14ac:dyDescent="0.25">
      <c r="A3" s="32" t="s">
        <v>77</v>
      </c>
      <c r="B3" s="1">
        <v>42205</v>
      </c>
      <c r="C3" s="18">
        <v>10</v>
      </c>
      <c r="D3" s="60">
        <v>52.6</v>
      </c>
      <c r="E3" s="60"/>
      <c r="F3" s="60">
        <f>C3*D3</f>
        <v>526</v>
      </c>
      <c r="G3" s="1">
        <v>42234</v>
      </c>
      <c r="H3" s="18">
        <v>25</v>
      </c>
      <c r="I3" s="60">
        <v>50.88</v>
      </c>
      <c r="J3" s="60"/>
      <c r="K3" s="60">
        <f t="shared" ref="K3" si="0">H3*I3</f>
        <v>1272</v>
      </c>
      <c r="O3" s="19" t="s">
        <v>58</v>
      </c>
      <c r="Q3" s="2">
        <f>(F8-K8)/Q2</f>
        <v>47.585714285714289</v>
      </c>
    </row>
    <row r="4" spans="1:21" x14ac:dyDescent="0.25">
      <c r="B4" s="1">
        <v>42229</v>
      </c>
      <c r="C4" s="6">
        <v>15</v>
      </c>
      <c r="D4" s="5">
        <v>50.9</v>
      </c>
      <c r="E4" s="5"/>
      <c r="F4" s="5">
        <f>C4*D4</f>
        <v>763.5</v>
      </c>
      <c r="O4" s="19" t="s">
        <v>66</v>
      </c>
      <c r="Q4" s="94">
        <v>48.12</v>
      </c>
    </row>
    <row r="5" spans="1:21" x14ac:dyDescent="0.25">
      <c r="B5" s="1">
        <v>42233</v>
      </c>
      <c r="C5" s="18">
        <v>15</v>
      </c>
      <c r="D5" s="60">
        <v>46.8</v>
      </c>
      <c r="E5" s="60"/>
      <c r="F5" s="60">
        <f>C5*D5</f>
        <v>702</v>
      </c>
      <c r="O5" s="19" t="s">
        <v>67</v>
      </c>
      <c r="Q5" s="5">
        <f>Q4*Q2</f>
        <v>1684.1999999999998</v>
      </c>
    </row>
    <row r="6" spans="1:21" x14ac:dyDescent="0.25">
      <c r="B6" s="1">
        <v>42233</v>
      </c>
      <c r="C6">
        <v>20</v>
      </c>
      <c r="D6" s="2">
        <v>47.45</v>
      </c>
      <c r="F6" s="2">
        <f>C6*D6</f>
        <v>949</v>
      </c>
      <c r="O6" s="19" t="s">
        <v>64</v>
      </c>
      <c r="Q6" s="2">
        <f>Q3*Q2</f>
        <v>1665.5</v>
      </c>
    </row>
    <row r="7" spans="1:21" x14ac:dyDescent="0.25">
      <c r="B7" s="1"/>
      <c r="O7" s="19" t="s">
        <v>65</v>
      </c>
      <c r="Q7" s="2">
        <f>Q5-Q6</f>
        <v>18.699999999999818</v>
      </c>
    </row>
    <row r="8" spans="1:21" x14ac:dyDescent="0.25">
      <c r="A8" s="53" t="s">
        <v>110</v>
      </c>
      <c r="B8" s="22"/>
      <c r="C8" s="22">
        <f>SUM(C2:C6)</f>
        <v>70</v>
      </c>
      <c r="D8" s="27"/>
      <c r="E8" s="27"/>
      <c r="F8" s="27">
        <f>SUM(F2:F6)</f>
        <v>3497.5</v>
      </c>
      <c r="G8" s="22"/>
      <c r="H8" s="22">
        <f>SUM(H2:H4)</f>
        <v>35</v>
      </c>
      <c r="I8" s="27"/>
      <c r="J8" s="27"/>
      <c r="K8" s="27">
        <f>SUM(K2:K4)</f>
        <v>1832</v>
      </c>
      <c r="L8" s="22"/>
      <c r="M8" s="22"/>
    </row>
    <row r="18" spans="15:17" x14ac:dyDescent="0.25">
      <c r="P18" t="s">
        <v>85</v>
      </c>
    </row>
    <row r="19" spans="15:17" x14ac:dyDescent="0.25">
      <c r="O19" s="2">
        <f>$Q$4</f>
        <v>48.12</v>
      </c>
      <c r="P19">
        <v>1.1000000000000001</v>
      </c>
      <c r="Q19" s="2">
        <f t="shared" ref="Q19:Q31" si="1">P19*O19</f>
        <v>52.932000000000002</v>
      </c>
    </row>
    <row r="20" spans="15:17" x14ac:dyDescent="0.25">
      <c r="O20" s="2">
        <f>$Q$4</f>
        <v>48.12</v>
      </c>
      <c r="P20">
        <v>1.05</v>
      </c>
      <c r="Q20" s="2">
        <f t="shared" si="1"/>
        <v>50.525999999999996</v>
      </c>
    </row>
    <row r="21" spans="15:17" x14ac:dyDescent="0.25">
      <c r="O21" s="2">
        <f t="shared" ref="O21:O31" si="2">$Q$4</f>
        <v>48.12</v>
      </c>
      <c r="P21">
        <v>1.04</v>
      </c>
      <c r="Q21" s="2">
        <f t="shared" si="1"/>
        <v>50.044800000000002</v>
      </c>
    </row>
    <row r="22" spans="15:17" x14ac:dyDescent="0.25">
      <c r="O22" s="2">
        <f t="shared" si="2"/>
        <v>48.12</v>
      </c>
      <c r="P22" s="2">
        <v>1.03</v>
      </c>
      <c r="Q22" s="2">
        <f t="shared" si="1"/>
        <v>49.563600000000001</v>
      </c>
    </row>
    <row r="23" spans="15:17" x14ac:dyDescent="0.25">
      <c r="O23" s="2">
        <f t="shared" si="2"/>
        <v>48.12</v>
      </c>
      <c r="P23" s="2">
        <v>1.02</v>
      </c>
      <c r="Q23" s="2">
        <f t="shared" si="1"/>
        <v>49.0824</v>
      </c>
    </row>
    <row r="24" spans="15:17" x14ac:dyDescent="0.25">
      <c r="O24" s="2">
        <f t="shared" si="2"/>
        <v>48.12</v>
      </c>
      <c r="P24" s="2">
        <v>1.01</v>
      </c>
      <c r="Q24" s="2">
        <f t="shared" si="1"/>
        <v>48.601199999999999</v>
      </c>
    </row>
    <row r="25" spans="15:17" x14ac:dyDescent="0.25">
      <c r="O25" s="2">
        <f t="shared" si="2"/>
        <v>48.12</v>
      </c>
      <c r="P25" s="2">
        <v>1</v>
      </c>
      <c r="Q25" s="2">
        <f t="shared" si="1"/>
        <v>48.12</v>
      </c>
    </row>
    <row r="26" spans="15:17" x14ac:dyDescent="0.25">
      <c r="O26" s="2">
        <f t="shared" si="2"/>
        <v>48.12</v>
      </c>
      <c r="P26" s="2">
        <v>0.99</v>
      </c>
      <c r="Q26" s="2">
        <f t="shared" si="1"/>
        <v>47.638799999999996</v>
      </c>
    </row>
    <row r="27" spans="15:17" x14ac:dyDescent="0.25">
      <c r="O27" s="2">
        <f t="shared" si="2"/>
        <v>48.12</v>
      </c>
      <c r="P27" s="2">
        <v>0.98</v>
      </c>
      <c r="Q27" s="2">
        <f t="shared" si="1"/>
        <v>47.157599999999995</v>
      </c>
    </row>
    <row r="28" spans="15:17" x14ac:dyDescent="0.25">
      <c r="O28" s="2">
        <f t="shared" si="2"/>
        <v>48.12</v>
      </c>
      <c r="P28" s="2">
        <v>0.97</v>
      </c>
      <c r="Q28" s="2">
        <f t="shared" si="1"/>
        <v>46.676399999999994</v>
      </c>
    </row>
    <row r="29" spans="15:17" x14ac:dyDescent="0.25">
      <c r="O29" s="2">
        <f t="shared" si="2"/>
        <v>48.12</v>
      </c>
      <c r="P29" s="2">
        <v>0.96</v>
      </c>
      <c r="Q29" s="2">
        <f t="shared" si="1"/>
        <v>46.195199999999993</v>
      </c>
    </row>
    <row r="30" spans="15:17" x14ac:dyDescent="0.25">
      <c r="O30" s="2">
        <f t="shared" si="2"/>
        <v>48.12</v>
      </c>
      <c r="P30" s="2">
        <v>0.95</v>
      </c>
      <c r="Q30" s="2">
        <f t="shared" si="1"/>
        <v>45.713999999999999</v>
      </c>
    </row>
    <row r="31" spans="15:17" x14ac:dyDescent="0.25">
      <c r="O31" s="2">
        <f t="shared" si="2"/>
        <v>48.12</v>
      </c>
      <c r="P31" s="2">
        <v>0.9</v>
      </c>
      <c r="Q31" s="2">
        <f t="shared" si="1"/>
        <v>43.308</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19" customFormat="1" x14ac:dyDescent="0.25">
      <c r="A1" s="19" t="s">
        <v>1</v>
      </c>
      <c r="B1" s="19" t="s">
        <v>2</v>
      </c>
      <c r="C1" s="19" t="s">
        <v>4</v>
      </c>
      <c r="D1" s="19" t="s">
        <v>5</v>
      </c>
      <c r="F1" s="19" t="s">
        <v>60</v>
      </c>
      <c r="G1" s="19" t="s">
        <v>3</v>
      </c>
      <c r="H1" s="19" t="s">
        <v>6</v>
      </c>
      <c r="I1" s="19" t="s">
        <v>7</v>
      </c>
      <c r="K1" s="19" t="s">
        <v>61</v>
      </c>
      <c r="L1" s="19" t="s">
        <v>37</v>
      </c>
      <c r="M1" s="19" t="s">
        <v>38</v>
      </c>
      <c r="T1" s="19" t="s">
        <v>74</v>
      </c>
    </row>
    <row r="2" spans="1:21" x14ac:dyDescent="0.25">
      <c r="A2" s="8" t="s">
        <v>68</v>
      </c>
      <c r="B2" s="1">
        <v>42164</v>
      </c>
      <c r="C2">
        <v>20</v>
      </c>
      <c r="D2">
        <v>11.25</v>
      </c>
      <c r="F2">
        <f>C2*D2</f>
        <v>225</v>
      </c>
      <c r="G2" s="1">
        <v>42235</v>
      </c>
      <c r="H2" s="14">
        <v>110</v>
      </c>
      <c r="I2" s="14">
        <v>8.69</v>
      </c>
      <c r="J2" s="14"/>
      <c r="K2" s="14">
        <f>H2*I2</f>
        <v>955.9</v>
      </c>
      <c r="O2" s="19" t="s">
        <v>57</v>
      </c>
      <c r="Q2">
        <f>C8-H8</f>
        <v>120</v>
      </c>
      <c r="T2" s="1">
        <v>42295</v>
      </c>
      <c r="U2" t="s">
        <v>121</v>
      </c>
    </row>
    <row r="3" spans="1:21" x14ac:dyDescent="0.25">
      <c r="A3" s="32" t="s">
        <v>77</v>
      </c>
      <c r="B3" s="1">
        <v>42187</v>
      </c>
      <c r="C3">
        <v>20</v>
      </c>
      <c r="D3">
        <v>10.28</v>
      </c>
      <c r="F3">
        <f>C3*D3</f>
        <v>205.6</v>
      </c>
      <c r="O3" s="19" t="s">
        <v>58</v>
      </c>
      <c r="Q3" s="2">
        <f>(F8-K8)/Q2</f>
        <v>10.082500000000001</v>
      </c>
    </row>
    <row r="4" spans="1:21" x14ac:dyDescent="0.25">
      <c r="B4" s="1">
        <v>42198</v>
      </c>
      <c r="C4">
        <v>40</v>
      </c>
      <c r="D4">
        <v>10.119999999999999</v>
      </c>
      <c r="F4">
        <f>C4*D4</f>
        <v>404.79999999999995</v>
      </c>
      <c r="O4" s="19" t="s">
        <v>66</v>
      </c>
      <c r="Q4" s="94">
        <v>7.72</v>
      </c>
    </row>
    <row r="5" spans="1:21" x14ac:dyDescent="0.25">
      <c r="B5" s="1">
        <v>42198</v>
      </c>
      <c r="C5">
        <v>40</v>
      </c>
      <c r="D5">
        <v>9.94</v>
      </c>
      <c r="F5">
        <f>C5*D5</f>
        <v>397.59999999999997</v>
      </c>
      <c r="O5" s="19" t="s">
        <v>67</v>
      </c>
      <c r="Q5" s="5">
        <f>Q4*Q2</f>
        <v>926.4</v>
      </c>
    </row>
    <row r="6" spans="1:21" x14ac:dyDescent="0.25">
      <c r="B6" s="1">
        <v>42233</v>
      </c>
      <c r="C6" s="14">
        <v>110</v>
      </c>
      <c r="D6" s="14">
        <v>8.48</v>
      </c>
      <c r="E6" s="14"/>
      <c r="F6" s="14">
        <f>C6*D6</f>
        <v>932.80000000000007</v>
      </c>
      <c r="O6" s="19" t="s">
        <v>64</v>
      </c>
      <c r="Q6" s="2">
        <f>Q3*Q2</f>
        <v>1209.9000000000001</v>
      </c>
    </row>
    <row r="7" spans="1:21" x14ac:dyDescent="0.25">
      <c r="B7" s="1"/>
      <c r="O7" s="19" t="s">
        <v>65</v>
      </c>
      <c r="Q7" s="2">
        <f>Q5-Q6</f>
        <v>-283.50000000000011</v>
      </c>
    </row>
    <row r="8" spans="1:21" x14ac:dyDescent="0.25">
      <c r="A8" s="31" t="s">
        <v>110</v>
      </c>
      <c r="B8" s="20"/>
      <c r="C8" s="20">
        <f>SUM(C2:C6)</f>
        <v>230</v>
      </c>
      <c r="D8" s="20"/>
      <c r="E8" s="20"/>
      <c r="F8" s="20">
        <f>SUM(F2:F6)</f>
        <v>2165.8000000000002</v>
      </c>
      <c r="G8" s="20"/>
      <c r="H8" s="20">
        <f>SUM(H2:H4)</f>
        <v>110</v>
      </c>
      <c r="I8" s="20"/>
      <c r="J8" s="20"/>
      <c r="K8" s="20">
        <f>SUM(K2:K4)</f>
        <v>955.9</v>
      </c>
      <c r="L8" s="20"/>
      <c r="M8" s="20"/>
    </row>
    <row r="12" spans="1:21" x14ac:dyDescent="0.25">
      <c r="T12" s="1">
        <v>42233</v>
      </c>
      <c r="U12" t="s">
        <v>155</v>
      </c>
    </row>
    <row r="14" spans="1:21" x14ac:dyDescent="0.25">
      <c r="P14" t="s">
        <v>85</v>
      </c>
      <c r="R14" s="55"/>
    </row>
    <row r="15" spans="1:21" x14ac:dyDescent="0.25">
      <c r="O15" s="2">
        <f>$Q$4</f>
        <v>7.72</v>
      </c>
      <c r="P15">
        <v>1.1000000000000001</v>
      </c>
      <c r="Q15" s="2">
        <f t="shared" ref="Q15:Q27" si="0">P15*O15</f>
        <v>8.4920000000000009</v>
      </c>
      <c r="R15" s="55"/>
    </row>
    <row r="16" spans="1:21" x14ac:dyDescent="0.25">
      <c r="O16" s="2">
        <f>$Q$4</f>
        <v>7.72</v>
      </c>
      <c r="P16">
        <v>1.05</v>
      </c>
      <c r="Q16" s="2">
        <f t="shared" si="0"/>
        <v>8.1059999999999999</v>
      </c>
      <c r="R16" s="55"/>
    </row>
    <row r="17" spans="15:18" x14ac:dyDescent="0.25">
      <c r="O17" s="2">
        <f t="shared" ref="O17:O27" si="1">$Q$4</f>
        <v>7.72</v>
      </c>
      <c r="P17">
        <v>1.04</v>
      </c>
      <c r="Q17" s="2">
        <f t="shared" si="0"/>
        <v>8.0288000000000004</v>
      </c>
      <c r="R17" s="55"/>
    </row>
    <row r="18" spans="15:18" x14ac:dyDescent="0.25">
      <c r="O18" s="2">
        <f t="shared" si="1"/>
        <v>7.72</v>
      </c>
      <c r="P18" s="2">
        <v>1.03</v>
      </c>
      <c r="Q18" s="2">
        <f t="shared" si="0"/>
        <v>7.9516</v>
      </c>
      <c r="R18" s="55"/>
    </row>
    <row r="19" spans="15:18" x14ac:dyDescent="0.25">
      <c r="O19" s="2">
        <f t="shared" si="1"/>
        <v>7.72</v>
      </c>
      <c r="P19" s="2">
        <v>1.02</v>
      </c>
      <c r="Q19" s="2">
        <f t="shared" si="0"/>
        <v>7.8743999999999996</v>
      </c>
      <c r="R19" s="55"/>
    </row>
    <row r="20" spans="15:18" x14ac:dyDescent="0.25">
      <c r="O20" s="2">
        <f t="shared" si="1"/>
        <v>7.72</v>
      </c>
      <c r="P20" s="2">
        <v>1.01</v>
      </c>
      <c r="Q20" s="2">
        <f t="shared" si="0"/>
        <v>7.7972000000000001</v>
      </c>
      <c r="R20" s="55"/>
    </row>
    <row r="21" spans="15:18" x14ac:dyDescent="0.25">
      <c r="O21" s="2">
        <f t="shared" si="1"/>
        <v>7.72</v>
      </c>
      <c r="P21" s="2">
        <v>1</v>
      </c>
      <c r="Q21" s="2">
        <f t="shared" si="0"/>
        <v>7.72</v>
      </c>
      <c r="R21" s="55"/>
    </row>
    <row r="22" spans="15:18" x14ac:dyDescent="0.25">
      <c r="O22" s="2">
        <f t="shared" si="1"/>
        <v>7.72</v>
      </c>
      <c r="P22" s="2">
        <v>0.99</v>
      </c>
      <c r="Q22" s="2">
        <f t="shared" si="0"/>
        <v>7.6427999999999994</v>
      </c>
      <c r="R22" s="55"/>
    </row>
    <row r="23" spans="15:18" x14ac:dyDescent="0.25">
      <c r="O23" s="2">
        <f t="shared" si="1"/>
        <v>7.72</v>
      </c>
      <c r="P23" s="2">
        <v>0.98</v>
      </c>
      <c r="Q23" s="2">
        <f t="shared" si="0"/>
        <v>7.5655999999999999</v>
      </c>
      <c r="R23" s="55"/>
    </row>
    <row r="24" spans="15:18" x14ac:dyDescent="0.25">
      <c r="O24" s="2">
        <f t="shared" si="1"/>
        <v>7.72</v>
      </c>
      <c r="P24" s="2">
        <v>0.97</v>
      </c>
      <c r="Q24" s="2">
        <f t="shared" si="0"/>
        <v>7.4883999999999995</v>
      </c>
      <c r="R24" s="55"/>
    </row>
    <row r="25" spans="15:18" x14ac:dyDescent="0.25">
      <c r="O25" s="2">
        <f t="shared" si="1"/>
        <v>7.72</v>
      </c>
      <c r="P25" s="2">
        <v>0.96</v>
      </c>
      <c r="Q25" s="2">
        <f t="shared" si="0"/>
        <v>7.4111999999999991</v>
      </c>
      <c r="R25" s="55"/>
    </row>
    <row r="26" spans="15:18" x14ac:dyDescent="0.25">
      <c r="O26" s="2">
        <f t="shared" si="1"/>
        <v>7.72</v>
      </c>
      <c r="P26" s="2">
        <v>0.95</v>
      </c>
      <c r="Q26" s="2">
        <f t="shared" si="0"/>
        <v>7.3339999999999996</v>
      </c>
      <c r="R26" s="55"/>
    </row>
    <row r="27" spans="15:18" x14ac:dyDescent="0.25">
      <c r="O27" s="2">
        <f t="shared" si="1"/>
        <v>7.72</v>
      </c>
      <c r="P27" s="2">
        <v>0.9</v>
      </c>
      <c r="Q27" s="2">
        <f t="shared" si="0"/>
        <v>6.9479999999999995</v>
      </c>
      <c r="R27" s="55"/>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19" customFormat="1" x14ac:dyDescent="0.25">
      <c r="A1" s="19" t="s">
        <v>1</v>
      </c>
      <c r="B1" s="19" t="s">
        <v>2</v>
      </c>
      <c r="C1" s="19" t="s">
        <v>4</v>
      </c>
      <c r="D1" s="30" t="s">
        <v>5</v>
      </c>
      <c r="E1" s="30"/>
      <c r="F1" s="30" t="s">
        <v>69</v>
      </c>
      <c r="G1" s="19" t="s">
        <v>3</v>
      </c>
      <c r="H1" s="19" t="s">
        <v>6</v>
      </c>
      <c r="I1" s="30" t="s">
        <v>7</v>
      </c>
      <c r="J1" s="30"/>
      <c r="K1" s="30" t="s">
        <v>61</v>
      </c>
      <c r="L1" s="19" t="s">
        <v>37</v>
      </c>
      <c r="M1" s="30" t="s">
        <v>38</v>
      </c>
      <c r="T1" s="19" t="s">
        <v>74</v>
      </c>
    </row>
    <row r="2" spans="1:21" x14ac:dyDescent="0.25">
      <c r="A2" s="8" t="s">
        <v>19</v>
      </c>
      <c r="B2" s="28">
        <v>42152</v>
      </c>
      <c r="C2" s="14">
        <v>5</v>
      </c>
      <c r="D2" s="67">
        <v>35.049999999999997</v>
      </c>
      <c r="E2" s="67"/>
      <c r="F2" s="67">
        <f>C2*D2</f>
        <v>175.25</v>
      </c>
      <c r="G2" s="1">
        <v>42206</v>
      </c>
      <c r="H2" s="14">
        <v>39</v>
      </c>
      <c r="I2" s="67">
        <v>35.65</v>
      </c>
      <c r="J2" s="67"/>
      <c r="K2" s="67">
        <f>I2*H2</f>
        <v>1390.35</v>
      </c>
      <c r="L2" s="1">
        <v>42170</v>
      </c>
      <c r="M2" s="2">
        <v>7.73</v>
      </c>
      <c r="O2" s="19" t="s">
        <v>57</v>
      </c>
      <c r="Q2">
        <f>C7-H7</f>
        <v>51</v>
      </c>
      <c r="T2" s="1">
        <v>42243</v>
      </c>
      <c r="U2" t="s">
        <v>162</v>
      </c>
    </row>
    <row r="3" spans="1:21" x14ac:dyDescent="0.25">
      <c r="A3" s="32" t="s">
        <v>77</v>
      </c>
      <c r="B3" s="28">
        <v>42153</v>
      </c>
      <c r="C3" s="14">
        <v>25</v>
      </c>
      <c r="D3" s="67">
        <v>34.4</v>
      </c>
      <c r="E3" s="67"/>
      <c r="F3" s="67">
        <f>C3*D3</f>
        <v>860</v>
      </c>
      <c r="L3" t="s">
        <v>153</v>
      </c>
      <c r="O3" s="19" t="s">
        <v>58</v>
      </c>
      <c r="Q3" s="2">
        <f>(F7-K7)/Q2</f>
        <v>32.507843137254902</v>
      </c>
      <c r="T3" s="1">
        <v>42244</v>
      </c>
      <c r="U3" t="s">
        <v>152</v>
      </c>
    </row>
    <row r="4" spans="1:21" x14ac:dyDescent="0.25">
      <c r="B4" s="204">
        <v>42173</v>
      </c>
      <c r="C4" s="14">
        <v>9</v>
      </c>
      <c r="D4" s="67">
        <v>34.1</v>
      </c>
      <c r="E4" s="67"/>
      <c r="F4" s="67">
        <f>C4*D4</f>
        <v>306.90000000000003</v>
      </c>
      <c r="O4" s="19" t="s">
        <v>66</v>
      </c>
      <c r="Q4" s="94">
        <v>34.700000000000003</v>
      </c>
    </row>
    <row r="5" spans="1:21" x14ac:dyDescent="0.25">
      <c r="B5" s="204"/>
      <c r="C5">
        <v>1</v>
      </c>
      <c r="D5" s="2">
        <v>34.1</v>
      </c>
      <c r="F5" s="2">
        <f>C5*D5</f>
        <v>34.1</v>
      </c>
      <c r="O5" s="19" t="s">
        <v>67</v>
      </c>
      <c r="Q5" s="5">
        <f>Q4*Q2</f>
        <v>1769.7</v>
      </c>
      <c r="T5" s="1">
        <v>42324</v>
      </c>
      <c r="U5" t="s">
        <v>183</v>
      </c>
    </row>
    <row r="6" spans="1:21" x14ac:dyDescent="0.25">
      <c r="B6" s="28">
        <v>42228</v>
      </c>
      <c r="C6">
        <v>50</v>
      </c>
      <c r="D6" s="2">
        <v>33.44</v>
      </c>
      <c r="F6" s="2">
        <f>C6*D6</f>
        <v>1672</v>
      </c>
      <c r="O6" s="19" t="s">
        <v>64</v>
      </c>
      <c r="Q6" s="2">
        <f>Q3*Q2</f>
        <v>1657.9</v>
      </c>
    </row>
    <row r="7" spans="1:21" x14ac:dyDescent="0.25">
      <c r="A7" s="53" t="s">
        <v>110</v>
      </c>
      <c r="B7" s="22"/>
      <c r="C7" s="22">
        <f>SUM(C2:C6)</f>
        <v>90</v>
      </c>
      <c r="D7" s="27"/>
      <c r="E7" s="27"/>
      <c r="F7" s="27">
        <f>SUM(F2:F6)</f>
        <v>3048.25</v>
      </c>
      <c r="G7" s="22"/>
      <c r="H7" s="22">
        <f t="shared" ref="H7:M7" si="0">SUM(H2:H6)</f>
        <v>39</v>
      </c>
      <c r="I7" s="27">
        <f t="shared" si="0"/>
        <v>35.65</v>
      </c>
      <c r="J7" s="27"/>
      <c r="K7" s="27">
        <f>SUM(K2:K6)</f>
        <v>1390.35</v>
      </c>
      <c r="L7" s="22"/>
      <c r="M7" s="27">
        <f t="shared" si="0"/>
        <v>7.73</v>
      </c>
      <c r="O7" s="19" t="s">
        <v>65</v>
      </c>
      <c r="Q7" s="2">
        <f>Q5-Q6+M7</f>
        <v>119.52999999999996</v>
      </c>
    </row>
    <row r="16" spans="1:21" x14ac:dyDescent="0.25">
      <c r="P16" t="s">
        <v>85</v>
      </c>
    </row>
    <row r="17" spans="15:17" x14ac:dyDescent="0.25">
      <c r="O17" s="2">
        <f>$Q$4</f>
        <v>34.700000000000003</v>
      </c>
      <c r="P17">
        <v>1.1000000000000001</v>
      </c>
      <c r="Q17" s="2">
        <f t="shared" ref="Q17:Q29" si="1">P17*O17</f>
        <v>38.170000000000009</v>
      </c>
    </row>
    <row r="18" spans="15:17" x14ac:dyDescent="0.25">
      <c r="O18" s="2">
        <f>$Q$4</f>
        <v>34.700000000000003</v>
      </c>
      <c r="P18">
        <v>1.05</v>
      </c>
      <c r="Q18" s="2">
        <f t="shared" si="1"/>
        <v>36.435000000000002</v>
      </c>
    </row>
    <row r="19" spans="15:17" x14ac:dyDescent="0.25">
      <c r="O19" s="2">
        <f t="shared" ref="O19:O29" si="2">$Q$4</f>
        <v>34.700000000000003</v>
      </c>
      <c r="P19">
        <v>1.04</v>
      </c>
      <c r="Q19" s="2">
        <f t="shared" si="1"/>
        <v>36.088000000000001</v>
      </c>
    </row>
    <row r="20" spans="15:17" x14ac:dyDescent="0.25">
      <c r="O20" s="2">
        <f t="shared" si="2"/>
        <v>34.700000000000003</v>
      </c>
      <c r="P20" s="2">
        <v>1.03</v>
      </c>
      <c r="Q20" s="2">
        <f t="shared" si="1"/>
        <v>35.741000000000007</v>
      </c>
    </row>
    <row r="21" spans="15:17" x14ac:dyDescent="0.25">
      <c r="O21" s="2">
        <f t="shared" si="2"/>
        <v>34.700000000000003</v>
      </c>
      <c r="P21" s="2">
        <v>1.02</v>
      </c>
      <c r="Q21" s="2">
        <f t="shared" si="1"/>
        <v>35.394000000000005</v>
      </c>
    </row>
    <row r="22" spans="15:17" x14ac:dyDescent="0.25">
      <c r="O22" s="2">
        <f t="shared" si="2"/>
        <v>34.700000000000003</v>
      </c>
      <c r="P22" s="2">
        <v>1.01</v>
      </c>
      <c r="Q22" s="2">
        <f t="shared" si="1"/>
        <v>35.047000000000004</v>
      </c>
    </row>
    <row r="23" spans="15:17" x14ac:dyDescent="0.25">
      <c r="O23" s="2">
        <f t="shared" si="2"/>
        <v>34.700000000000003</v>
      </c>
      <c r="P23" s="2">
        <v>1</v>
      </c>
      <c r="Q23" s="2">
        <f t="shared" si="1"/>
        <v>34.700000000000003</v>
      </c>
    </row>
    <row r="24" spans="15:17" x14ac:dyDescent="0.25">
      <c r="O24" s="2">
        <f t="shared" si="2"/>
        <v>34.700000000000003</v>
      </c>
      <c r="P24" s="2">
        <v>0.99</v>
      </c>
      <c r="Q24" s="2">
        <f t="shared" si="1"/>
        <v>34.353000000000002</v>
      </c>
    </row>
    <row r="25" spans="15:17" x14ac:dyDescent="0.25">
      <c r="O25" s="2">
        <f t="shared" si="2"/>
        <v>34.700000000000003</v>
      </c>
      <c r="P25" s="2">
        <v>0.98</v>
      </c>
      <c r="Q25" s="2">
        <f t="shared" si="1"/>
        <v>34.006</v>
      </c>
    </row>
    <row r="26" spans="15:17" x14ac:dyDescent="0.25">
      <c r="O26" s="2">
        <f t="shared" si="2"/>
        <v>34.700000000000003</v>
      </c>
      <c r="P26" s="2">
        <v>0.97</v>
      </c>
      <c r="Q26" s="2">
        <f t="shared" si="1"/>
        <v>33.658999999999999</v>
      </c>
    </row>
    <row r="27" spans="15:17" x14ac:dyDescent="0.25">
      <c r="O27" s="2">
        <f t="shared" si="2"/>
        <v>34.700000000000003</v>
      </c>
      <c r="P27" s="2">
        <v>0.96</v>
      </c>
      <c r="Q27" s="2">
        <f t="shared" si="1"/>
        <v>33.312000000000005</v>
      </c>
    </row>
    <row r="28" spans="15:17" x14ac:dyDescent="0.25">
      <c r="O28" s="2">
        <f t="shared" si="2"/>
        <v>34.700000000000003</v>
      </c>
      <c r="P28" s="2">
        <v>0.95</v>
      </c>
      <c r="Q28" s="2">
        <f t="shared" si="1"/>
        <v>32.965000000000003</v>
      </c>
    </row>
    <row r="29" spans="15:17" x14ac:dyDescent="0.25">
      <c r="O29" s="2">
        <f t="shared" si="2"/>
        <v>34.700000000000003</v>
      </c>
      <c r="P29" s="2">
        <v>0.9</v>
      </c>
      <c r="Q29" s="2">
        <f t="shared" si="1"/>
        <v>31.230000000000004</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8"/>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65" customWidth="1"/>
  </cols>
  <sheetData>
    <row r="1" spans="1:21" x14ac:dyDescent="0.25">
      <c r="A1" s="19" t="s">
        <v>1</v>
      </c>
      <c r="B1" s="19" t="s">
        <v>2</v>
      </c>
      <c r="C1" s="19" t="s">
        <v>4</v>
      </c>
      <c r="D1" s="30" t="s">
        <v>5</v>
      </c>
      <c r="E1" s="30" t="s">
        <v>171</v>
      </c>
      <c r="F1" s="30" t="s">
        <v>69</v>
      </c>
      <c r="G1" s="19" t="s">
        <v>3</v>
      </c>
      <c r="H1" s="19" t="s">
        <v>6</v>
      </c>
      <c r="I1" s="30" t="s">
        <v>7</v>
      </c>
      <c r="J1" s="30" t="s">
        <v>172</v>
      </c>
      <c r="K1" s="30" t="s">
        <v>61</v>
      </c>
      <c r="L1" s="19" t="s">
        <v>37</v>
      </c>
      <c r="M1" s="19" t="s">
        <v>38</v>
      </c>
      <c r="T1" s="66" t="s">
        <v>157</v>
      </c>
    </row>
    <row r="2" spans="1:21" x14ac:dyDescent="0.25">
      <c r="A2" s="8" t="s">
        <v>33</v>
      </c>
      <c r="B2" s="1">
        <v>42166</v>
      </c>
      <c r="C2" s="183">
        <v>10</v>
      </c>
      <c r="D2" s="184">
        <v>139.16</v>
      </c>
      <c r="E2" s="184">
        <v>0</v>
      </c>
      <c r="F2" s="184">
        <f t="shared" ref="F2:F7" si="0">D2*C2</f>
        <v>1391.6</v>
      </c>
      <c r="G2" s="125">
        <v>42213</v>
      </c>
      <c r="H2" s="10">
        <v>10</v>
      </c>
      <c r="I2" s="23">
        <f>129.5</f>
        <v>129.5</v>
      </c>
      <c r="J2" s="23">
        <v>0</v>
      </c>
      <c r="K2" s="23">
        <f>H2*I2-J2</f>
        <v>1295</v>
      </c>
      <c r="L2" s="1">
        <v>42185</v>
      </c>
      <c r="M2" s="2">
        <v>4</v>
      </c>
      <c r="O2" s="19" t="s">
        <v>57</v>
      </c>
      <c r="Q2">
        <f>C8-H8</f>
        <v>15</v>
      </c>
      <c r="T2" s="111">
        <v>42219</v>
      </c>
      <c r="U2" t="s">
        <v>126</v>
      </c>
    </row>
    <row r="3" spans="1:21" x14ac:dyDescent="0.25">
      <c r="A3" s="32" t="s">
        <v>77</v>
      </c>
      <c r="B3" s="204">
        <v>42212</v>
      </c>
      <c r="C3" s="183">
        <v>10</v>
      </c>
      <c r="D3" s="184">
        <v>124.25</v>
      </c>
      <c r="E3" s="184">
        <v>0</v>
      </c>
      <c r="F3" s="184">
        <f t="shared" si="0"/>
        <v>1242.5</v>
      </c>
      <c r="G3" s="1">
        <v>42258</v>
      </c>
      <c r="H3" s="183">
        <v>45</v>
      </c>
      <c r="I3" s="184">
        <v>126.8</v>
      </c>
      <c r="J3" s="184">
        <v>0.1</v>
      </c>
      <c r="K3" s="184">
        <f>H3*I3-J3</f>
        <v>5705.9</v>
      </c>
      <c r="L3" s="1" t="s">
        <v>119</v>
      </c>
      <c r="M3" s="2"/>
      <c r="O3" s="19" t="s">
        <v>58</v>
      </c>
      <c r="Q3" s="2">
        <f>(F8-K8)/Q2</f>
        <v>116.21333333333338</v>
      </c>
      <c r="T3" s="111">
        <v>42242</v>
      </c>
      <c r="U3" t="s">
        <v>158</v>
      </c>
    </row>
    <row r="4" spans="1:21" x14ac:dyDescent="0.25">
      <c r="B4" s="204"/>
      <c r="C4" s="10">
        <v>10</v>
      </c>
      <c r="D4" s="23">
        <v>124.25</v>
      </c>
      <c r="E4" s="23">
        <v>0</v>
      </c>
      <c r="F4" s="23">
        <f t="shared" si="0"/>
        <v>1242.5</v>
      </c>
      <c r="M4" s="2"/>
      <c r="O4" s="19" t="s">
        <v>66</v>
      </c>
      <c r="Q4" s="94">
        <v>128.72</v>
      </c>
      <c r="T4" s="111">
        <v>42246</v>
      </c>
      <c r="U4" t="s">
        <v>156</v>
      </c>
    </row>
    <row r="5" spans="1:21" x14ac:dyDescent="0.25">
      <c r="B5" s="1">
        <v>42220</v>
      </c>
      <c r="C5" s="183">
        <v>5</v>
      </c>
      <c r="D5" s="184">
        <v>123.2</v>
      </c>
      <c r="E5" s="184">
        <v>0</v>
      </c>
      <c r="F5" s="184">
        <f t="shared" si="0"/>
        <v>616</v>
      </c>
      <c r="M5" s="2"/>
      <c r="O5" s="19" t="s">
        <v>67</v>
      </c>
      <c r="Q5" s="5">
        <f>Q4*Q2</f>
        <v>1930.8</v>
      </c>
      <c r="T5" s="111"/>
    </row>
    <row r="6" spans="1:21" x14ac:dyDescent="0.25">
      <c r="B6" s="1">
        <v>42220</v>
      </c>
      <c r="C6" s="183">
        <v>20</v>
      </c>
      <c r="D6" s="184">
        <v>122.2</v>
      </c>
      <c r="E6" s="184">
        <v>0</v>
      </c>
      <c r="F6" s="184">
        <f t="shared" si="0"/>
        <v>2444</v>
      </c>
      <c r="M6" s="2"/>
      <c r="O6" s="19" t="s">
        <v>64</v>
      </c>
      <c r="Q6" s="2">
        <f>Q3*Q2</f>
        <v>1743.2000000000007</v>
      </c>
      <c r="T6" s="111">
        <v>42250</v>
      </c>
      <c r="U6" t="s">
        <v>245</v>
      </c>
    </row>
    <row r="7" spans="1:21" x14ac:dyDescent="0.25">
      <c r="B7" s="1">
        <v>42240</v>
      </c>
      <c r="C7">
        <v>15</v>
      </c>
      <c r="D7" s="2">
        <v>120.5</v>
      </c>
      <c r="E7" s="2">
        <v>0</v>
      </c>
      <c r="F7" s="2">
        <f t="shared" si="0"/>
        <v>1807.5</v>
      </c>
      <c r="M7" s="2"/>
      <c r="O7" s="19" t="s">
        <v>65</v>
      </c>
      <c r="Q7" s="2">
        <f>Q5-Q6+M8</f>
        <v>191.59999999999923</v>
      </c>
      <c r="T7" s="111"/>
    </row>
    <row r="8" spans="1:21" x14ac:dyDescent="0.25">
      <c r="A8" s="112" t="s">
        <v>110</v>
      </c>
      <c r="B8" s="113"/>
      <c r="C8" s="113">
        <f>SUM(C2:C7)</f>
        <v>70</v>
      </c>
      <c r="D8" s="114"/>
      <c r="E8" s="114"/>
      <c r="F8" s="114">
        <f>SUM(F2:F7)</f>
        <v>8744.1</v>
      </c>
      <c r="G8" s="113"/>
      <c r="H8" s="113">
        <f>SUM(H2:H6)</f>
        <v>55</v>
      </c>
      <c r="I8" s="114"/>
      <c r="J8" s="114"/>
      <c r="K8" s="114">
        <f>SUM(K2:K7)</f>
        <v>7000.9</v>
      </c>
      <c r="L8" s="113"/>
      <c r="M8" s="114">
        <f>SUM(M2:M7)</f>
        <v>4</v>
      </c>
      <c r="T8" s="111"/>
    </row>
    <row r="9" spans="1:21" x14ac:dyDescent="0.25">
      <c r="T9" s="65">
        <v>42341</v>
      </c>
      <c r="U9" t="s">
        <v>183</v>
      </c>
    </row>
    <row r="11" spans="1:21" x14ac:dyDescent="0.25">
      <c r="G11" s="2"/>
    </row>
    <row r="17" spans="15:17" ht="20.25" thickBot="1" x14ac:dyDescent="0.35">
      <c r="O17" s="201" t="s">
        <v>85</v>
      </c>
      <c r="P17" s="201"/>
    </row>
    <row r="18" spans="15:17" ht="15.75" thickTop="1" x14ac:dyDescent="0.25">
      <c r="O18" s="146">
        <v>1.1000000000000001</v>
      </c>
      <c r="P18" s="146">
        <f>O18*$Q$4</f>
        <v>141.59200000000001</v>
      </c>
      <c r="Q18" s="2"/>
    </row>
    <row r="19" spans="15:17" x14ac:dyDescent="0.25">
      <c r="O19" s="146">
        <v>1.0900000000000001</v>
      </c>
      <c r="P19" s="146">
        <f t="shared" ref="P19:P38" si="1">O19*$Q$4</f>
        <v>140.3048</v>
      </c>
      <c r="Q19" s="2"/>
    </row>
    <row r="20" spans="15:17" x14ac:dyDescent="0.25">
      <c r="O20" s="146">
        <v>1.08</v>
      </c>
      <c r="P20" s="146">
        <f t="shared" si="1"/>
        <v>139.01760000000002</v>
      </c>
      <c r="Q20" s="2"/>
    </row>
    <row r="21" spans="15:17" x14ac:dyDescent="0.25">
      <c r="O21" s="146">
        <v>1.07</v>
      </c>
      <c r="P21" s="146">
        <f t="shared" si="1"/>
        <v>137.7304</v>
      </c>
      <c r="Q21" s="2"/>
    </row>
    <row r="22" spans="15:17" x14ac:dyDescent="0.25">
      <c r="O22" s="146">
        <v>1.06</v>
      </c>
      <c r="P22" s="146">
        <f t="shared" si="1"/>
        <v>136.44320000000002</v>
      </c>
      <c r="Q22" s="2"/>
    </row>
    <row r="23" spans="15:17" x14ac:dyDescent="0.25">
      <c r="O23" s="146">
        <v>1.05</v>
      </c>
      <c r="P23" s="146">
        <f t="shared" si="1"/>
        <v>135.15600000000001</v>
      </c>
      <c r="Q23" s="2"/>
    </row>
    <row r="24" spans="15:17" x14ac:dyDescent="0.25">
      <c r="O24" s="146">
        <v>1.04</v>
      </c>
      <c r="P24" s="146">
        <f t="shared" si="1"/>
        <v>133.86879999999999</v>
      </c>
      <c r="Q24" s="2"/>
    </row>
    <row r="25" spans="15:17" x14ac:dyDescent="0.25">
      <c r="O25" s="146">
        <v>1.03</v>
      </c>
      <c r="P25" s="146">
        <f t="shared" si="1"/>
        <v>132.58160000000001</v>
      </c>
      <c r="Q25" s="2"/>
    </row>
    <row r="26" spans="15:17" x14ac:dyDescent="0.25">
      <c r="O26" s="146">
        <v>1.02</v>
      </c>
      <c r="P26" s="146">
        <f t="shared" si="1"/>
        <v>131.2944</v>
      </c>
      <c r="Q26" s="2"/>
    </row>
    <row r="27" spans="15:17" x14ac:dyDescent="0.25">
      <c r="O27" s="146">
        <v>1.01</v>
      </c>
      <c r="P27" s="146">
        <f t="shared" si="1"/>
        <v>130.00720000000001</v>
      </c>
      <c r="Q27" s="2"/>
    </row>
    <row r="28" spans="15:17" x14ac:dyDescent="0.25">
      <c r="O28" s="146">
        <v>1</v>
      </c>
      <c r="P28" s="146">
        <f t="shared" si="1"/>
        <v>128.72</v>
      </c>
      <c r="Q28" s="2"/>
    </row>
    <row r="29" spans="15:17" x14ac:dyDescent="0.25">
      <c r="O29" s="146">
        <v>0.99</v>
      </c>
      <c r="P29" s="146">
        <f t="shared" si="1"/>
        <v>127.4328</v>
      </c>
      <c r="Q29" s="2"/>
    </row>
    <row r="30" spans="15:17" x14ac:dyDescent="0.25">
      <c r="O30" s="146">
        <v>0.98</v>
      </c>
      <c r="P30" s="146">
        <f t="shared" si="1"/>
        <v>126.1456</v>
      </c>
      <c r="Q30" s="2"/>
    </row>
    <row r="31" spans="15:17" x14ac:dyDescent="0.25">
      <c r="O31" s="146">
        <v>0.97</v>
      </c>
      <c r="P31" s="146">
        <f t="shared" si="1"/>
        <v>124.85839999999999</v>
      </c>
    </row>
    <row r="32" spans="15:17" x14ac:dyDescent="0.25">
      <c r="O32" s="146">
        <v>0.96</v>
      </c>
      <c r="P32" s="146">
        <f t="shared" si="1"/>
        <v>123.57119999999999</v>
      </c>
    </row>
    <row r="33" spans="15:16" x14ac:dyDescent="0.25">
      <c r="O33" s="146">
        <v>0.95</v>
      </c>
      <c r="P33" s="146">
        <f t="shared" si="1"/>
        <v>122.28399999999999</v>
      </c>
    </row>
    <row r="34" spans="15:16" x14ac:dyDescent="0.25">
      <c r="O34" s="146">
        <v>0.94</v>
      </c>
      <c r="P34" s="146">
        <f t="shared" si="1"/>
        <v>120.99679999999999</v>
      </c>
    </row>
    <row r="35" spans="15:16" x14ac:dyDescent="0.25">
      <c r="O35" s="146">
        <v>0.93</v>
      </c>
      <c r="P35" s="146">
        <f t="shared" si="1"/>
        <v>119.70960000000001</v>
      </c>
    </row>
    <row r="36" spans="15:16" x14ac:dyDescent="0.25">
      <c r="O36" s="146">
        <v>0.92</v>
      </c>
      <c r="P36" s="146">
        <f t="shared" si="1"/>
        <v>118.42240000000001</v>
      </c>
    </row>
    <row r="37" spans="15:16" x14ac:dyDescent="0.25">
      <c r="O37" s="146">
        <v>0.91</v>
      </c>
      <c r="P37" s="146">
        <f t="shared" si="1"/>
        <v>117.1352</v>
      </c>
    </row>
    <row r="38" spans="15:16" x14ac:dyDescent="0.25">
      <c r="O38" s="146">
        <v>0.9</v>
      </c>
      <c r="P38" s="146">
        <f t="shared" si="1"/>
        <v>115.848</v>
      </c>
    </row>
  </sheetData>
  <sortState ref="B35:K39">
    <sortCondition ref="B35"/>
  </sortState>
  <mergeCells count="2">
    <mergeCell ref="B3:B4"/>
    <mergeCell ref="O17:P17"/>
  </mergeCells>
  <conditionalFormatting sqref="Q7">
    <cfRule type="expression" dxfId="23" priority="4">
      <formula>Q7&gt;0</formula>
    </cfRule>
    <cfRule type="expression" dxfId="22"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c r="F1" s="30" t="s">
        <v>60</v>
      </c>
      <c r="G1" s="19" t="s">
        <v>3</v>
      </c>
      <c r="H1" s="19" t="s">
        <v>6</v>
      </c>
      <c r="I1" s="30" t="s">
        <v>7</v>
      </c>
      <c r="J1" s="30"/>
      <c r="K1" s="30" t="s">
        <v>61</v>
      </c>
      <c r="L1" s="19" t="s">
        <v>37</v>
      </c>
      <c r="M1" s="19" t="s">
        <v>38</v>
      </c>
      <c r="T1" s="19" t="s">
        <v>74</v>
      </c>
    </row>
    <row r="2" spans="1:21" x14ac:dyDescent="0.25">
      <c r="A2" s="8" t="s">
        <v>63</v>
      </c>
      <c r="B2" s="1">
        <v>42226</v>
      </c>
      <c r="C2">
        <v>10</v>
      </c>
      <c r="D2" s="2">
        <v>113.72</v>
      </c>
      <c r="F2" s="2">
        <f>C2*D2</f>
        <v>1137.2</v>
      </c>
      <c r="L2" t="s">
        <v>129</v>
      </c>
      <c r="O2" s="19" t="s">
        <v>57</v>
      </c>
      <c r="Q2">
        <f>C6-H6</f>
        <v>30</v>
      </c>
      <c r="T2" s="1">
        <v>42202</v>
      </c>
      <c r="U2" t="s">
        <v>128</v>
      </c>
    </row>
    <row r="3" spans="1:21" x14ac:dyDescent="0.25">
      <c r="A3" s="32" t="s">
        <v>77</v>
      </c>
      <c r="B3" s="1">
        <v>42226</v>
      </c>
      <c r="C3">
        <v>5</v>
      </c>
      <c r="D3" s="2">
        <v>112.2</v>
      </c>
      <c r="F3" s="2">
        <f>C3*D3</f>
        <v>561</v>
      </c>
      <c r="O3" s="19" t="s">
        <v>58</v>
      </c>
      <c r="Q3" s="2">
        <f>(F6-K6)/Q2</f>
        <v>110.09500000000001</v>
      </c>
      <c r="T3" s="1">
        <v>42231</v>
      </c>
      <c r="U3" t="s">
        <v>127</v>
      </c>
    </row>
    <row r="4" spans="1:21" x14ac:dyDescent="0.25">
      <c r="B4" s="1">
        <v>42226</v>
      </c>
      <c r="C4">
        <v>5</v>
      </c>
      <c r="D4" s="2">
        <v>110.93</v>
      </c>
      <c r="F4" s="2">
        <f>C4*D4</f>
        <v>554.65000000000009</v>
      </c>
      <c r="O4" s="19" t="s">
        <v>66</v>
      </c>
      <c r="Q4" s="94">
        <v>102.6</v>
      </c>
      <c r="T4" s="1">
        <v>42314</v>
      </c>
      <c r="U4" t="s">
        <v>183</v>
      </c>
    </row>
    <row r="5" spans="1:21" x14ac:dyDescent="0.25">
      <c r="B5" s="1">
        <v>42227</v>
      </c>
      <c r="C5">
        <v>10</v>
      </c>
      <c r="D5" s="2">
        <v>105</v>
      </c>
      <c r="F5" s="2">
        <f>C5*D5</f>
        <v>1050</v>
      </c>
      <c r="O5" s="19" t="s">
        <v>67</v>
      </c>
      <c r="Q5" s="5">
        <f>Q4*Q2</f>
        <v>3078</v>
      </c>
    </row>
    <row r="6" spans="1:21" x14ac:dyDescent="0.25">
      <c r="A6" s="53" t="s">
        <v>110</v>
      </c>
      <c r="B6" s="22"/>
      <c r="C6" s="22">
        <f>SUM(C2:C5)</f>
        <v>30</v>
      </c>
      <c r="D6" s="27"/>
      <c r="E6" s="27"/>
      <c r="F6" s="27">
        <f t="shared" ref="F6:M6" si="0">SUM(F2:F5)</f>
        <v>3302.8500000000004</v>
      </c>
      <c r="G6" s="22"/>
      <c r="H6" s="22">
        <f t="shared" si="0"/>
        <v>0</v>
      </c>
      <c r="I6" s="27"/>
      <c r="J6" s="27"/>
      <c r="K6" s="27">
        <f t="shared" si="0"/>
        <v>0</v>
      </c>
      <c r="L6" s="22"/>
      <c r="M6" s="22">
        <f t="shared" si="0"/>
        <v>0</v>
      </c>
      <c r="O6" s="19" t="s">
        <v>64</v>
      </c>
      <c r="Q6" s="2">
        <f>Q3*Q2</f>
        <v>3302.8500000000004</v>
      </c>
    </row>
    <row r="7" spans="1:21" x14ac:dyDescent="0.25">
      <c r="O7" s="19" t="s">
        <v>65</v>
      </c>
      <c r="Q7" s="2">
        <f>Q5-Q6</f>
        <v>-224.85000000000036</v>
      </c>
    </row>
    <row r="17" spans="15:17" ht="20.25" thickBot="1" x14ac:dyDescent="0.35">
      <c r="O17" s="201" t="s">
        <v>85</v>
      </c>
      <c r="P17" s="201"/>
    </row>
    <row r="18" spans="15:17" ht="15.75" thickTop="1" x14ac:dyDescent="0.25">
      <c r="O18" s="146">
        <v>1.1000000000000001</v>
      </c>
      <c r="P18" s="146">
        <f>O18*$Q$4</f>
        <v>112.86</v>
      </c>
      <c r="Q18" s="2"/>
    </row>
    <row r="19" spans="15:17" x14ac:dyDescent="0.25">
      <c r="O19" s="146">
        <v>1.0900000000000001</v>
      </c>
      <c r="P19" s="146">
        <f t="shared" ref="P19:P38" si="1">O19*$Q$4</f>
        <v>111.834</v>
      </c>
      <c r="Q19" s="2"/>
    </row>
    <row r="20" spans="15:17" x14ac:dyDescent="0.25">
      <c r="O20" s="146">
        <v>1.08</v>
      </c>
      <c r="P20" s="146">
        <f t="shared" si="1"/>
        <v>110.80800000000001</v>
      </c>
      <c r="Q20" s="2"/>
    </row>
    <row r="21" spans="15:17" x14ac:dyDescent="0.25">
      <c r="O21" s="146">
        <v>1.07</v>
      </c>
      <c r="P21" s="146">
        <f t="shared" si="1"/>
        <v>109.782</v>
      </c>
      <c r="Q21" s="2"/>
    </row>
    <row r="22" spans="15:17" x14ac:dyDescent="0.25">
      <c r="O22" s="146">
        <v>1.06</v>
      </c>
      <c r="P22" s="146">
        <f t="shared" si="1"/>
        <v>108.756</v>
      </c>
      <c r="Q22" s="2"/>
    </row>
    <row r="23" spans="15:17" x14ac:dyDescent="0.25">
      <c r="O23" s="146">
        <v>1.05</v>
      </c>
      <c r="P23" s="146">
        <f t="shared" si="1"/>
        <v>107.73</v>
      </c>
      <c r="Q23" s="2"/>
    </row>
    <row r="24" spans="15:17" x14ac:dyDescent="0.25">
      <c r="O24" s="146">
        <v>1.04</v>
      </c>
      <c r="P24" s="146">
        <f t="shared" si="1"/>
        <v>106.70399999999999</v>
      </c>
      <c r="Q24" s="2"/>
    </row>
    <row r="25" spans="15:17" x14ac:dyDescent="0.25">
      <c r="O25" s="146">
        <v>1.03</v>
      </c>
      <c r="P25" s="146">
        <f t="shared" si="1"/>
        <v>105.678</v>
      </c>
      <c r="Q25" s="2"/>
    </row>
    <row r="26" spans="15:17" x14ac:dyDescent="0.25">
      <c r="O26" s="146">
        <v>1.02</v>
      </c>
      <c r="P26" s="146">
        <f t="shared" si="1"/>
        <v>104.652</v>
      </c>
      <c r="Q26" s="2"/>
    </row>
    <row r="27" spans="15:17" x14ac:dyDescent="0.25">
      <c r="O27" s="146">
        <v>1.01</v>
      </c>
      <c r="P27" s="146">
        <f t="shared" si="1"/>
        <v>103.62599999999999</v>
      </c>
      <c r="Q27" s="2"/>
    </row>
    <row r="28" spans="15:17" x14ac:dyDescent="0.25">
      <c r="O28" s="146">
        <v>1</v>
      </c>
      <c r="P28" s="146">
        <f t="shared" si="1"/>
        <v>102.6</v>
      </c>
      <c r="Q28" s="2"/>
    </row>
    <row r="29" spans="15:17" x14ac:dyDescent="0.25">
      <c r="O29" s="146">
        <v>0.99</v>
      </c>
      <c r="P29" s="146">
        <f t="shared" si="1"/>
        <v>101.574</v>
      </c>
      <c r="Q29" s="2"/>
    </row>
    <row r="30" spans="15:17" x14ac:dyDescent="0.25">
      <c r="O30" s="146">
        <v>0.98</v>
      </c>
      <c r="P30" s="146">
        <f t="shared" si="1"/>
        <v>100.54799999999999</v>
      </c>
      <c r="Q30" s="2"/>
    </row>
    <row r="31" spans="15:17" x14ac:dyDescent="0.25">
      <c r="O31" s="146">
        <v>0.97</v>
      </c>
      <c r="P31" s="146">
        <f t="shared" si="1"/>
        <v>99.521999999999991</v>
      </c>
    </row>
    <row r="32" spans="15:17" x14ac:dyDescent="0.25">
      <c r="O32" s="146">
        <v>0.96</v>
      </c>
      <c r="P32" s="146">
        <f t="shared" si="1"/>
        <v>98.495999999999995</v>
      </c>
    </row>
    <row r="33" spans="15:16" x14ac:dyDescent="0.25">
      <c r="O33" s="146">
        <v>0.95</v>
      </c>
      <c r="P33" s="146">
        <f t="shared" si="1"/>
        <v>97.469999999999985</v>
      </c>
    </row>
    <row r="34" spans="15:16" x14ac:dyDescent="0.25">
      <c r="O34" s="146">
        <v>0.94</v>
      </c>
      <c r="P34" s="146">
        <f t="shared" si="1"/>
        <v>96.443999999999988</v>
      </c>
    </row>
    <row r="35" spans="15:16" x14ac:dyDescent="0.25">
      <c r="O35" s="146">
        <v>0.93</v>
      </c>
      <c r="P35" s="146">
        <f t="shared" si="1"/>
        <v>95.418000000000006</v>
      </c>
    </row>
    <row r="36" spans="15:16" x14ac:dyDescent="0.25">
      <c r="O36" s="146">
        <v>0.92</v>
      </c>
      <c r="P36" s="146">
        <f t="shared" si="1"/>
        <v>94.391999999999996</v>
      </c>
    </row>
    <row r="37" spans="15:16" x14ac:dyDescent="0.25">
      <c r="O37" s="146">
        <v>0.91</v>
      </c>
      <c r="P37" s="146">
        <f t="shared" si="1"/>
        <v>93.366</v>
      </c>
    </row>
    <row r="38" spans="15:16" x14ac:dyDescent="0.25">
      <c r="O38" s="146">
        <v>0.9</v>
      </c>
      <c r="P38" s="146">
        <f t="shared" si="1"/>
        <v>92.34</v>
      </c>
    </row>
  </sheetData>
  <mergeCells count="1">
    <mergeCell ref="O17:P17"/>
  </mergeCells>
  <conditionalFormatting sqref="Q7">
    <cfRule type="expression" dxfId="21" priority="4">
      <formula>Q7&gt;0</formula>
    </cfRule>
    <cfRule type="expression" dxfId="20" priority="5">
      <formula>Q7&lt;0</formula>
    </cfRule>
  </conditionalFormatting>
  <conditionalFormatting sqref="O18:O38">
    <cfRule type="colorScale" priority="2">
      <colorScale>
        <cfvo type="min"/>
        <cfvo type="percentile" val="50"/>
        <cfvo type="max"/>
        <color rgb="FFF8696B"/>
        <color rgb="FFFFEB84"/>
        <color rgb="FF63BE7B"/>
      </colorScale>
    </cfRule>
  </conditionalFormatting>
  <conditionalFormatting sqref="P18:P3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171</v>
      </c>
      <c r="F1" s="30" t="s">
        <v>60</v>
      </c>
      <c r="G1" s="19" t="s">
        <v>3</v>
      </c>
      <c r="H1" s="19" t="s">
        <v>6</v>
      </c>
      <c r="I1" s="19" t="s">
        <v>7</v>
      </c>
      <c r="J1" s="19" t="s">
        <v>172</v>
      </c>
      <c r="K1" s="19" t="s">
        <v>61</v>
      </c>
      <c r="L1" s="19" t="s">
        <v>37</v>
      </c>
      <c r="M1" s="19" t="s">
        <v>38</v>
      </c>
      <c r="U1" s="19" t="s">
        <v>74</v>
      </c>
    </row>
    <row r="2" spans="1:22" x14ac:dyDescent="0.25">
      <c r="A2" s="8" t="s">
        <v>55</v>
      </c>
      <c r="B2" s="1">
        <v>42214</v>
      </c>
      <c r="C2">
        <v>10</v>
      </c>
      <c r="D2" s="2">
        <v>113.01</v>
      </c>
      <c r="E2" s="2">
        <v>0</v>
      </c>
      <c r="F2" s="2">
        <f>C2*D2 + E2</f>
        <v>1130.1000000000001</v>
      </c>
      <c r="L2" t="s">
        <v>116</v>
      </c>
      <c r="O2" s="19" t="s">
        <v>57</v>
      </c>
      <c r="Q2">
        <f>C10-H10</f>
        <v>25</v>
      </c>
      <c r="U2" s="1">
        <v>42242</v>
      </c>
      <c r="V2" t="s">
        <v>163</v>
      </c>
    </row>
    <row r="3" spans="1:22" x14ac:dyDescent="0.25">
      <c r="A3" s="32" t="s">
        <v>77</v>
      </c>
      <c r="B3" s="1">
        <v>42247</v>
      </c>
      <c r="C3">
        <v>15</v>
      </c>
      <c r="D3" s="2">
        <v>105.85</v>
      </c>
      <c r="E3" s="2">
        <v>0</v>
      </c>
      <c r="F3" s="2">
        <f>C3*D3 + E3</f>
        <v>1587.75</v>
      </c>
      <c r="O3" s="19" t="s">
        <v>58</v>
      </c>
      <c r="Q3" s="2">
        <f>(F10-K10)/Q2</f>
        <v>108.71400000000001</v>
      </c>
    </row>
    <row r="4" spans="1:22" x14ac:dyDescent="0.25">
      <c r="O4" s="19" t="s">
        <v>66</v>
      </c>
      <c r="Q4" s="94">
        <v>107.25</v>
      </c>
    </row>
    <row r="5" spans="1:22" x14ac:dyDescent="0.25">
      <c r="O5" s="19" t="s">
        <v>67</v>
      </c>
      <c r="Q5" s="5">
        <f>Q4*Q2</f>
        <v>2681.25</v>
      </c>
      <c r="U5" s="1">
        <v>42248</v>
      </c>
      <c r="V5" t="s">
        <v>184</v>
      </c>
    </row>
    <row r="6" spans="1:22" x14ac:dyDescent="0.25">
      <c r="O6" s="19" t="s">
        <v>64</v>
      </c>
      <c r="Q6" s="2">
        <f>Q3*Q2</f>
        <v>2717.8500000000004</v>
      </c>
    </row>
    <row r="7" spans="1:22" x14ac:dyDescent="0.25">
      <c r="O7" s="19" t="s">
        <v>65</v>
      </c>
      <c r="Q7" s="30">
        <f>Q5-Q6</f>
        <v>-36.600000000000364</v>
      </c>
    </row>
    <row r="8" spans="1:22" x14ac:dyDescent="0.25">
      <c r="U8" s="1">
        <v>42305</v>
      </c>
      <c r="V8" t="s">
        <v>121</v>
      </c>
    </row>
    <row r="10" spans="1:22" x14ac:dyDescent="0.25">
      <c r="A10" s="31" t="s">
        <v>110</v>
      </c>
      <c r="B10" s="20"/>
      <c r="C10" s="20">
        <f>SUM(C2:C9)</f>
        <v>25</v>
      </c>
      <c r="D10" s="21"/>
      <c r="E10" s="21"/>
      <c r="F10" s="21">
        <f>SUM(F2:F9)</f>
        <v>2717.8500000000004</v>
      </c>
      <c r="G10" s="20"/>
      <c r="H10" s="20"/>
      <c r="I10" s="20"/>
      <c r="J10" s="20"/>
      <c r="K10" s="20"/>
      <c r="L10" s="20"/>
      <c r="M10" s="20"/>
    </row>
    <row r="11" spans="1:22" x14ac:dyDescent="0.25">
      <c r="A11" s="13"/>
      <c r="B11" s="13"/>
      <c r="C11" s="13"/>
      <c r="D11" s="29"/>
      <c r="E11" s="29"/>
      <c r="F11" s="29"/>
      <c r="G11" s="13"/>
      <c r="H11" s="13"/>
      <c r="I11" s="13"/>
      <c r="J11" s="13"/>
      <c r="K11" s="13"/>
      <c r="L11" s="13"/>
      <c r="M11" s="13"/>
      <c r="N11" s="7"/>
    </row>
    <row r="12" spans="1:22" x14ac:dyDescent="0.25">
      <c r="A12" s="13"/>
      <c r="B12" s="13"/>
      <c r="C12" s="13"/>
      <c r="D12" s="29"/>
      <c r="E12" s="29"/>
      <c r="F12" s="29"/>
      <c r="G12" s="13"/>
      <c r="H12" s="13"/>
      <c r="I12" s="13"/>
      <c r="J12" s="13"/>
      <c r="K12" s="13"/>
      <c r="L12" s="13"/>
      <c r="M12" s="13"/>
      <c r="N12" s="7"/>
    </row>
    <row r="16" spans="1:22" ht="20.25" thickBot="1" x14ac:dyDescent="0.35">
      <c r="O16" s="201" t="s">
        <v>85</v>
      </c>
      <c r="P16" s="201"/>
    </row>
    <row r="17" spans="15:17" ht="15.75" thickTop="1" x14ac:dyDescent="0.25">
      <c r="O17" s="146">
        <v>1.1000000000000001</v>
      </c>
      <c r="P17" s="146">
        <f>O17*$Q$4</f>
        <v>117.97500000000001</v>
      </c>
      <c r="Q17" s="2"/>
    </row>
    <row r="18" spans="15:17" x14ac:dyDescent="0.25">
      <c r="O18" s="146">
        <v>1.0900000000000001</v>
      </c>
      <c r="P18" s="146">
        <f t="shared" ref="P18:P37" si="0">O18*$Q$4</f>
        <v>116.9025</v>
      </c>
      <c r="Q18" s="2"/>
    </row>
    <row r="19" spans="15:17" x14ac:dyDescent="0.25">
      <c r="O19" s="146">
        <v>1.08</v>
      </c>
      <c r="P19" s="146">
        <f t="shared" si="0"/>
        <v>115.83000000000001</v>
      </c>
      <c r="Q19" s="2"/>
    </row>
    <row r="20" spans="15:17" x14ac:dyDescent="0.25">
      <c r="O20" s="146">
        <v>1.07</v>
      </c>
      <c r="P20" s="146">
        <f t="shared" si="0"/>
        <v>114.75750000000001</v>
      </c>
      <c r="Q20" s="2"/>
    </row>
    <row r="21" spans="15:17" x14ac:dyDescent="0.25">
      <c r="O21" s="146">
        <v>1.06</v>
      </c>
      <c r="P21" s="146">
        <f t="shared" si="0"/>
        <v>113.685</v>
      </c>
      <c r="Q21" s="2"/>
    </row>
    <row r="22" spans="15:17" x14ac:dyDescent="0.25">
      <c r="O22" s="146">
        <v>1.05</v>
      </c>
      <c r="P22" s="146">
        <f t="shared" si="0"/>
        <v>112.61250000000001</v>
      </c>
      <c r="Q22" s="2"/>
    </row>
    <row r="23" spans="15:17" x14ac:dyDescent="0.25">
      <c r="O23" s="146">
        <v>1.04</v>
      </c>
      <c r="P23" s="146">
        <f t="shared" si="0"/>
        <v>111.54</v>
      </c>
      <c r="Q23" s="2"/>
    </row>
    <row r="24" spans="15:17" x14ac:dyDescent="0.25">
      <c r="O24" s="146">
        <v>1.03</v>
      </c>
      <c r="P24" s="146">
        <f t="shared" si="0"/>
        <v>110.4675</v>
      </c>
      <c r="Q24" s="2"/>
    </row>
    <row r="25" spans="15:17" x14ac:dyDescent="0.25">
      <c r="O25" s="146">
        <v>1.02</v>
      </c>
      <c r="P25" s="146">
        <f t="shared" si="0"/>
        <v>109.395</v>
      </c>
      <c r="Q25" s="2"/>
    </row>
    <row r="26" spans="15:17" x14ac:dyDescent="0.25">
      <c r="O26" s="146">
        <v>1.01</v>
      </c>
      <c r="P26" s="146">
        <f t="shared" si="0"/>
        <v>108.32250000000001</v>
      </c>
      <c r="Q26" s="2"/>
    </row>
    <row r="27" spans="15:17" x14ac:dyDescent="0.25">
      <c r="O27" s="146">
        <v>1</v>
      </c>
      <c r="P27" s="146">
        <f t="shared" si="0"/>
        <v>107.25</v>
      </c>
      <c r="Q27" s="2"/>
    </row>
    <row r="28" spans="15:17" x14ac:dyDescent="0.25">
      <c r="O28" s="146">
        <v>0.99</v>
      </c>
      <c r="P28" s="146">
        <f t="shared" si="0"/>
        <v>106.17749999999999</v>
      </c>
      <c r="Q28" s="2"/>
    </row>
    <row r="29" spans="15:17" x14ac:dyDescent="0.25">
      <c r="O29" s="146">
        <v>0.98</v>
      </c>
      <c r="P29" s="146">
        <f t="shared" si="0"/>
        <v>105.105</v>
      </c>
      <c r="Q29" s="2"/>
    </row>
    <row r="30" spans="15:17" x14ac:dyDescent="0.25">
      <c r="O30" s="146">
        <v>0.97</v>
      </c>
      <c r="P30" s="146">
        <f t="shared" si="0"/>
        <v>104.0325</v>
      </c>
    </row>
    <row r="31" spans="15:17" x14ac:dyDescent="0.25">
      <c r="O31" s="146">
        <v>0.96</v>
      </c>
      <c r="P31" s="146">
        <f t="shared" si="0"/>
        <v>102.96</v>
      </c>
    </row>
    <row r="32" spans="15:17" x14ac:dyDescent="0.25">
      <c r="O32" s="146">
        <v>0.95</v>
      </c>
      <c r="P32" s="146">
        <f t="shared" si="0"/>
        <v>101.88749999999999</v>
      </c>
    </row>
    <row r="33" spans="15:16" x14ac:dyDescent="0.25">
      <c r="O33" s="146">
        <v>0.94</v>
      </c>
      <c r="P33" s="146">
        <f t="shared" si="0"/>
        <v>100.815</v>
      </c>
    </row>
    <row r="34" spans="15:16" x14ac:dyDescent="0.25">
      <c r="O34" s="146">
        <v>0.93</v>
      </c>
      <c r="P34" s="146">
        <f t="shared" si="0"/>
        <v>99.742500000000007</v>
      </c>
    </row>
    <row r="35" spans="15:16" x14ac:dyDescent="0.25">
      <c r="O35" s="146">
        <v>0.92</v>
      </c>
      <c r="P35" s="146">
        <f t="shared" si="0"/>
        <v>98.67</v>
      </c>
    </row>
    <row r="36" spans="15:16" x14ac:dyDescent="0.25">
      <c r="O36" s="146">
        <v>0.91</v>
      </c>
      <c r="P36" s="146">
        <f t="shared" si="0"/>
        <v>97.597499999999997</v>
      </c>
    </row>
    <row r="37" spans="15:16" x14ac:dyDescent="0.25">
      <c r="O37" s="146">
        <v>0.9</v>
      </c>
      <c r="P37" s="146">
        <f t="shared" si="0"/>
        <v>96.525000000000006</v>
      </c>
    </row>
  </sheetData>
  <mergeCells count="1">
    <mergeCell ref="O16:P16"/>
  </mergeCells>
  <conditionalFormatting sqref="Q7">
    <cfRule type="expression" dxfId="19" priority="4">
      <formula>Q7&gt;0</formula>
    </cfRule>
    <cfRule type="expression" dxfId="18" priority="5">
      <formula>Q7&lt;0</formula>
    </cfRule>
  </conditionalFormatting>
  <conditionalFormatting sqref="O17:O37">
    <cfRule type="colorScale" priority="2">
      <colorScale>
        <cfvo type="min"/>
        <cfvo type="percentile" val="50"/>
        <cfvo type="max"/>
        <color rgb="FFF8696B"/>
        <color rgb="FFFFEB84"/>
        <color rgb="FF63BE7B"/>
      </colorScale>
    </cfRule>
  </conditionalFormatting>
  <conditionalFormatting sqref="P17:P3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t="s">
        <v>171</v>
      </c>
      <c r="F1" s="30" t="s">
        <v>60</v>
      </c>
      <c r="G1" s="19" t="s">
        <v>3</v>
      </c>
      <c r="H1" s="19" t="s">
        <v>6</v>
      </c>
      <c r="I1" s="19" t="s">
        <v>7</v>
      </c>
      <c r="J1" s="19" t="s">
        <v>172</v>
      </c>
      <c r="K1" s="19" t="s">
        <v>61</v>
      </c>
      <c r="L1" s="19" t="s">
        <v>84</v>
      </c>
      <c r="M1" s="19" t="s">
        <v>38</v>
      </c>
      <c r="U1" s="19" t="s">
        <v>74</v>
      </c>
    </row>
    <row r="2" spans="1:22" x14ac:dyDescent="0.25">
      <c r="A2" s="8" t="s">
        <v>53</v>
      </c>
      <c r="B2" s="1">
        <v>42214</v>
      </c>
      <c r="C2">
        <v>15</v>
      </c>
      <c r="D2" s="2">
        <v>47.8</v>
      </c>
      <c r="E2" s="2">
        <v>0</v>
      </c>
      <c r="F2" s="2">
        <f>C2*D2</f>
        <v>717</v>
      </c>
      <c r="L2" s="1">
        <v>42247</v>
      </c>
      <c r="M2">
        <v>3.5</v>
      </c>
      <c r="O2" s="19" t="s">
        <v>57</v>
      </c>
      <c r="Q2">
        <f>C5-H5</f>
        <v>35</v>
      </c>
      <c r="U2" s="1">
        <v>42318</v>
      </c>
      <c r="V2" t="s">
        <v>121</v>
      </c>
    </row>
    <row r="3" spans="1:22" x14ac:dyDescent="0.25">
      <c r="A3" s="32" t="s">
        <v>77</v>
      </c>
      <c r="B3" s="1">
        <v>42233</v>
      </c>
      <c r="C3">
        <v>20</v>
      </c>
      <c r="D3" s="2">
        <v>47.5</v>
      </c>
      <c r="E3" s="2">
        <v>0</v>
      </c>
      <c r="F3" s="2">
        <f>C3*D3</f>
        <v>950</v>
      </c>
      <c r="O3" s="19" t="s">
        <v>58</v>
      </c>
      <c r="Q3" s="2">
        <f>(F5-K5-M5)/Q2</f>
        <v>47.528571428571432</v>
      </c>
    </row>
    <row r="4" spans="1:22" x14ac:dyDescent="0.25">
      <c r="O4" s="19" t="s">
        <v>66</v>
      </c>
      <c r="Q4" s="94">
        <v>44.32</v>
      </c>
    </row>
    <row r="5" spans="1:22" x14ac:dyDescent="0.25">
      <c r="A5" s="31" t="s">
        <v>110</v>
      </c>
      <c r="B5" s="31"/>
      <c r="C5" s="31">
        <f>SUM(C2:C3)</f>
        <v>35</v>
      </c>
      <c r="D5" s="62"/>
      <c r="E5" s="62"/>
      <c r="F5" s="62">
        <f>SUM(F2:F3)</f>
        <v>1667</v>
      </c>
      <c r="G5" s="31"/>
      <c r="H5" s="31">
        <f>SUM(H2:H4)</f>
        <v>0</v>
      </c>
      <c r="I5" s="31"/>
      <c r="J5" s="31"/>
      <c r="K5" s="31">
        <f>SUM(K2:K4)</f>
        <v>0</v>
      </c>
      <c r="L5" s="31"/>
      <c r="M5" s="31">
        <f t="shared" ref="M5" si="0">SUM(M2:M4)</f>
        <v>3.5</v>
      </c>
      <c r="O5" s="19" t="s">
        <v>67</v>
      </c>
      <c r="Q5" s="5">
        <f>Q4*Q2</f>
        <v>1551.2</v>
      </c>
    </row>
    <row r="6" spans="1:22" x14ac:dyDescent="0.25">
      <c r="O6" s="19" t="s">
        <v>64</v>
      </c>
      <c r="Q6" s="2">
        <f>Q3*Q2</f>
        <v>1663.5000000000002</v>
      </c>
    </row>
    <row r="7" spans="1:22" x14ac:dyDescent="0.25">
      <c r="O7" s="19" t="s">
        <v>65</v>
      </c>
      <c r="Q7" s="2">
        <f>Q5-Q6</f>
        <v>-112.30000000000018</v>
      </c>
    </row>
    <row r="17" spans="15:17" x14ac:dyDescent="0.25">
      <c r="P17" t="s">
        <v>85</v>
      </c>
    </row>
    <row r="18" spans="15:17" x14ac:dyDescent="0.25">
      <c r="O18" s="2">
        <f>$Q$4</f>
        <v>44.32</v>
      </c>
      <c r="P18">
        <v>1.1000000000000001</v>
      </c>
      <c r="Q18" s="2">
        <f t="shared" ref="Q18:Q30" si="1">P18*O18</f>
        <v>48.752000000000002</v>
      </c>
    </row>
    <row r="19" spans="15:17" x14ac:dyDescent="0.25">
      <c r="O19" s="2">
        <f>$Q$4</f>
        <v>44.32</v>
      </c>
      <c r="P19">
        <v>1.05</v>
      </c>
      <c r="Q19" s="2">
        <f t="shared" si="1"/>
        <v>46.536000000000001</v>
      </c>
    </row>
    <row r="20" spans="15:17" x14ac:dyDescent="0.25">
      <c r="O20" s="2">
        <f t="shared" ref="O20:O30" si="2">$Q$4</f>
        <v>44.32</v>
      </c>
      <c r="P20">
        <v>1.04</v>
      </c>
      <c r="Q20" s="2">
        <f t="shared" si="1"/>
        <v>46.092800000000004</v>
      </c>
    </row>
    <row r="21" spans="15:17" x14ac:dyDescent="0.25">
      <c r="O21" s="2">
        <f t="shared" si="2"/>
        <v>44.32</v>
      </c>
      <c r="P21" s="2">
        <v>1.03</v>
      </c>
      <c r="Q21" s="2">
        <f t="shared" si="1"/>
        <v>45.6496</v>
      </c>
    </row>
    <row r="22" spans="15:17" x14ac:dyDescent="0.25">
      <c r="O22" s="2">
        <f t="shared" si="2"/>
        <v>44.32</v>
      </c>
      <c r="P22" s="2">
        <v>1.02</v>
      </c>
      <c r="Q22" s="2">
        <f t="shared" si="1"/>
        <v>45.206400000000002</v>
      </c>
    </row>
    <row r="23" spans="15:17" x14ac:dyDescent="0.25">
      <c r="O23" s="2">
        <f t="shared" si="2"/>
        <v>44.32</v>
      </c>
      <c r="P23" s="2">
        <v>1.01</v>
      </c>
      <c r="Q23" s="2">
        <f t="shared" si="1"/>
        <v>44.763199999999998</v>
      </c>
    </row>
    <row r="24" spans="15:17" x14ac:dyDescent="0.25">
      <c r="O24" s="2">
        <f t="shared" si="2"/>
        <v>44.32</v>
      </c>
      <c r="P24" s="2">
        <v>1</v>
      </c>
      <c r="Q24" s="2">
        <f t="shared" si="1"/>
        <v>44.32</v>
      </c>
    </row>
    <row r="25" spans="15:17" x14ac:dyDescent="0.25">
      <c r="O25" s="2">
        <f t="shared" si="2"/>
        <v>44.32</v>
      </c>
      <c r="P25" s="2">
        <v>0.99</v>
      </c>
      <c r="Q25" s="2">
        <f t="shared" si="1"/>
        <v>43.876800000000003</v>
      </c>
    </row>
    <row r="26" spans="15:17" x14ac:dyDescent="0.25">
      <c r="O26" s="2">
        <f t="shared" si="2"/>
        <v>44.32</v>
      </c>
      <c r="P26" s="2">
        <v>0.98</v>
      </c>
      <c r="Q26" s="2">
        <f t="shared" si="1"/>
        <v>43.433599999999998</v>
      </c>
    </row>
    <row r="27" spans="15:17" x14ac:dyDescent="0.25">
      <c r="O27" s="2">
        <f t="shared" si="2"/>
        <v>44.32</v>
      </c>
      <c r="P27" s="2">
        <v>0.97</v>
      </c>
      <c r="Q27" s="2">
        <f t="shared" si="1"/>
        <v>42.990400000000001</v>
      </c>
    </row>
    <row r="28" spans="15:17" x14ac:dyDescent="0.25">
      <c r="O28" s="2">
        <f t="shared" si="2"/>
        <v>44.32</v>
      </c>
      <c r="P28" s="2">
        <v>0.96</v>
      </c>
      <c r="Q28" s="2">
        <f t="shared" si="1"/>
        <v>42.547199999999997</v>
      </c>
    </row>
    <row r="29" spans="15:17" x14ac:dyDescent="0.25">
      <c r="O29" s="2">
        <f t="shared" si="2"/>
        <v>44.32</v>
      </c>
      <c r="P29" s="2">
        <v>0.95</v>
      </c>
      <c r="Q29" s="2">
        <f t="shared" si="1"/>
        <v>42.103999999999999</v>
      </c>
    </row>
    <row r="30" spans="15:17" x14ac:dyDescent="0.25">
      <c r="O30" s="2">
        <f t="shared" si="2"/>
        <v>44.32</v>
      </c>
      <c r="P30" s="2">
        <v>0.9</v>
      </c>
      <c r="Q30" s="2">
        <f t="shared" si="1"/>
        <v>39.887999999999998</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19" customFormat="1" x14ac:dyDescent="0.25">
      <c r="A1" s="19" t="s">
        <v>1</v>
      </c>
      <c r="B1" s="19" t="s">
        <v>2</v>
      </c>
      <c r="C1" s="19" t="s">
        <v>4</v>
      </c>
      <c r="D1" s="30" t="s">
        <v>5</v>
      </c>
      <c r="E1" s="30"/>
      <c r="F1" s="30" t="s">
        <v>60</v>
      </c>
      <c r="G1" s="19" t="s">
        <v>3</v>
      </c>
      <c r="H1" s="19" t="s">
        <v>6</v>
      </c>
      <c r="I1" s="19" t="s">
        <v>7</v>
      </c>
      <c r="K1" s="19" t="s">
        <v>61</v>
      </c>
      <c r="L1" s="19" t="s">
        <v>37</v>
      </c>
      <c r="M1" s="19" t="s">
        <v>38</v>
      </c>
      <c r="T1" s="19" t="s">
        <v>74</v>
      </c>
    </row>
    <row r="2" spans="1:21" x14ac:dyDescent="0.25">
      <c r="A2" s="8" t="s">
        <v>56</v>
      </c>
      <c r="B2" s="204">
        <v>42220</v>
      </c>
      <c r="C2">
        <v>40</v>
      </c>
      <c r="D2" s="2">
        <v>31.78</v>
      </c>
      <c r="F2" s="2">
        <f>C2*D2</f>
        <v>1271.2</v>
      </c>
      <c r="G2" s="1">
        <v>42235</v>
      </c>
      <c r="H2" s="10">
        <v>100</v>
      </c>
      <c r="I2" s="10">
        <v>31.5</v>
      </c>
      <c r="J2" s="10"/>
      <c r="K2" s="10">
        <f>H2*I2</f>
        <v>3150</v>
      </c>
      <c r="O2" s="19" t="s">
        <v>57</v>
      </c>
      <c r="Q2">
        <f>C6-H6</f>
        <v>40</v>
      </c>
      <c r="T2" s="1">
        <v>42300</v>
      </c>
      <c r="U2" t="s">
        <v>121</v>
      </c>
    </row>
    <row r="3" spans="1:21" x14ac:dyDescent="0.25">
      <c r="A3" s="32" t="s">
        <v>77</v>
      </c>
      <c r="B3" s="204"/>
      <c r="C3" s="10">
        <v>60</v>
      </c>
      <c r="D3" s="23">
        <v>31.78</v>
      </c>
      <c r="E3" s="23"/>
      <c r="F3" s="23">
        <f>C3*D3</f>
        <v>1906.8000000000002</v>
      </c>
      <c r="G3" s="1"/>
      <c r="O3" s="19" t="s">
        <v>58</v>
      </c>
      <c r="Q3" s="2">
        <f>(F6-K6)/Q2</f>
        <v>30.987500000000001</v>
      </c>
      <c r="T3" t="s">
        <v>130</v>
      </c>
    </row>
    <row r="4" spans="1:21" x14ac:dyDescent="0.25">
      <c r="B4" s="1">
        <v>42221</v>
      </c>
      <c r="C4" s="10">
        <v>10</v>
      </c>
      <c r="D4" s="23">
        <v>31.45</v>
      </c>
      <c r="E4" s="23"/>
      <c r="F4" s="23">
        <f t="shared" ref="F4:F5" si="0">C4*D4</f>
        <v>314.5</v>
      </c>
      <c r="O4" s="19" t="s">
        <v>66</v>
      </c>
      <c r="Q4" s="94">
        <v>30</v>
      </c>
    </row>
    <row r="5" spans="1:21" x14ac:dyDescent="0.25">
      <c r="B5" s="1">
        <v>42233</v>
      </c>
      <c r="C5" s="10">
        <v>30</v>
      </c>
      <c r="D5" s="23">
        <v>29.9</v>
      </c>
      <c r="E5" s="23"/>
      <c r="F5" s="23">
        <f t="shared" si="0"/>
        <v>897</v>
      </c>
      <c r="O5" s="19" t="s">
        <v>67</v>
      </c>
      <c r="Q5" s="5">
        <f>Q4*Q2</f>
        <v>1200</v>
      </c>
    </row>
    <row r="6" spans="1:21" x14ac:dyDescent="0.25">
      <c r="A6" s="31" t="s">
        <v>110</v>
      </c>
      <c r="B6" s="20"/>
      <c r="C6" s="20">
        <f>SUM(C2:C5)</f>
        <v>140</v>
      </c>
      <c r="D6" s="21"/>
      <c r="E6" s="21"/>
      <c r="F6" s="21">
        <f>SUM(F2:F5)</f>
        <v>4389.5</v>
      </c>
      <c r="G6" s="20"/>
      <c r="H6" s="20">
        <f>SUM(H2:H5)</f>
        <v>100</v>
      </c>
      <c r="I6" s="20"/>
      <c r="J6" s="20"/>
      <c r="K6" s="20">
        <f>SUM(K2:K5)</f>
        <v>3150</v>
      </c>
      <c r="L6" s="20"/>
      <c r="M6" s="20"/>
      <c r="O6" s="19" t="s">
        <v>64</v>
      </c>
      <c r="Q6" s="2">
        <f>Q3*Q2</f>
        <v>1239.5</v>
      </c>
    </row>
    <row r="7" spans="1:21" x14ac:dyDescent="0.25">
      <c r="O7" s="19" t="s">
        <v>65</v>
      </c>
      <c r="Q7" s="2">
        <f>Q5-Q6</f>
        <v>-39.5</v>
      </c>
    </row>
    <row r="21" spans="15:17" ht="20.25" thickBot="1" x14ac:dyDescent="0.35">
      <c r="O21" s="201" t="s">
        <v>85</v>
      </c>
      <c r="P21" s="201"/>
    </row>
    <row r="22" spans="15:17" ht="15.75" thickTop="1" x14ac:dyDescent="0.25">
      <c r="O22" s="146">
        <v>1.1000000000000001</v>
      </c>
      <c r="P22" s="146">
        <f>O22*$Q$4</f>
        <v>33</v>
      </c>
      <c r="Q22" s="2"/>
    </row>
    <row r="23" spans="15:17" x14ac:dyDescent="0.25">
      <c r="O23" s="146">
        <v>1.0900000000000001</v>
      </c>
      <c r="P23" s="146">
        <f t="shared" ref="P23:P42" si="1">O23*$Q$4</f>
        <v>32.700000000000003</v>
      </c>
      <c r="Q23" s="2"/>
    </row>
    <row r="24" spans="15:17" x14ac:dyDescent="0.25">
      <c r="O24" s="146">
        <v>1.08</v>
      </c>
      <c r="P24" s="146">
        <f t="shared" si="1"/>
        <v>32.400000000000006</v>
      </c>
      <c r="Q24" s="2"/>
    </row>
    <row r="25" spans="15:17" x14ac:dyDescent="0.25">
      <c r="O25" s="146">
        <v>1.07</v>
      </c>
      <c r="P25" s="146">
        <f t="shared" si="1"/>
        <v>32.1</v>
      </c>
      <c r="Q25" s="2"/>
    </row>
    <row r="26" spans="15:17" x14ac:dyDescent="0.25">
      <c r="O26" s="146">
        <v>1.06</v>
      </c>
      <c r="P26" s="146">
        <f t="shared" si="1"/>
        <v>31.8</v>
      </c>
      <c r="Q26" s="2"/>
    </row>
    <row r="27" spans="15:17" x14ac:dyDescent="0.25">
      <c r="O27" s="146">
        <v>1.05</v>
      </c>
      <c r="P27" s="146">
        <f t="shared" si="1"/>
        <v>31.5</v>
      </c>
      <c r="Q27" s="2"/>
    </row>
    <row r="28" spans="15:17" x14ac:dyDescent="0.25">
      <c r="O28" s="146">
        <v>1.04</v>
      </c>
      <c r="P28" s="146">
        <f t="shared" si="1"/>
        <v>31.200000000000003</v>
      </c>
      <c r="Q28" s="2"/>
    </row>
    <row r="29" spans="15:17" x14ac:dyDescent="0.25">
      <c r="O29" s="146">
        <v>1.03</v>
      </c>
      <c r="P29" s="146">
        <f t="shared" si="1"/>
        <v>30.900000000000002</v>
      </c>
      <c r="Q29" s="2"/>
    </row>
    <row r="30" spans="15:17" x14ac:dyDescent="0.25">
      <c r="O30" s="146">
        <v>1.02</v>
      </c>
      <c r="P30" s="146">
        <f t="shared" si="1"/>
        <v>30.6</v>
      </c>
      <c r="Q30" s="2"/>
    </row>
    <row r="31" spans="15:17" x14ac:dyDescent="0.25">
      <c r="O31" s="146">
        <v>1.01</v>
      </c>
      <c r="P31" s="146">
        <f t="shared" si="1"/>
        <v>30.3</v>
      </c>
      <c r="Q31" s="2"/>
    </row>
    <row r="32" spans="15:17" x14ac:dyDescent="0.25">
      <c r="O32" s="146">
        <v>1</v>
      </c>
      <c r="P32" s="146">
        <f t="shared" si="1"/>
        <v>30</v>
      </c>
      <c r="Q32" s="2"/>
    </row>
    <row r="33" spans="4:17" x14ac:dyDescent="0.25">
      <c r="O33" s="146">
        <v>0.99</v>
      </c>
      <c r="P33" s="146">
        <f t="shared" si="1"/>
        <v>29.7</v>
      </c>
      <c r="Q33" s="2"/>
    </row>
    <row r="34" spans="4:17" x14ac:dyDescent="0.25">
      <c r="O34" s="146">
        <v>0.98</v>
      </c>
      <c r="P34" s="146">
        <f t="shared" si="1"/>
        <v>29.4</v>
      </c>
      <c r="Q34" s="2"/>
    </row>
    <row r="35" spans="4:17" x14ac:dyDescent="0.25">
      <c r="O35" s="146">
        <v>0.97</v>
      </c>
      <c r="P35" s="146">
        <f t="shared" si="1"/>
        <v>29.099999999999998</v>
      </c>
    </row>
    <row r="36" spans="4:17" x14ac:dyDescent="0.25">
      <c r="O36" s="146">
        <v>0.96</v>
      </c>
      <c r="P36" s="146">
        <f t="shared" si="1"/>
        <v>28.799999999999997</v>
      </c>
    </row>
    <row r="37" spans="4:17" x14ac:dyDescent="0.25">
      <c r="O37" s="146">
        <v>0.95</v>
      </c>
      <c r="P37" s="146">
        <f t="shared" si="1"/>
        <v>28.5</v>
      </c>
    </row>
    <row r="38" spans="4:17" x14ac:dyDescent="0.25">
      <c r="O38" s="146">
        <v>0.94</v>
      </c>
      <c r="P38" s="146">
        <f t="shared" si="1"/>
        <v>28.2</v>
      </c>
    </row>
    <row r="39" spans="4:17" x14ac:dyDescent="0.25">
      <c r="O39" s="146">
        <v>0.93</v>
      </c>
      <c r="P39" s="146">
        <f t="shared" si="1"/>
        <v>27.900000000000002</v>
      </c>
    </row>
    <row r="40" spans="4:17" x14ac:dyDescent="0.25">
      <c r="D40"/>
      <c r="E40"/>
      <c r="O40" s="146">
        <v>0.92</v>
      </c>
      <c r="P40" s="146">
        <f t="shared" si="1"/>
        <v>27.6</v>
      </c>
    </row>
    <row r="41" spans="4:17" x14ac:dyDescent="0.25">
      <c r="O41" s="146">
        <v>0.91</v>
      </c>
      <c r="P41" s="146">
        <f t="shared" si="1"/>
        <v>27.3</v>
      </c>
    </row>
    <row r="42" spans="4:17" x14ac:dyDescent="0.25">
      <c r="O42" s="146">
        <v>0.9</v>
      </c>
      <c r="P42" s="146">
        <f t="shared" si="1"/>
        <v>27</v>
      </c>
    </row>
  </sheetData>
  <mergeCells count="2">
    <mergeCell ref="B2:B3"/>
    <mergeCell ref="O21:P21"/>
  </mergeCells>
  <conditionalFormatting sqref="Q7">
    <cfRule type="expression" dxfId="15" priority="4">
      <formula>Q7&gt;0</formula>
    </cfRule>
    <cfRule type="expression" dxfId="14" priority="5">
      <formula>Q7&lt;0</formula>
    </cfRule>
  </conditionalFormatting>
  <conditionalFormatting sqref="O22:O42">
    <cfRule type="colorScale" priority="2">
      <colorScale>
        <cfvo type="min"/>
        <cfvo type="percentile" val="50"/>
        <cfvo type="max"/>
        <color rgb="FFF8696B"/>
        <color rgb="FFFFEB84"/>
        <color rgb="FF63BE7B"/>
      </colorScale>
    </cfRule>
  </conditionalFormatting>
  <conditionalFormatting sqref="P22:P4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19" customFormat="1" x14ac:dyDescent="0.25">
      <c r="A1" s="30" t="s">
        <v>1</v>
      </c>
      <c r="B1" s="19" t="s">
        <v>2</v>
      </c>
      <c r="C1" s="19" t="s">
        <v>4</v>
      </c>
      <c r="D1" s="30" t="s">
        <v>5</v>
      </c>
      <c r="E1" s="30"/>
      <c r="F1" s="30" t="s">
        <v>60</v>
      </c>
      <c r="G1" s="19" t="s">
        <v>3</v>
      </c>
      <c r="H1" s="19" t="s">
        <v>6</v>
      </c>
      <c r="I1" s="30" t="s">
        <v>7</v>
      </c>
      <c r="J1" s="30"/>
      <c r="K1" s="30" t="s">
        <v>61</v>
      </c>
      <c r="L1" s="19" t="s">
        <v>37</v>
      </c>
      <c r="M1" s="19" t="s">
        <v>38</v>
      </c>
      <c r="U1" s="19" t="s">
        <v>74</v>
      </c>
    </row>
    <row r="2" spans="1:22" x14ac:dyDescent="0.25">
      <c r="A2" s="8" t="s">
        <v>44</v>
      </c>
      <c r="B2" s="1">
        <v>42185</v>
      </c>
      <c r="C2" s="10">
        <v>10</v>
      </c>
      <c r="D2" s="23">
        <v>71.2</v>
      </c>
      <c r="E2" s="23"/>
      <c r="F2" s="23">
        <f>C2*D2</f>
        <v>712</v>
      </c>
      <c r="G2" s="1">
        <v>42228</v>
      </c>
      <c r="H2" s="10">
        <v>10</v>
      </c>
      <c r="I2" s="23">
        <v>75.5</v>
      </c>
      <c r="J2" s="23"/>
      <c r="K2" s="23">
        <f>H2*I2</f>
        <v>755</v>
      </c>
      <c r="O2" s="19" t="s">
        <v>57</v>
      </c>
      <c r="Q2">
        <f>C4-H4</f>
        <v>5</v>
      </c>
      <c r="U2" s="1">
        <v>42309</v>
      </c>
      <c r="V2" t="s">
        <v>121</v>
      </c>
    </row>
    <row r="3" spans="1:22" x14ac:dyDescent="0.25">
      <c r="A3" s="32" t="s">
        <v>77</v>
      </c>
      <c r="B3" s="1">
        <v>42220</v>
      </c>
      <c r="C3">
        <v>5</v>
      </c>
      <c r="D3" s="2">
        <v>70.650000000000006</v>
      </c>
      <c r="F3" s="2">
        <f>C3*D3</f>
        <v>353.25</v>
      </c>
      <c r="K3" s="82"/>
      <c r="O3" s="19" t="s">
        <v>58</v>
      </c>
      <c r="Q3" s="2">
        <f>(F4-K4)/Q2</f>
        <v>62.05</v>
      </c>
    </row>
    <row r="4" spans="1:22" x14ac:dyDescent="0.25">
      <c r="A4" s="53" t="s">
        <v>110</v>
      </c>
      <c r="B4" s="22"/>
      <c r="C4" s="22">
        <f>SUM(C2:C3)</f>
        <v>15</v>
      </c>
      <c r="D4" s="27"/>
      <c r="E4" s="27"/>
      <c r="F4" s="27">
        <f>SUM(F2:F3)</f>
        <v>1065.25</v>
      </c>
      <c r="G4" s="22"/>
      <c r="H4" s="22">
        <f>SUM(H2:H3)</f>
        <v>10</v>
      </c>
      <c r="I4" s="27"/>
      <c r="J4" s="27"/>
      <c r="K4" s="27">
        <f>SUM(K2:K3)</f>
        <v>755</v>
      </c>
      <c r="L4" s="22"/>
      <c r="M4" s="22"/>
      <c r="O4" s="19" t="s">
        <v>66</v>
      </c>
      <c r="Q4" s="94">
        <v>67.290000000000006</v>
      </c>
    </row>
    <row r="5" spans="1:22" x14ac:dyDescent="0.25">
      <c r="O5" s="19" t="s">
        <v>67</v>
      </c>
      <c r="Q5" s="5">
        <f>Q4*Q2</f>
        <v>336.45000000000005</v>
      </c>
    </row>
    <row r="6" spans="1:22" x14ac:dyDescent="0.25">
      <c r="O6" s="19" t="s">
        <v>64</v>
      </c>
      <c r="Q6" s="2">
        <f>Q3*Q2</f>
        <v>310.25</v>
      </c>
    </row>
    <row r="7" spans="1:22" x14ac:dyDescent="0.25">
      <c r="O7" s="19" t="s">
        <v>65</v>
      </c>
      <c r="Q7" s="2">
        <f>Q5-Q6</f>
        <v>26.200000000000045</v>
      </c>
    </row>
    <row r="16" spans="1:22" x14ac:dyDescent="0.25">
      <c r="P16" t="s">
        <v>85</v>
      </c>
    </row>
    <row r="17" spans="15:17" x14ac:dyDescent="0.25">
      <c r="O17" s="2">
        <f>$Q$4</f>
        <v>67.290000000000006</v>
      </c>
      <c r="P17">
        <v>1.1000000000000001</v>
      </c>
      <c r="Q17" s="2">
        <f t="shared" ref="Q17:Q29" si="0">P17*O17</f>
        <v>74.01900000000002</v>
      </c>
    </row>
    <row r="18" spans="15:17" x14ac:dyDescent="0.25">
      <c r="O18" s="2">
        <f>$Q$4</f>
        <v>67.290000000000006</v>
      </c>
      <c r="P18">
        <v>1.05</v>
      </c>
      <c r="Q18" s="2">
        <f t="shared" si="0"/>
        <v>70.654500000000013</v>
      </c>
    </row>
    <row r="19" spans="15:17" x14ac:dyDescent="0.25">
      <c r="O19" s="2">
        <f t="shared" ref="O19:O29" si="1">$Q$4</f>
        <v>67.290000000000006</v>
      </c>
      <c r="P19">
        <v>1.04</v>
      </c>
      <c r="Q19" s="2">
        <f t="shared" si="0"/>
        <v>69.981600000000014</v>
      </c>
    </row>
    <row r="20" spans="15:17" x14ac:dyDescent="0.25">
      <c r="O20" s="2">
        <f t="shared" si="1"/>
        <v>67.290000000000006</v>
      </c>
      <c r="P20" s="2">
        <v>1.03</v>
      </c>
      <c r="Q20" s="2">
        <f t="shared" si="0"/>
        <v>69.308700000000002</v>
      </c>
    </row>
    <row r="21" spans="15:17" x14ac:dyDescent="0.25">
      <c r="O21" s="2">
        <f t="shared" si="1"/>
        <v>67.290000000000006</v>
      </c>
      <c r="P21" s="2">
        <v>1.02</v>
      </c>
      <c r="Q21" s="2">
        <f t="shared" si="0"/>
        <v>68.635800000000003</v>
      </c>
    </row>
    <row r="22" spans="15:17" x14ac:dyDescent="0.25">
      <c r="O22" s="2">
        <f t="shared" si="1"/>
        <v>67.290000000000006</v>
      </c>
      <c r="P22" s="2">
        <v>1.01</v>
      </c>
      <c r="Q22" s="2">
        <f t="shared" si="0"/>
        <v>67.962900000000005</v>
      </c>
    </row>
    <row r="23" spans="15:17" x14ac:dyDescent="0.25">
      <c r="O23" s="2">
        <f t="shared" si="1"/>
        <v>67.290000000000006</v>
      </c>
      <c r="P23" s="2">
        <v>1</v>
      </c>
      <c r="Q23" s="2">
        <f t="shared" si="0"/>
        <v>67.290000000000006</v>
      </c>
    </row>
    <row r="24" spans="15:17" x14ac:dyDescent="0.25">
      <c r="O24" s="2">
        <f t="shared" si="1"/>
        <v>67.290000000000006</v>
      </c>
      <c r="P24" s="2">
        <v>0.99</v>
      </c>
      <c r="Q24" s="2">
        <f t="shared" si="0"/>
        <v>66.617100000000008</v>
      </c>
    </row>
    <row r="25" spans="15:17" x14ac:dyDescent="0.25">
      <c r="O25" s="2">
        <f t="shared" si="1"/>
        <v>67.290000000000006</v>
      </c>
      <c r="P25" s="2">
        <v>0.98</v>
      </c>
      <c r="Q25" s="2">
        <f t="shared" si="0"/>
        <v>65.944200000000009</v>
      </c>
    </row>
    <row r="26" spans="15:17" x14ac:dyDescent="0.25">
      <c r="O26" s="2">
        <f t="shared" si="1"/>
        <v>67.290000000000006</v>
      </c>
      <c r="P26" s="2">
        <v>0.97</v>
      </c>
      <c r="Q26" s="2">
        <f t="shared" si="0"/>
        <v>65.271300000000011</v>
      </c>
    </row>
    <row r="27" spans="15:17" x14ac:dyDescent="0.25">
      <c r="O27" s="2">
        <f t="shared" si="1"/>
        <v>67.290000000000006</v>
      </c>
      <c r="P27" s="2">
        <v>0.96</v>
      </c>
      <c r="Q27" s="2">
        <f t="shared" si="0"/>
        <v>64.598399999999998</v>
      </c>
    </row>
    <row r="28" spans="15:17" x14ac:dyDescent="0.25">
      <c r="O28" s="2">
        <f t="shared" si="1"/>
        <v>67.290000000000006</v>
      </c>
      <c r="P28" s="2">
        <v>0.95</v>
      </c>
      <c r="Q28" s="2">
        <f t="shared" si="0"/>
        <v>63.9255</v>
      </c>
    </row>
    <row r="29" spans="15:17" x14ac:dyDescent="0.25">
      <c r="O29" s="2">
        <f t="shared" si="1"/>
        <v>67.290000000000006</v>
      </c>
      <c r="P29" s="2">
        <v>0.9</v>
      </c>
      <c r="Q29" s="2">
        <f t="shared" si="0"/>
        <v>60.561000000000007</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s>
  <sheetData>
    <row r="1" spans="1:22" s="19" customFormat="1" x14ac:dyDescent="0.25">
      <c r="A1" s="19" t="s">
        <v>1</v>
      </c>
      <c r="B1" s="19" t="s">
        <v>2</v>
      </c>
      <c r="C1" s="19" t="s">
        <v>4</v>
      </c>
      <c r="D1" s="19" t="s">
        <v>5</v>
      </c>
      <c r="E1" s="30" t="s">
        <v>171</v>
      </c>
      <c r="F1" s="19" t="s">
        <v>60</v>
      </c>
      <c r="G1" s="19" t="s">
        <v>3</v>
      </c>
      <c r="H1" s="19" t="s">
        <v>6</v>
      </c>
      <c r="I1" s="19" t="s">
        <v>7</v>
      </c>
      <c r="J1" s="19" t="s">
        <v>172</v>
      </c>
      <c r="K1" s="19" t="s">
        <v>61</v>
      </c>
      <c r="L1" s="19" t="s">
        <v>37</v>
      </c>
      <c r="M1" s="19" t="s">
        <v>38</v>
      </c>
      <c r="U1" s="19" t="s">
        <v>74</v>
      </c>
    </row>
    <row r="2" spans="1:22" x14ac:dyDescent="0.25">
      <c r="A2" s="8" t="s">
        <v>39</v>
      </c>
      <c r="B2" s="1">
        <v>42179</v>
      </c>
      <c r="C2">
        <v>10</v>
      </c>
      <c r="D2">
        <v>37.799999999999997</v>
      </c>
      <c r="E2" s="2">
        <v>0</v>
      </c>
      <c r="F2">
        <f>C2*D2</f>
        <v>378</v>
      </c>
      <c r="L2" s="1">
        <v>42250</v>
      </c>
      <c r="M2">
        <v>20.8</v>
      </c>
      <c r="O2" s="19" t="s">
        <v>57</v>
      </c>
      <c r="Q2">
        <f>C8-H8</f>
        <v>80</v>
      </c>
      <c r="U2" s="1">
        <v>42305</v>
      </c>
      <c r="V2" t="s">
        <v>121</v>
      </c>
    </row>
    <row r="3" spans="1:22" x14ac:dyDescent="0.25">
      <c r="A3" s="32" t="s">
        <v>77</v>
      </c>
      <c r="B3" s="1">
        <v>42194</v>
      </c>
      <c r="C3">
        <v>10</v>
      </c>
      <c r="D3">
        <v>35.5</v>
      </c>
      <c r="E3" s="2">
        <v>0</v>
      </c>
      <c r="F3">
        <f>C3*D3</f>
        <v>355</v>
      </c>
      <c r="O3" s="19" t="s">
        <v>58</v>
      </c>
      <c r="Q3" s="2">
        <f>(F8-K8-M8)/Q2</f>
        <v>33.327500000000001</v>
      </c>
    </row>
    <row r="4" spans="1:22" x14ac:dyDescent="0.25">
      <c r="B4" s="1">
        <v>42230</v>
      </c>
      <c r="C4">
        <v>20</v>
      </c>
      <c r="D4">
        <v>32.9</v>
      </c>
      <c r="E4" s="2">
        <v>0</v>
      </c>
      <c r="F4">
        <f>C4*D4</f>
        <v>658</v>
      </c>
      <c r="O4" s="19" t="s">
        <v>66</v>
      </c>
      <c r="Q4" s="94">
        <v>30.36</v>
      </c>
    </row>
    <row r="5" spans="1:22" x14ac:dyDescent="0.25">
      <c r="B5" s="1">
        <v>42240</v>
      </c>
      <c r="C5">
        <v>40</v>
      </c>
      <c r="D5">
        <v>32.4</v>
      </c>
      <c r="E5" s="2">
        <v>0</v>
      </c>
      <c r="F5">
        <f t="shared" ref="F5" si="0">C5*D5</f>
        <v>1296</v>
      </c>
      <c r="O5" s="19" t="s">
        <v>67</v>
      </c>
      <c r="Q5" s="5">
        <f>Q4*Q2</f>
        <v>2428.8000000000002</v>
      </c>
    </row>
    <row r="6" spans="1:22" x14ac:dyDescent="0.25">
      <c r="O6" s="19" t="s">
        <v>64</v>
      </c>
      <c r="Q6" s="2">
        <f>Q3*Q2</f>
        <v>2666.2</v>
      </c>
    </row>
    <row r="7" spans="1:22" x14ac:dyDescent="0.25">
      <c r="O7" s="19" t="s">
        <v>65</v>
      </c>
      <c r="Q7" s="2">
        <f>Q5-Q6+M8</f>
        <v>-216.59999999999962</v>
      </c>
    </row>
    <row r="8" spans="1:22" x14ac:dyDescent="0.25">
      <c r="A8" s="53" t="s">
        <v>110</v>
      </c>
      <c r="B8" s="22"/>
      <c r="C8" s="22">
        <f>SUM(C2:C7)</f>
        <v>80</v>
      </c>
      <c r="D8" s="22"/>
      <c r="E8" s="27"/>
      <c r="F8" s="22">
        <f>SUM(F2:F7)</f>
        <v>2687</v>
      </c>
      <c r="G8" s="22"/>
      <c r="H8" s="22">
        <f>SUM(H2:H4)</f>
        <v>0</v>
      </c>
      <c r="I8" s="22"/>
      <c r="J8" s="22"/>
      <c r="K8" s="22">
        <f>SUM(K2:K4)</f>
        <v>0</v>
      </c>
      <c r="L8" s="22"/>
      <c r="M8" s="22">
        <f t="shared" ref="M8" si="1">SUM(M2:M4)</f>
        <v>20.8</v>
      </c>
    </row>
    <row r="20" spans="15:17" x14ac:dyDescent="0.25">
      <c r="P20" t="s">
        <v>85</v>
      </c>
    </row>
    <row r="21" spans="15:17" x14ac:dyDescent="0.25">
      <c r="O21" s="2">
        <f>$Q$4</f>
        <v>30.36</v>
      </c>
      <c r="P21">
        <v>1.1000000000000001</v>
      </c>
      <c r="Q21" s="2">
        <f t="shared" ref="Q21:Q33" si="2">P21*O21</f>
        <v>33.396000000000001</v>
      </c>
    </row>
    <row r="22" spans="15:17" x14ac:dyDescent="0.25">
      <c r="O22" s="2">
        <f>$Q$4</f>
        <v>30.36</v>
      </c>
      <c r="P22">
        <v>1.05</v>
      </c>
      <c r="Q22" s="2">
        <f t="shared" si="2"/>
        <v>31.878</v>
      </c>
    </row>
    <row r="23" spans="15:17" x14ac:dyDescent="0.25">
      <c r="O23" s="2">
        <f t="shared" ref="O23:O33" si="3">$Q$4</f>
        <v>30.36</v>
      </c>
      <c r="P23">
        <v>1.04</v>
      </c>
      <c r="Q23" s="2">
        <f t="shared" si="2"/>
        <v>31.574400000000001</v>
      </c>
    </row>
    <row r="24" spans="15:17" x14ac:dyDescent="0.25">
      <c r="O24" s="2">
        <f t="shared" si="3"/>
        <v>30.36</v>
      </c>
      <c r="P24" s="2">
        <v>1.03</v>
      </c>
      <c r="Q24" s="2">
        <f t="shared" si="2"/>
        <v>31.270800000000001</v>
      </c>
    </row>
    <row r="25" spans="15:17" x14ac:dyDescent="0.25">
      <c r="O25" s="2">
        <f t="shared" si="3"/>
        <v>30.36</v>
      </c>
      <c r="P25" s="2">
        <v>1.02</v>
      </c>
      <c r="Q25" s="2">
        <f t="shared" si="2"/>
        <v>30.967199999999998</v>
      </c>
    </row>
    <row r="26" spans="15:17" x14ac:dyDescent="0.25">
      <c r="O26" s="2">
        <f t="shared" si="3"/>
        <v>30.36</v>
      </c>
      <c r="P26" s="2">
        <v>1.01</v>
      </c>
      <c r="Q26" s="2">
        <f t="shared" si="2"/>
        <v>30.663599999999999</v>
      </c>
    </row>
    <row r="27" spans="15:17" x14ac:dyDescent="0.25">
      <c r="O27" s="2">
        <f t="shared" si="3"/>
        <v>30.36</v>
      </c>
      <c r="P27" s="2">
        <v>1</v>
      </c>
      <c r="Q27" s="2">
        <f t="shared" si="2"/>
        <v>30.36</v>
      </c>
    </row>
    <row r="28" spans="15:17" x14ac:dyDescent="0.25">
      <c r="O28" s="2">
        <f t="shared" si="3"/>
        <v>30.36</v>
      </c>
      <c r="P28" s="2">
        <v>0.99</v>
      </c>
      <c r="Q28" s="2">
        <f t="shared" si="2"/>
        <v>30.0564</v>
      </c>
    </row>
    <row r="29" spans="15:17" x14ac:dyDescent="0.25">
      <c r="O29" s="2">
        <f t="shared" si="3"/>
        <v>30.36</v>
      </c>
      <c r="P29" s="2">
        <v>0.98</v>
      </c>
      <c r="Q29" s="2">
        <f t="shared" si="2"/>
        <v>29.752800000000001</v>
      </c>
    </row>
    <row r="30" spans="15:17" x14ac:dyDescent="0.25">
      <c r="O30" s="2">
        <f t="shared" si="3"/>
        <v>30.36</v>
      </c>
      <c r="P30" s="2">
        <v>0.97</v>
      </c>
      <c r="Q30" s="2">
        <f t="shared" si="2"/>
        <v>29.449199999999998</v>
      </c>
    </row>
    <row r="31" spans="15:17" x14ac:dyDescent="0.25">
      <c r="O31" s="2">
        <f t="shared" si="3"/>
        <v>30.36</v>
      </c>
      <c r="P31" s="2">
        <v>0.96</v>
      </c>
      <c r="Q31" s="2">
        <f t="shared" si="2"/>
        <v>29.145599999999998</v>
      </c>
    </row>
    <row r="32" spans="15:17" x14ac:dyDescent="0.25">
      <c r="O32" s="2">
        <f t="shared" si="3"/>
        <v>30.36</v>
      </c>
      <c r="P32" s="2">
        <v>0.95</v>
      </c>
      <c r="Q32" s="2">
        <f t="shared" si="2"/>
        <v>28.841999999999999</v>
      </c>
    </row>
    <row r="33" spans="15:17" x14ac:dyDescent="0.25">
      <c r="O33" s="2">
        <f t="shared" si="3"/>
        <v>30.36</v>
      </c>
      <c r="P33" s="2">
        <v>0.9</v>
      </c>
      <c r="Q33" s="2">
        <f t="shared" si="2"/>
        <v>27.324000000000002</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19" t="s">
        <v>1</v>
      </c>
      <c r="B1" s="19" t="s">
        <v>2</v>
      </c>
      <c r="C1" s="19" t="s">
        <v>4</v>
      </c>
      <c r="D1" s="30" t="s">
        <v>5</v>
      </c>
      <c r="E1" s="30"/>
      <c r="F1" s="30" t="s">
        <v>60</v>
      </c>
      <c r="G1" s="19" t="s">
        <v>3</v>
      </c>
      <c r="H1" s="19" t="s">
        <v>6</v>
      </c>
      <c r="I1" s="19" t="s">
        <v>7</v>
      </c>
      <c r="J1" s="19"/>
      <c r="K1" s="19" t="s">
        <v>61</v>
      </c>
      <c r="L1" s="19" t="s">
        <v>37</v>
      </c>
      <c r="M1" s="19" t="s">
        <v>38</v>
      </c>
      <c r="T1" t="s">
        <v>74</v>
      </c>
    </row>
    <row r="2" spans="1:21" x14ac:dyDescent="0.25">
      <c r="A2" s="8" t="s">
        <v>54</v>
      </c>
      <c r="B2" s="1">
        <v>42214</v>
      </c>
      <c r="C2">
        <v>10</v>
      </c>
      <c r="D2" s="2">
        <v>99.58</v>
      </c>
      <c r="F2" s="2">
        <f>C2*D2</f>
        <v>995.8</v>
      </c>
      <c r="G2" s="1">
        <v>42237</v>
      </c>
      <c r="H2">
        <v>10</v>
      </c>
      <c r="I2">
        <f>K2/H2</f>
        <v>99.558000000000007</v>
      </c>
      <c r="K2">
        <v>995.58</v>
      </c>
      <c r="O2" s="19" t="s">
        <v>57</v>
      </c>
      <c r="Q2">
        <f>C8-H8</f>
        <v>5</v>
      </c>
      <c r="T2" s="1">
        <v>42298</v>
      </c>
      <c r="U2" t="s">
        <v>121</v>
      </c>
    </row>
    <row r="3" spans="1:21" x14ac:dyDescent="0.25">
      <c r="A3" s="32" t="s">
        <v>77</v>
      </c>
      <c r="B3" s="1">
        <v>42219</v>
      </c>
      <c r="C3">
        <v>5</v>
      </c>
      <c r="D3" s="2">
        <v>97.95</v>
      </c>
      <c r="F3" s="2">
        <f>C3*D3</f>
        <v>489.75</v>
      </c>
      <c r="O3" s="19" t="s">
        <v>58</v>
      </c>
      <c r="Q3" s="2">
        <f>(F8-K8)/Q2</f>
        <v>97.993999999999986</v>
      </c>
    </row>
    <row r="4" spans="1:21" x14ac:dyDescent="0.25">
      <c r="B4" s="1"/>
      <c r="O4" s="19" t="s">
        <v>66</v>
      </c>
      <c r="Q4" s="94">
        <v>91.4</v>
      </c>
    </row>
    <row r="5" spans="1:21" x14ac:dyDescent="0.25">
      <c r="O5" s="19" t="s">
        <v>67</v>
      </c>
      <c r="Q5" s="5">
        <f>Q4*Q2</f>
        <v>457</v>
      </c>
    </row>
    <row r="6" spans="1:21" x14ac:dyDescent="0.25">
      <c r="O6" s="19" t="s">
        <v>64</v>
      </c>
      <c r="Q6" s="2">
        <f>Q3*Q2</f>
        <v>489.96999999999991</v>
      </c>
    </row>
    <row r="7" spans="1:21" x14ac:dyDescent="0.25">
      <c r="O7" s="19" t="s">
        <v>65</v>
      </c>
      <c r="Q7" s="2">
        <f>Q5-Q6+M8</f>
        <v>-32.969999999999914</v>
      </c>
    </row>
    <row r="8" spans="1:21" x14ac:dyDescent="0.25">
      <c r="A8" s="53" t="s">
        <v>110</v>
      </c>
      <c r="B8" s="22"/>
      <c r="C8" s="22">
        <f>SUM(C2:C7)</f>
        <v>15</v>
      </c>
      <c r="D8" s="27"/>
      <c r="E8" s="27"/>
      <c r="F8" s="27">
        <f>SUM(F2:F7)</f>
        <v>1485.55</v>
      </c>
      <c r="G8" s="22"/>
      <c r="H8" s="22">
        <f>SUM(H2:H4)</f>
        <v>10</v>
      </c>
      <c r="I8" s="22"/>
      <c r="J8" s="22"/>
      <c r="K8" s="22">
        <f>SUM(K2:K4)</f>
        <v>995.58</v>
      </c>
      <c r="L8" s="22"/>
      <c r="M8" s="22"/>
    </row>
    <row r="19" spans="15:17" x14ac:dyDescent="0.25">
      <c r="P19" t="s">
        <v>85</v>
      </c>
    </row>
    <row r="20" spans="15:17" x14ac:dyDescent="0.25">
      <c r="O20" s="2">
        <f>$Q$4</f>
        <v>91.4</v>
      </c>
      <c r="P20">
        <v>1.1000000000000001</v>
      </c>
      <c r="Q20" s="2">
        <f t="shared" ref="Q20:Q32" si="0">P20*O20</f>
        <v>100.54000000000002</v>
      </c>
    </row>
    <row r="21" spans="15:17" x14ac:dyDescent="0.25">
      <c r="O21" s="2">
        <f>$Q$4</f>
        <v>91.4</v>
      </c>
      <c r="P21">
        <v>1.05</v>
      </c>
      <c r="Q21" s="2">
        <f t="shared" si="0"/>
        <v>95.970000000000013</v>
      </c>
    </row>
    <row r="22" spans="15:17" x14ac:dyDescent="0.25">
      <c r="O22" s="2">
        <f t="shared" ref="O22:O32" si="1">$Q$4</f>
        <v>91.4</v>
      </c>
      <c r="P22">
        <v>1.04</v>
      </c>
      <c r="Q22" s="2">
        <f t="shared" si="0"/>
        <v>95.056000000000012</v>
      </c>
    </row>
    <row r="23" spans="15:17" x14ac:dyDescent="0.25">
      <c r="O23" s="2">
        <f t="shared" si="1"/>
        <v>91.4</v>
      </c>
      <c r="P23" s="2">
        <v>1.03</v>
      </c>
      <c r="Q23" s="2">
        <f t="shared" si="0"/>
        <v>94.14200000000001</v>
      </c>
    </row>
    <row r="24" spans="15:17" x14ac:dyDescent="0.25">
      <c r="O24" s="2">
        <f t="shared" si="1"/>
        <v>91.4</v>
      </c>
      <c r="P24" s="2">
        <v>1.02</v>
      </c>
      <c r="Q24" s="2">
        <f t="shared" si="0"/>
        <v>93.228000000000009</v>
      </c>
    </row>
    <row r="25" spans="15:17" x14ac:dyDescent="0.25">
      <c r="O25" s="2">
        <f t="shared" si="1"/>
        <v>91.4</v>
      </c>
      <c r="P25" s="2">
        <v>1.01</v>
      </c>
      <c r="Q25" s="2">
        <f t="shared" si="0"/>
        <v>92.314000000000007</v>
      </c>
    </row>
    <row r="26" spans="15:17" x14ac:dyDescent="0.25">
      <c r="O26" s="2">
        <f t="shared" si="1"/>
        <v>91.4</v>
      </c>
      <c r="P26" s="2">
        <v>1</v>
      </c>
      <c r="Q26" s="2">
        <f t="shared" si="0"/>
        <v>91.4</v>
      </c>
    </row>
    <row r="27" spans="15:17" x14ac:dyDescent="0.25">
      <c r="O27" s="2">
        <f t="shared" si="1"/>
        <v>91.4</v>
      </c>
      <c r="P27" s="2">
        <v>0.99</v>
      </c>
      <c r="Q27" s="2">
        <f t="shared" si="0"/>
        <v>90.486000000000004</v>
      </c>
    </row>
    <row r="28" spans="15:17" x14ac:dyDescent="0.25">
      <c r="O28" s="2">
        <f t="shared" si="1"/>
        <v>91.4</v>
      </c>
      <c r="P28" s="2">
        <v>0.98</v>
      </c>
      <c r="Q28" s="2">
        <f t="shared" si="0"/>
        <v>89.572000000000003</v>
      </c>
    </row>
    <row r="29" spans="15:17" x14ac:dyDescent="0.25">
      <c r="O29" s="2">
        <f t="shared" si="1"/>
        <v>91.4</v>
      </c>
      <c r="P29" s="2">
        <v>0.97</v>
      </c>
      <c r="Q29" s="2">
        <f t="shared" si="0"/>
        <v>88.658000000000001</v>
      </c>
    </row>
    <row r="30" spans="15:17" x14ac:dyDescent="0.25">
      <c r="O30" s="2">
        <f t="shared" si="1"/>
        <v>91.4</v>
      </c>
      <c r="P30" s="2">
        <v>0.96</v>
      </c>
      <c r="Q30" s="2">
        <f t="shared" si="0"/>
        <v>87.744</v>
      </c>
    </row>
    <row r="31" spans="15:17" x14ac:dyDescent="0.25">
      <c r="O31" s="2">
        <f t="shared" si="1"/>
        <v>91.4</v>
      </c>
      <c r="P31" s="2">
        <v>0.95</v>
      </c>
      <c r="Q31" s="2">
        <f t="shared" si="0"/>
        <v>86.83</v>
      </c>
    </row>
    <row r="32" spans="15:17" x14ac:dyDescent="0.25">
      <c r="O32" s="2">
        <f t="shared" si="1"/>
        <v>91.4</v>
      </c>
      <c r="P32" s="2">
        <v>0.9</v>
      </c>
      <c r="Q32" s="2">
        <f t="shared" si="0"/>
        <v>82.26</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19" customFormat="1" x14ac:dyDescent="0.25">
      <c r="A1" s="19" t="s">
        <v>1</v>
      </c>
      <c r="B1" s="19" t="s">
        <v>2</v>
      </c>
      <c r="C1" s="19" t="s">
        <v>4</v>
      </c>
      <c r="D1" s="30" t="s">
        <v>5</v>
      </c>
      <c r="E1" s="30"/>
      <c r="F1" s="30" t="s">
        <v>60</v>
      </c>
      <c r="G1" s="19" t="s">
        <v>3</v>
      </c>
      <c r="H1" s="19" t="s">
        <v>6</v>
      </c>
      <c r="I1" s="19" t="s">
        <v>7</v>
      </c>
      <c r="K1" s="19" t="s">
        <v>61</v>
      </c>
      <c r="L1" s="19" t="s">
        <v>84</v>
      </c>
      <c r="M1" s="19" t="s">
        <v>38</v>
      </c>
      <c r="U1" s="19" t="s">
        <v>74</v>
      </c>
    </row>
    <row r="2" spans="1:22" x14ac:dyDescent="0.25">
      <c r="A2" s="8" t="s">
        <v>51</v>
      </c>
      <c r="B2" s="1">
        <v>42212</v>
      </c>
      <c r="C2">
        <v>10</v>
      </c>
      <c r="D2" s="2">
        <v>120.14</v>
      </c>
      <c r="F2" s="2">
        <f>D2*C2</f>
        <v>1201.4000000000001</v>
      </c>
      <c r="O2" s="19" t="s">
        <v>57</v>
      </c>
      <c r="Q2">
        <f>C6-H6</f>
        <v>15</v>
      </c>
      <c r="U2" s="1">
        <v>42293</v>
      </c>
      <c r="V2" t="s">
        <v>121</v>
      </c>
    </row>
    <row r="3" spans="1:22" x14ac:dyDescent="0.25">
      <c r="A3" s="32" t="s">
        <v>77</v>
      </c>
      <c r="B3" s="1">
        <v>42214</v>
      </c>
      <c r="C3">
        <v>5</v>
      </c>
      <c r="D3" s="2">
        <v>118.3</v>
      </c>
      <c r="F3" s="2">
        <f>D3*C3</f>
        <v>591.5</v>
      </c>
      <c r="O3" s="19" t="s">
        <v>58</v>
      </c>
      <c r="Q3" s="2">
        <f>F6/C6</f>
        <v>119.52666666666667</v>
      </c>
    </row>
    <row r="4" spans="1:22" x14ac:dyDescent="0.25">
      <c r="O4" s="19" t="s">
        <v>66</v>
      </c>
      <c r="Q4" s="94">
        <v>116.77</v>
      </c>
    </row>
    <row r="5" spans="1:22" x14ac:dyDescent="0.25">
      <c r="O5" s="19" t="s">
        <v>67</v>
      </c>
      <c r="Q5" s="5">
        <f>Q4*Q2</f>
        <v>1751.55</v>
      </c>
    </row>
    <row r="6" spans="1:22" x14ac:dyDescent="0.25">
      <c r="A6" s="58" t="s">
        <v>110</v>
      </c>
      <c r="B6" s="59"/>
      <c r="C6" s="59">
        <f>SUM(C2:C5)</f>
        <v>15</v>
      </c>
      <c r="D6" s="61"/>
      <c r="E6" s="61"/>
      <c r="F6" s="61">
        <f t="shared" ref="F6" si="0">SUM(F2:F5)</f>
        <v>1792.9</v>
      </c>
      <c r="G6" s="59"/>
      <c r="H6" s="59"/>
      <c r="I6" s="59"/>
      <c r="J6" s="59"/>
      <c r="K6" s="59"/>
      <c r="L6" s="59"/>
      <c r="M6" s="59"/>
      <c r="O6" s="19" t="s">
        <v>64</v>
      </c>
      <c r="Q6" s="2">
        <f>Q3*Q2</f>
        <v>1792.9</v>
      </c>
    </row>
    <row r="7" spans="1:22" x14ac:dyDescent="0.25">
      <c r="O7" s="19" t="s">
        <v>65</v>
      </c>
      <c r="Q7" s="2">
        <f>Q5-Q6</f>
        <v>-41.350000000000136</v>
      </c>
    </row>
    <row r="19" spans="15:17" x14ac:dyDescent="0.25">
      <c r="P19" t="s">
        <v>85</v>
      </c>
    </row>
    <row r="20" spans="15:17" x14ac:dyDescent="0.25">
      <c r="O20" s="2">
        <f>$Q$4</f>
        <v>116.77</v>
      </c>
      <c r="P20">
        <v>1.1000000000000001</v>
      </c>
      <c r="Q20" s="2">
        <f t="shared" ref="Q20:Q32" si="1">P20*O20</f>
        <v>128.447</v>
      </c>
    </row>
    <row r="21" spans="15:17" x14ac:dyDescent="0.25">
      <c r="O21" s="2">
        <f>$Q$4</f>
        <v>116.77</v>
      </c>
      <c r="P21">
        <v>1.05</v>
      </c>
      <c r="Q21" s="2">
        <f t="shared" si="1"/>
        <v>122.60850000000001</v>
      </c>
    </row>
    <row r="22" spans="15:17" x14ac:dyDescent="0.25">
      <c r="O22" s="2">
        <f t="shared" ref="O22:O32" si="2">$Q$4</f>
        <v>116.77</v>
      </c>
      <c r="P22">
        <v>1.04</v>
      </c>
      <c r="Q22" s="2">
        <f t="shared" si="1"/>
        <v>121.4408</v>
      </c>
    </row>
    <row r="23" spans="15:17" x14ac:dyDescent="0.25">
      <c r="O23" s="2">
        <f t="shared" si="2"/>
        <v>116.77</v>
      </c>
      <c r="P23" s="2">
        <v>1.03</v>
      </c>
      <c r="Q23" s="2">
        <f t="shared" si="1"/>
        <v>120.2731</v>
      </c>
    </row>
    <row r="24" spans="15:17" x14ac:dyDescent="0.25">
      <c r="O24" s="2">
        <f t="shared" si="2"/>
        <v>116.77</v>
      </c>
      <c r="P24" s="2">
        <v>1.02</v>
      </c>
      <c r="Q24" s="2">
        <f t="shared" si="1"/>
        <v>119.1054</v>
      </c>
    </row>
    <row r="25" spans="15:17" x14ac:dyDescent="0.25">
      <c r="O25" s="2">
        <f t="shared" si="2"/>
        <v>116.77</v>
      </c>
      <c r="P25" s="2">
        <v>1.01</v>
      </c>
      <c r="Q25" s="2">
        <f t="shared" si="1"/>
        <v>117.93769999999999</v>
      </c>
    </row>
    <row r="26" spans="15:17" x14ac:dyDescent="0.25">
      <c r="O26" s="2">
        <f t="shared" si="2"/>
        <v>116.77</v>
      </c>
      <c r="P26" s="2">
        <v>1</v>
      </c>
      <c r="Q26" s="2">
        <f t="shared" si="1"/>
        <v>116.77</v>
      </c>
    </row>
    <row r="27" spans="15:17" x14ac:dyDescent="0.25">
      <c r="O27" s="2">
        <f t="shared" si="2"/>
        <v>116.77</v>
      </c>
      <c r="P27" s="2">
        <v>0.99</v>
      </c>
      <c r="Q27" s="2">
        <f t="shared" si="1"/>
        <v>115.6023</v>
      </c>
    </row>
    <row r="28" spans="15:17" x14ac:dyDescent="0.25">
      <c r="O28" s="2">
        <f t="shared" si="2"/>
        <v>116.77</v>
      </c>
      <c r="P28" s="2">
        <v>0.98</v>
      </c>
      <c r="Q28" s="2">
        <f t="shared" si="1"/>
        <v>114.43459999999999</v>
      </c>
    </row>
    <row r="29" spans="15:17" x14ac:dyDescent="0.25">
      <c r="O29" s="2">
        <f t="shared" si="2"/>
        <v>116.77</v>
      </c>
      <c r="P29" s="2">
        <v>0.97</v>
      </c>
      <c r="Q29" s="2">
        <f t="shared" si="1"/>
        <v>113.26689999999999</v>
      </c>
    </row>
    <row r="30" spans="15:17" x14ac:dyDescent="0.25">
      <c r="O30" s="2">
        <f t="shared" si="2"/>
        <v>116.77</v>
      </c>
      <c r="P30" s="2">
        <v>0.96</v>
      </c>
      <c r="Q30" s="2">
        <f t="shared" si="1"/>
        <v>112.0992</v>
      </c>
    </row>
    <row r="31" spans="15:17" x14ac:dyDescent="0.25">
      <c r="O31" s="2">
        <f t="shared" si="2"/>
        <v>116.77</v>
      </c>
      <c r="P31" s="2">
        <v>0.95</v>
      </c>
      <c r="Q31" s="2">
        <f t="shared" si="1"/>
        <v>110.93149999999999</v>
      </c>
    </row>
    <row r="32" spans="15:17" x14ac:dyDescent="0.25">
      <c r="O32" s="2">
        <f t="shared" si="2"/>
        <v>116.77</v>
      </c>
      <c r="P32" s="2">
        <v>0.9</v>
      </c>
      <c r="Q32" s="2">
        <f t="shared" si="1"/>
        <v>105.093</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1" max="11" width="9.140625" style="2"/>
    <col min="18" max="18" width="9.140625" style="55"/>
  </cols>
  <sheetData>
    <row r="1" spans="1:21" s="19" customFormat="1" x14ac:dyDescent="0.25">
      <c r="A1" s="19" t="s">
        <v>1</v>
      </c>
      <c r="B1" s="19" t="s">
        <v>2</v>
      </c>
      <c r="C1" s="19" t="s">
        <v>4</v>
      </c>
      <c r="D1" s="30" t="s">
        <v>5</v>
      </c>
      <c r="E1" s="30" t="s">
        <v>171</v>
      </c>
      <c r="F1" s="30" t="s">
        <v>60</v>
      </c>
      <c r="G1" s="19" t="s">
        <v>3</v>
      </c>
      <c r="H1" s="19" t="s">
        <v>6</v>
      </c>
      <c r="I1" s="19" t="s">
        <v>7</v>
      </c>
      <c r="J1" s="19" t="s">
        <v>172</v>
      </c>
      <c r="K1" s="30" t="s">
        <v>61</v>
      </c>
      <c r="L1" s="19" t="s">
        <v>37</v>
      </c>
      <c r="M1" s="19" t="s">
        <v>38</v>
      </c>
      <c r="R1" s="54"/>
      <c r="T1" s="19" t="s">
        <v>74</v>
      </c>
    </row>
    <row r="2" spans="1:21" x14ac:dyDescent="0.25">
      <c r="A2" s="8" t="s">
        <v>62</v>
      </c>
      <c r="B2" s="1">
        <v>42222</v>
      </c>
      <c r="C2">
        <v>5</v>
      </c>
      <c r="D2" s="2">
        <v>320</v>
      </c>
      <c r="E2" s="2">
        <v>0</v>
      </c>
      <c r="F2" s="2">
        <f>C2*D2 + E2</f>
        <v>1600</v>
      </c>
      <c r="G2" s="125">
        <v>42257</v>
      </c>
      <c r="H2" s="141">
        <v>5</v>
      </c>
      <c r="I2" s="141">
        <v>303.60000000000002</v>
      </c>
      <c r="J2" s="141">
        <v>0.03</v>
      </c>
      <c r="K2" s="141">
        <f>H2*I2-J2</f>
        <v>1517.97</v>
      </c>
      <c r="O2" s="19" t="s">
        <v>57</v>
      </c>
      <c r="Q2">
        <f>C5-H5</f>
        <v>5</v>
      </c>
      <c r="T2" s="1">
        <v>42299</v>
      </c>
      <c r="U2" t="s">
        <v>183</v>
      </c>
    </row>
    <row r="3" spans="1:21" x14ac:dyDescent="0.25">
      <c r="A3" s="32" t="s">
        <v>77</v>
      </c>
      <c r="B3" s="125">
        <v>42247</v>
      </c>
      <c r="C3" s="140">
        <v>5</v>
      </c>
      <c r="D3" s="141">
        <v>298.7</v>
      </c>
      <c r="E3" s="141">
        <v>0</v>
      </c>
      <c r="F3" s="141">
        <f>C3*D3 + E3</f>
        <v>1493.5</v>
      </c>
      <c r="O3" s="19" t="s">
        <v>58</v>
      </c>
      <c r="Q3" s="2">
        <f>(F5-K5-M5)/Q2</f>
        <v>315.10599999999999</v>
      </c>
    </row>
    <row r="4" spans="1:21" x14ac:dyDescent="0.25">
      <c r="O4" s="19" t="s">
        <v>66</v>
      </c>
      <c r="Q4" s="94">
        <v>312.62</v>
      </c>
    </row>
    <row r="5" spans="1:21" x14ac:dyDescent="0.25">
      <c r="A5" s="53" t="s">
        <v>110</v>
      </c>
      <c r="B5" s="22"/>
      <c r="C5" s="22">
        <f>SUM(C2:C4)</f>
        <v>10</v>
      </c>
      <c r="D5" s="27"/>
      <c r="E5" s="27"/>
      <c r="F5" s="27">
        <f t="shared" ref="F5" si="0">SUM(F2:F4)</f>
        <v>3093.5</v>
      </c>
      <c r="G5" s="22"/>
      <c r="H5" s="27">
        <f>SUM(H2:H4)</f>
        <v>5</v>
      </c>
      <c r="I5" s="27"/>
      <c r="J5" s="27"/>
      <c r="K5" s="27">
        <f t="shared" ref="K5" si="1">SUM(K2:K4)</f>
        <v>1517.97</v>
      </c>
      <c r="L5" s="22"/>
      <c r="M5" s="22"/>
      <c r="O5" s="19" t="s">
        <v>67</v>
      </c>
      <c r="Q5" s="5">
        <f>Q4*Q2</f>
        <v>1563.1</v>
      </c>
    </row>
    <row r="6" spans="1:21" x14ac:dyDescent="0.25">
      <c r="O6" s="19" t="s">
        <v>64</v>
      </c>
      <c r="Q6" s="2">
        <f>Q3*Q2</f>
        <v>1575.53</v>
      </c>
    </row>
    <row r="7" spans="1:21" x14ac:dyDescent="0.25">
      <c r="O7" s="19" t="s">
        <v>65</v>
      </c>
      <c r="Q7" s="2">
        <f>Q5-Q6</f>
        <v>-12.430000000000064</v>
      </c>
    </row>
    <row r="12" spans="1:21" x14ac:dyDescent="0.25">
      <c r="F12" s="5"/>
    </row>
    <row r="13" spans="1:21" x14ac:dyDescent="0.25">
      <c r="F13" s="5"/>
    </row>
    <row r="19" spans="2:17" ht="20.25" thickBot="1" x14ac:dyDescent="0.35">
      <c r="O19" s="201" t="s">
        <v>85</v>
      </c>
      <c r="P19" s="201"/>
    </row>
    <row r="20" spans="2:17" ht="15.75" thickTop="1" x14ac:dyDescent="0.25">
      <c r="O20" s="146">
        <v>1.1000000000000001</v>
      </c>
      <c r="P20" s="146">
        <f>O20*$Q$4</f>
        <v>343.88200000000001</v>
      </c>
      <c r="Q20" s="2"/>
    </row>
    <row r="21" spans="2:17" x14ac:dyDescent="0.25">
      <c r="O21" s="146">
        <v>1.0900000000000001</v>
      </c>
      <c r="P21" s="146">
        <f t="shared" ref="P21:P40" si="2">O21*$Q$4</f>
        <v>340.75580000000002</v>
      </c>
      <c r="Q21" s="2"/>
    </row>
    <row r="22" spans="2:17" x14ac:dyDescent="0.25">
      <c r="B22" t="s">
        <v>159</v>
      </c>
      <c r="C22" s="2"/>
      <c r="E22" s="2" t="s">
        <v>160</v>
      </c>
      <c r="F22"/>
      <c r="O22" s="146">
        <v>1.08</v>
      </c>
      <c r="P22" s="146">
        <f t="shared" si="2"/>
        <v>337.62960000000004</v>
      </c>
      <c r="Q22" s="2"/>
    </row>
    <row r="23" spans="2:17" x14ac:dyDescent="0.25">
      <c r="O23" s="146">
        <v>1.07</v>
      </c>
      <c r="P23" s="146">
        <f t="shared" si="2"/>
        <v>334.5034</v>
      </c>
      <c r="Q23" s="2"/>
    </row>
    <row r="24" spans="2:17" x14ac:dyDescent="0.25">
      <c r="O24" s="146">
        <v>1.06</v>
      </c>
      <c r="P24" s="146">
        <f t="shared" si="2"/>
        <v>331.37720000000002</v>
      </c>
      <c r="Q24" s="2"/>
    </row>
    <row r="25" spans="2:17" x14ac:dyDescent="0.25">
      <c r="O25" s="146">
        <v>1.05</v>
      </c>
      <c r="P25" s="146">
        <f t="shared" si="2"/>
        <v>328.25100000000003</v>
      </c>
      <c r="Q25" s="2"/>
    </row>
    <row r="26" spans="2:17" x14ac:dyDescent="0.25">
      <c r="O26" s="146">
        <v>1.04</v>
      </c>
      <c r="P26" s="146">
        <f t="shared" si="2"/>
        <v>325.12479999999999</v>
      </c>
      <c r="Q26" s="2"/>
    </row>
    <row r="27" spans="2:17" x14ac:dyDescent="0.25">
      <c r="O27" s="146">
        <v>1.03</v>
      </c>
      <c r="P27" s="146">
        <f t="shared" si="2"/>
        <v>321.99860000000001</v>
      </c>
      <c r="Q27" s="2"/>
    </row>
    <row r="28" spans="2:17" x14ac:dyDescent="0.25">
      <c r="O28" s="146">
        <v>1.02</v>
      </c>
      <c r="P28" s="146">
        <f t="shared" si="2"/>
        <v>318.87240000000003</v>
      </c>
      <c r="Q28" s="2"/>
    </row>
    <row r="29" spans="2:17" x14ac:dyDescent="0.25">
      <c r="O29" s="146">
        <v>1.01</v>
      </c>
      <c r="P29" s="146">
        <f t="shared" si="2"/>
        <v>315.74619999999999</v>
      </c>
      <c r="Q29" s="2"/>
    </row>
    <row r="30" spans="2:17" x14ac:dyDescent="0.25">
      <c r="O30" s="146">
        <v>1</v>
      </c>
      <c r="P30" s="146">
        <f t="shared" si="2"/>
        <v>312.62</v>
      </c>
      <c r="Q30" s="2"/>
    </row>
    <row r="31" spans="2:17" x14ac:dyDescent="0.25">
      <c r="O31" s="146">
        <v>0.99</v>
      </c>
      <c r="P31" s="146">
        <f t="shared" si="2"/>
        <v>309.49380000000002</v>
      </c>
      <c r="Q31" s="2"/>
    </row>
    <row r="32" spans="2:17" x14ac:dyDescent="0.25">
      <c r="O32" s="146">
        <v>0.98</v>
      </c>
      <c r="P32" s="146">
        <f t="shared" si="2"/>
        <v>306.36759999999998</v>
      </c>
      <c r="Q32" s="2"/>
    </row>
    <row r="33" spans="15:16" x14ac:dyDescent="0.25">
      <c r="O33" s="146">
        <v>0.97</v>
      </c>
      <c r="P33" s="146">
        <f t="shared" si="2"/>
        <v>303.2414</v>
      </c>
    </row>
    <row r="34" spans="15:16" x14ac:dyDescent="0.25">
      <c r="O34" s="146">
        <v>0.96</v>
      </c>
      <c r="P34" s="146">
        <f t="shared" si="2"/>
        <v>300.11520000000002</v>
      </c>
    </row>
    <row r="35" spans="15:16" x14ac:dyDescent="0.25">
      <c r="O35" s="146">
        <v>0.95</v>
      </c>
      <c r="P35" s="146">
        <f t="shared" si="2"/>
        <v>296.98899999999998</v>
      </c>
    </row>
    <row r="36" spans="15:16" x14ac:dyDescent="0.25">
      <c r="O36" s="146">
        <v>0.94</v>
      </c>
      <c r="P36" s="146">
        <f t="shared" si="2"/>
        <v>293.86279999999999</v>
      </c>
    </row>
    <row r="37" spans="15:16" x14ac:dyDescent="0.25">
      <c r="O37" s="146">
        <v>0.93</v>
      </c>
      <c r="P37" s="146">
        <f t="shared" si="2"/>
        <v>290.73660000000001</v>
      </c>
    </row>
    <row r="38" spans="15:16" x14ac:dyDescent="0.25">
      <c r="O38" s="146">
        <v>0.92</v>
      </c>
      <c r="P38" s="146">
        <f t="shared" si="2"/>
        <v>287.61040000000003</v>
      </c>
    </row>
    <row r="39" spans="15:16" x14ac:dyDescent="0.25">
      <c r="O39" s="146">
        <v>0.91</v>
      </c>
      <c r="P39" s="146">
        <f t="shared" si="2"/>
        <v>284.48419999999999</v>
      </c>
    </row>
    <row r="40" spans="15:16" x14ac:dyDescent="0.25">
      <c r="O40" s="146">
        <v>0.9</v>
      </c>
      <c r="P40" s="146">
        <f t="shared" si="2"/>
        <v>281.358</v>
      </c>
    </row>
  </sheetData>
  <mergeCells count="1">
    <mergeCell ref="O19:P19"/>
  </mergeCells>
  <conditionalFormatting sqref="F15 Q7">
    <cfRule type="expression" dxfId="5" priority="4">
      <formula>F7&gt;0</formula>
    </cfRule>
    <cfRule type="expression" dxfId="4" priority="5">
      <formula>F7&lt;0</formula>
    </cfRule>
  </conditionalFormatting>
  <conditionalFormatting sqref="O20:O40">
    <cfRule type="colorScale" priority="2">
      <colorScale>
        <cfvo type="min"/>
        <cfvo type="percentile" val="50"/>
        <cfvo type="max"/>
        <color rgb="FFF8696B"/>
        <color rgb="FFFFEB84"/>
        <color rgb="FF63BE7B"/>
      </colorScale>
    </cfRule>
  </conditionalFormatting>
  <conditionalFormatting sqref="P20:P4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U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21" s="19" customFormat="1" x14ac:dyDescent="0.25">
      <c r="A1" s="19" t="s">
        <v>1</v>
      </c>
      <c r="B1" s="19" t="s">
        <v>2</v>
      </c>
      <c r="C1" s="19" t="s">
        <v>4</v>
      </c>
      <c r="D1" s="30" t="s">
        <v>5</v>
      </c>
      <c r="E1" s="30" t="s">
        <v>145</v>
      </c>
      <c r="F1" s="30" t="s">
        <v>60</v>
      </c>
      <c r="G1" s="19" t="s">
        <v>3</v>
      </c>
      <c r="H1" s="19" t="s">
        <v>6</v>
      </c>
      <c r="I1" s="30" t="s">
        <v>7</v>
      </c>
      <c r="J1" s="30" t="s">
        <v>144</v>
      </c>
      <c r="K1" s="30" t="s">
        <v>61</v>
      </c>
      <c r="L1" s="19" t="s">
        <v>37</v>
      </c>
      <c r="M1" s="19" t="s">
        <v>38</v>
      </c>
      <c r="T1" s="19" t="s">
        <v>235</v>
      </c>
    </row>
    <row r="2" spans="1:21" x14ac:dyDescent="0.25">
      <c r="A2" s="8" t="s">
        <v>18</v>
      </c>
      <c r="B2" s="1">
        <v>42153</v>
      </c>
      <c r="C2">
        <v>50</v>
      </c>
      <c r="D2" s="2">
        <v>36.4</v>
      </c>
      <c r="E2" s="2">
        <v>0</v>
      </c>
      <c r="F2" s="2">
        <f>C2*D2</f>
        <v>1820</v>
      </c>
      <c r="O2" s="19" t="s">
        <v>57</v>
      </c>
      <c r="Q2">
        <f>C6</f>
        <v>80</v>
      </c>
      <c r="T2" s="1">
        <v>42321</v>
      </c>
      <c r="U2" t="s">
        <v>183</v>
      </c>
    </row>
    <row r="3" spans="1:21" x14ac:dyDescent="0.25">
      <c r="A3" s="32" t="s">
        <v>77</v>
      </c>
      <c r="B3" s="1">
        <v>42173</v>
      </c>
      <c r="C3">
        <v>5</v>
      </c>
      <c r="D3" s="2">
        <v>22.95</v>
      </c>
      <c r="E3" s="2">
        <v>0</v>
      </c>
      <c r="F3" s="2">
        <f>C3*D3</f>
        <v>114.75</v>
      </c>
      <c r="O3" s="19" t="s">
        <v>58</v>
      </c>
      <c r="Q3" s="2">
        <f>F6/C6</f>
        <v>29.640625</v>
      </c>
    </row>
    <row r="4" spans="1:21" x14ac:dyDescent="0.25">
      <c r="B4" s="1">
        <v>42173</v>
      </c>
      <c r="C4">
        <v>10</v>
      </c>
      <c r="D4" s="2">
        <v>22.8</v>
      </c>
      <c r="E4" s="2">
        <v>0</v>
      </c>
      <c r="F4" s="2">
        <f>C4*D4</f>
        <v>228</v>
      </c>
      <c r="O4" s="19" t="s">
        <v>66</v>
      </c>
      <c r="Q4" s="94">
        <v>11.01</v>
      </c>
    </row>
    <row r="5" spans="1:21" x14ac:dyDescent="0.25">
      <c r="B5" s="1">
        <v>42234</v>
      </c>
      <c r="C5">
        <v>15</v>
      </c>
      <c r="D5" s="2">
        <v>13.9</v>
      </c>
      <c r="E5" s="2">
        <v>0</v>
      </c>
      <c r="F5" s="2">
        <f>C5*D5</f>
        <v>208.5</v>
      </c>
      <c r="O5" s="19" t="s">
        <v>67</v>
      </c>
      <c r="Q5" s="5">
        <f>Q4*Q2</f>
        <v>880.8</v>
      </c>
    </row>
    <row r="6" spans="1:21" x14ac:dyDescent="0.25">
      <c r="A6" s="53" t="s">
        <v>110</v>
      </c>
      <c r="B6" s="22"/>
      <c r="C6" s="22">
        <f>SUM(C2:C5)</f>
        <v>80</v>
      </c>
      <c r="D6" s="27"/>
      <c r="E6" s="27"/>
      <c r="F6" s="27">
        <f>SUM(F2:F5)</f>
        <v>2371.25</v>
      </c>
      <c r="G6" s="22"/>
      <c r="H6" s="22"/>
      <c r="I6" s="27"/>
      <c r="J6" s="27"/>
      <c r="K6" s="27"/>
      <c r="L6" s="22"/>
      <c r="M6" s="22"/>
      <c r="O6" s="19" t="s">
        <v>64</v>
      </c>
      <c r="Q6" s="2">
        <f>Q3*Q2</f>
        <v>2371.25</v>
      </c>
    </row>
    <row r="7" spans="1:21" x14ac:dyDescent="0.25">
      <c r="O7" s="19" t="s">
        <v>65</v>
      </c>
      <c r="Q7" s="2">
        <f>Q5-Q6</f>
        <v>-1490.45</v>
      </c>
    </row>
    <row r="15" spans="1:21" x14ac:dyDescent="0.25">
      <c r="P15" t="s">
        <v>85</v>
      </c>
    </row>
    <row r="16" spans="1:21" x14ac:dyDescent="0.25">
      <c r="O16" s="2">
        <f>$Q$4</f>
        <v>11.01</v>
      </c>
      <c r="P16">
        <v>1.1000000000000001</v>
      </c>
      <c r="Q16" s="2">
        <f t="shared" ref="Q16:Q28" si="0">P16*O16</f>
        <v>12.111000000000001</v>
      </c>
    </row>
    <row r="17" spans="15:17" x14ac:dyDescent="0.25">
      <c r="O17" s="2">
        <f>$Q$4</f>
        <v>11.01</v>
      </c>
      <c r="P17">
        <v>1.05</v>
      </c>
      <c r="Q17" s="2">
        <f t="shared" si="0"/>
        <v>11.560500000000001</v>
      </c>
    </row>
    <row r="18" spans="15:17" x14ac:dyDescent="0.25">
      <c r="O18" s="2">
        <f t="shared" ref="O18:O28" si="1">$Q$4</f>
        <v>11.01</v>
      </c>
      <c r="P18">
        <v>1.04</v>
      </c>
      <c r="Q18" s="2">
        <f t="shared" si="0"/>
        <v>11.4504</v>
      </c>
    </row>
    <row r="19" spans="15:17" x14ac:dyDescent="0.25">
      <c r="O19" s="2">
        <f t="shared" si="1"/>
        <v>11.01</v>
      </c>
      <c r="P19" s="2">
        <v>1.03</v>
      </c>
      <c r="Q19" s="2">
        <f t="shared" si="0"/>
        <v>11.340300000000001</v>
      </c>
    </row>
    <row r="20" spans="15:17" x14ac:dyDescent="0.25">
      <c r="O20" s="2">
        <f t="shared" si="1"/>
        <v>11.01</v>
      </c>
      <c r="P20" s="2">
        <v>1.02</v>
      </c>
      <c r="Q20" s="2">
        <f t="shared" si="0"/>
        <v>11.2302</v>
      </c>
    </row>
    <row r="21" spans="15:17" x14ac:dyDescent="0.25">
      <c r="O21" s="2">
        <f t="shared" si="1"/>
        <v>11.01</v>
      </c>
      <c r="P21" s="2">
        <v>1.01</v>
      </c>
      <c r="Q21" s="2">
        <f t="shared" si="0"/>
        <v>11.120100000000001</v>
      </c>
    </row>
    <row r="22" spans="15:17" x14ac:dyDescent="0.25">
      <c r="O22" s="2">
        <f t="shared" si="1"/>
        <v>11.01</v>
      </c>
      <c r="P22" s="2">
        <v>1</v>
      </c>
      <c r="Q22" s="2">
        <f t="shared" si="0"/>
        <v>11.01</v>
      </c>
    </row>
    <row r="23" spans="15:17" x14ac:dyDescent="0.25">
      <c r="O23" s="2">
        <f t="shared" si="1"/>
        <v>11.01</v>
      </c>
      <c r="P23" s="2">
        <v>0.99</v>
      </c>
      <c r="Q23" s="2">
        <f t="shared" si="0"/>
        <v>10.899899999999999</v>
      </c>
    </row>
    <row r="24" spans="15:17" x14ac:dyDescent="0.25">
      <c r="O24" s="2">
        <f t="shared" si="1"/>
        <v>11.01</v>
      </c>
      <c r="P24" s="2">
        <v>0.98</v>
      </c>
      <c r="Q24" s="2">
        <f t="shared" si="0"/>
        <v>10.7898</v>
      </c>
    </row>
    <row r="25" spans="15:17" x14ac:dyDescent="0.25">
      <c r="O25" s="2">
        <f t="shared" si="1"/>
        <v>11.01</v>
      </c>
      <c r="P25" s="2">
        <v>0.97</v>
      </c>
      <c r="Q25" s="2">
        <f t="shared" si="0"/>
        <v>10.679699999999999</v>
      </c>
    </row>
    <row r="26" spans="15:17" x14ac:dyDescent="0.25">
      <c r="O26" s="2">
        <f t="shared" si="1"/>
        <v>11.01</v>
      </c>
      <c r="P26" s="2">
        <v>0.96</v>
      </c>
      <c r="Q26" s="2">
        <f t="shared" si="0"/>
        <v>10.569599999999999</v>
      </c>
    </row>
    <row r="27" spans="15:17" x14ac:dyDescent="0.25">
      <c r="O27" s="2">
        <f t="shared" si="1"/>
        <v>11.01</v>
      </c>
      <c r="P27" s="2">
        <v>0.95</v>
      </c>
      <c r="Q27" s="2">
        <f t="shared" si="0"/>
        <v>10.459499999999998</v>
      </c>
    </row>
    <row r="28" spans="15:17" x14ac:dyDescent="0.25">
      <c r="O28" s="2">
        <f t="shared" si="1"/>
        <v>11.01</v>
      </c>
      <c r="P28" s="2">
        <v>0.9</v>
      </c>
      <c r="Q28" s="2">
        <f t="shared" si="0"/>
        <v>9.9090000000000007</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5"/>
  </cols>
  <sheetData>
    <row r="1" spans="1:21" s="19" customFormat="1" x14ac:dyDescent="0.25">
      <c r="A1" s="19" t="s">
        <v>1</v>
      </c>
      <c r="B1" s="19" t="s">
        <v>2</v>
      </c>
      <c r="C1" s="19" t="s">
        <v>4</v>
      </c>
      <c r="D1" s="30" t="s">
        <v>5</v>
      </c>
      <c r="E1" s="30"/>
      <c r="F1" s="30" t="s">
        <v>60</v>
      </c>
      <c r="G1" s="19" t="s">
        <v>3</v>
      </c>
      <c r="H1" s="19" t="s">
        <v>6</v>
      </c>
      <c r="I1" s="30" t="s">
        <v>7</v>
      </c>
      <c r="J1" s="30"/>
      <c r="K1" s="30" t="s">
        <v>61</v>
      </c>
      <c r="L1" s="19" t="s">
        <v>84</v>
      </c>
      <c r="M1" s="19" t="s">
        <v>38</v>
      </c>
      <c r="R1" s="54"/>
      <c r="T1" s="19" t="s">
        <v>157</v>
      </c>
    </row>
    <row r="2" spans="1:21" x14ac:dyDescent="0.25">
      <c r="A2" s="8" t="s">
        <v>11</v>
      </c>
      <c r="B2" s="1">
        <v>42150</v>
      </c>
      <c r="C2" s="17">
        <v>5</v>
      </c>
      <c r="D2" s="63">
        <v>169</v>
      </c>
      <c r="E2" s="63"/>
      <c r="F2" s="63">
        <f t="shared" ref="F2:F9" si="0">C2*D2</f>
        <v>845</v>
      </c>
      <c r="G2" s="1">
        <v>42186</v>
      </c>
      <c r="H2" s="17">
        <v>100</v>
      </c>
      <c r="I2" s="63">
        <f>K2/H2</f>
        <v>167</v>
      </c>
      <c r="J2" s="63"/>
      <c r="K2" s="63">
        <v>16700</v>
      </c>
      <c r="L2" t="s">
        <v>109</v>
      </c>
      <c r="O2" s="19" t="s">
        <v>57</v>
      </c>
      <c r="Q2">
        <f>C10-H10</f>
        <v>50</v>
      </c>
    </row>
    <row r="3" spans="1:21" x14ac:dyDescent="0.25">
      <c r="A3" s="32" t="s">
        <v>77</v>
      </c>
      <c r="B3" s="1">
        <v>42150</v>
      </c>
      <c r="C3">
        <v>10</v>
      </c>
      <c r="D3" s="2">
        <v>166.5</v>
      </c>
      <c r="F3" s="2">
        <f t="shared" si="0"/>
        <v>1665</v>
      </c>
      <c r="G3" s="1">
        <v>42186</v>
      </c>
      <c r="H3" s="17">
        <v>100</v>
      </c>
      <c r="I3" s="63">
        <f t="shared" ref="I3:I6" si="1">K3/H3</f>
        <v>167</v>
      </c>
      <c r="J3" s="63"/>
      <c r="K3" s="63">
        <v>16700</v>
      </c>
      <c r="O3" s="19" t="s">
        <v>58</v>
      </c>
      <c r="Q3" s="2">
        <f>(F10-K10)/Q2</f>
        <v>150.67140000000001</v>
      </c>
    </row>
    <row r="4" spans="1:21" x14ac:dyDescent="0.25">
      <c r="B4" s="1">
        <v>42150</v>
      </c>
      <c r="C4">
        <v>30</v>
      </c>
      <c r="D4" s="2">
        <v>165.4</v>
      </c>
      <c r="F4" s="2">
        <f t="shared" si="0"/>
        <v>4962</v>
      </c>
      <c r="G4" s="1">
        <v>42186</v>
      </c>
      <c r="H4" s="17">
        <v>50</v>
      </c>
      <c r="I4" s="63">
        <f t="shared" si="1"/>
        <v>168.5</v>
      </c>
      <c r="J4" s="63"/>
      <c r="K4" s="63">
        <v>8425</v>
      </c>
      <c r="O4" s="19" t="s">
        <v>66</v>
      </c>
      <c r="Q4" s="94">
        <v>130.91</v>
      </c>
      <c r="T4" s="1">
        <v>42278</v>
      </c>
      <c r="U4" t="s">
        <v>182</v>
      </c>
    </row>
    <row r="5" spans="1:21" x14ac:dyDescent="0.25">
      <c r="B5" s="1">
        <v>42150</v>
      </c>
      <c r="C5">
        <v>10</v>
      </c>
      <c r="D5" s="2">
        <v>164.85</v>
      </c>
      <c r="F5" s="2">
        <f t="shared" si="0"/>
        <v>1648.5</v>
      </c>
      <c r="G5" s="1">
        <v>42236</v>
      </c>
      <c r="H5" s="11">
        <v>10</v>
      </c>
      <c r="I5" s="70">
        <f t="shared" si="1"/>
        <v>133.19800000000001</v>
      </c>
      <c r="J5" s="70"/>
      <c r="K5" s="70">
        <v>1331.98</v>
      </c>
      <c r="O5" s="19" t="s">
        <v>67</v>
      </c>
      <c r="Q5" s="5">
        <f>Q4*Q2</f>
        <v>6545.5</v>
      </c>
    </row>
    <row r="6" spans="1:21" x14ac:dyDescent="0.25">
      <c r="B6" s="1">
        <v>42186</v>
      </c>
      <c r="C6" s="17">
        <v>145</v>
      </c>
      <c r="D6" s="63">
        <v>166</v>
      </c>
      <c r="E6" s="63"/>
      <c r="F6" s="63">
        <f t="shared" si="0"/>
        <v>24070</v>
      </c>
      <c r="G6" s="1">
        <v>42240</v>
      </c>
      <c r="H6" s="83">
        <v>20</v>
      </c>
      <c r="I6" s="84">
        <f t="shared" si="1"/>
        <v>129.9975</v>
      </c>
      <c r="J6" s="84"/>
      <c r="K6" s="84">
        <v>2599.9499999999998</v>
      </c>
      <c r="O6" s="19" t="s">
        <v>64</v>
      </c>
      <c r="Q6" s="2">
        <f>Q3*Q2</f>
        <v>7533.5700000000006</v>
      </c>
    </row>
    <row r="7" spans="1:21" x14ac:dyDescent="0.25">
      <c r="B7" s="1">
        <v>42186</v>
      </c>
      <c r="C7" s="17">
        <v>100</v>
      </c>
      <c r="D7" s="63">
        <v>164</v>
      </c>
      <c r="E7" s="63"/>
      <c r="F7" s="63">
        <f t="shared" si="0"/>
        <v>16400</v>
      </c>
      <c r="O7" s="19" t="s">
        <v>65</v>
      </c>
      <c r="Q7" s="2">
        <f>Q5-Q6</f>
        <v>-988.07000000000062</v>
      </c>
      <c r="T7" s="1">
        <v>42320</v>
      </c>
      <c r="U7" t="s">
        <v>121</v>
      </c>
    </row>
    <row r="8" spans="1:21" x14ac:dyDescent="0.25">
      <c r="B8" s="1">
        <v>42235</v>
      </c>
      <c r="C8" s="11">
        <v>10</v>
      </c>
      <c r="D8" s="70">
        <v>124</v>
      </c>
      <c r="E8" s="70"/>
      <c r="F8" s="70">
        <f t="shared" si="0"/>
        <v>1240</v>
      </c>
    </row>
    <row r="9" spans="1:21" x14ac:dyDescent="0.25">
      <c r="B9" s="1">
        <v>42240</v>
      </c>
      <c r="C9" s="83">
        <v>20</v>
      </c>
      <c r="D9" s="84">
        <v>123</v>
      </c>
      <c r="E9" s="84"/>
      <c r="F9" s="84">
        <f t="shared" si="0"/>
        <v>2460</v>
      </c>
    </row>
    <row r="10" spans="1:21" x14ac:dyDescent="0.25">
      <c r="A10" s="73" t="s">
        <v>110</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85</v>
      </c>
    </row>
    <row r="18" spans="15:17" x14ac:dyDescent="0.25">
      <c r="O18" s="2">
        <f>$Q$4</f>
        <v>130.91</v>
      </c>
      <c r="P18">
        <v>1.1000000000000001</v>
      </c>
      <c r="Q18" s="2">
        <f t="shared" ref="Q18:Q30" si="2">P18*O18</f>
        <v>144.001</v>
      </c>
    </row>
    <row r="19" spans="15:17" x14ac:dyDescent="0.25">
      <c r="O19" s="2">
        <f>$Q$4</f>
        <v>130.91</v>
      </c>
      <c r="P19">
        <v>1.05</v>
      </c>
      <c r="Q19" s="2">
        <f t="shared" si="2"/>
        <v>137.4555</v>
      </c>
    </row>
    <row r="20" spans="15:17" x14ac:dyDescent="0.25">
      <c r="O20" s="2">
        <f t="shared" ref="O20:O30" si="3">$Q$4</f>
        <v>130.91</v>
      </c>
      <c r="P20">
        <v>1.04</v>
      </c>
      <c r="Q20" s="2">
        <f t="shared" si="2"/>
        <v>136.1464</v>
      </c>
    </row>
    <row r="21" spans="15:17" x14ac:dyDescent="0.25">
      <c r="O21" s="2">
        <f t="shared" si="3"/>
        <v>130.91</v>
      </c>
      <c r="P21" s="2">
        <v>1.03</v>
      </c>
      <c r="Q21" s="2">
        <f t="shared" si="2"/>
        <v>134.8373</v>
      </c>
    </row>
    <row r="22" spans="15:17" x14ac:dyDescent="0.25">
      <c r="O22" s="2">
        <f t="shared" si="3"/>
        <v>130.91</v>
      </c>
      <c r="P22" s="2">
        <v>1.02</v>
      </c>
      <c r="Q22" s="2">
        <f t="shared" si="2"/>
        <v>133.5282</v>
      </c>
    </row>
    <row r="23" spans="15:17" x14ac:dyDescent="0.25">
      <c r="O23" s="2">
        <f t="shared" si="3"/>
        <v>130.91</v>
      </c>
      <c r="P23" s="2">
        <v>1.01</v>
      </c>
      <c r="Q23" s="2">
        <f t="shared" si="2"/>
        <v>132.2191</v>
      </c>
    </row>
    <row r="24" spans="15:17" x14ac:dyDescent="0.25">
      <c r="O24" s="2">
        <f t="shared" si="3"/>
        <v>130.91</v>
      </c>
      <c r="P24" s="2">
        <v>1</v>
      </c>
      <c r="Q24" s="2">
        <f t="shared" si="2"/>
        <v>130.91</v>
      </c>
    </row>
    <row r="25" spans="15:17" x14ac:dyDescent="0.25">
      <c r="O25" s="2">
        <f t="shared" si="3"/>
        <v>130.91</v>
      </c>
      <c r="P25" s="2">
        <v>0.99</v>
      </c>
      <c r="Q25" s="2">
        <f t="shared" si="2"/>
        <v>129.6009</v>
      </c>
    </row>
    <row r="26" spans="15:17" x14ac:dyDescent="0.25">
      <c r="O26" s="2">
        <f t="shared" si="3"/>
        <v>130.91</v>
      </c>
      <c r="P26" s="2">
        <v>0.98</v>
      </c>
      <c r="Q26" s="2">
        <f t="shared" si="2"/>
        <v>128.29179999999999</v>
      </c>
    </row>
    <row r="27" spans="15:17" x14ac:dyDescent="0.25">
      <c r="O27" s="2">
        <f t="shared" si="3"/>
        <v>130.91</v>
      </c>
      <c r="P27" s="2">
        <v>0.97</v>
      </c>
      <c r="Q27" s="2">
        <f t="shared" si="2"/>
        <v>126.98269999999999</v>
      </c>
    </row>
    <row r="28" spans="15:17" x14ac:dyDescent="0.25">
      <c r="O28" s="2">
        <f t="shared" si="3"/>
        <v>130.91</v>
      </c>
      <c r="P28" s="2">
        <v>0.96</v>
      </c>
      <c r="Q28" s="2">
        <f t="shared" si="2"/>
        <v>125.67359999999999</v>
      </c>
    </row>
    <row r="29" spans="15:17" x14ac:dyDescent="0.25">
      <c r="O29" s="2">
        <f t="shared" si="3"/>
        <v>130.91</v>
      </c>
      <c r="P29" s="2">
        <v>0.95</v>
      </c>
      <c r="Q29" s="2">
        <f t="shared" si="2"/>
        <v>124.36449999999999</v>
      </c>
    </row>
    <row r="30" spans="15:17" x14ac:dyDescent="0.25">
      <c r="O30" s="2">
        <f t="shared" si="3"/>
        <v>130.91</v>
      </c>
      <c r="P30" s="2">
        <v>0.9</v>
      </c>
      <c r="Q30" s="2">
        <f t="shared" si="2"/>
        <v>117.819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12</vt:i4>
      </vt:variant>
    </vt:vector>
  </HeadingPairs>
  <TitlesOfParts>
    <vt:vector size="41" baseType="lpstr">
      <vt:lpstr>CLOSED</vt:lpstr>
      <vt:lpstr>ACTIVE</vt:lpstr>
      <vt:lpstr>MRO</vt:lpstr>
      <vt:lpstr>CPN</vt:lpstr>
      <vt:lpstr>MU</vt:lpstr>
      <vt:lpstr>INTC</vt:lpstr>
      <vt:lpstr>HES</vt:lpstr>
      <vt:lpstr>UNP</vt:lpstr>
      <vt:lpstr>AA</vt:lpstr>
      <vt:lpstr>KATE</vt:lpstr>
      <vt:lpstr>KORS</vt:lpstr>
      <vt:lpstr>ALL</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AA!hp?s_AA_Historical_Prices_1</vt:lpstr>
      <vt:lpstr>ALL!hp?s_ALL_Historical_Prices</vt:lpstr>
      <vt:lpstr>CPN!hp?s_CPN_Historical_Prices</vt:lpstr>
      <vt:lpstr>INTC!hp?s_INTC_Historical_Prices</vt:lpstr>
      <vt:lpstr>AA!PL</vt:lpstr>
      <vt:lpstr>AAVL!PL</vt:lpstr>
      <vt:lpstr>MRO!PL</vt:lpstr>
      <vt:lpstr>PL</vt:lpstr>
      <vt:lpstr>AA!q?s_aa_ql_1</vt:lpstr>
      <vt:lpstr>ALL!q?s_ALL</vt:lpstr>
      <vt:lpstr>CPN!q?s_CPN</vt:lpstr>
      <vt:lpstr>INTC!q?s_INTC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2015-09-11T00:39:02Z</dcterms:modified>
</cp:coreProperties>
</file>