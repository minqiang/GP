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4">BIIB!$W$1:$AC$68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DIS!$W$1:$AC$68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8">HES!$W$1:$AC$69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35" l="1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D159" i="38"/>
  <c r="E159" i="38"/>
  <c r="G159" i="38"/>
  <c r="H159" i="38"/>
  <c r="K159" i="38"/>
  <c r="L159" i="38" s="1"/>
  <c r="O159" i="38" s="1"/>
  <c r="P159" i="38" s="1"/>
  <c r="M159" i="38"/>
  <c r="N159" i="38"/>
  <c r="R159" i="38"/>
  <c r="G137" i="17"/>
  <c r="F137" i="17"/>
  <c r="H137" i="17"/>
  <c r="K41" i="17"/>
  <c r="F175" i="25"/>
  <c r="H175" i="25"/>
  <c r="G175" i="25"/>
  <c r="K70" i="25"/>
  <c r="F174" i="25"/>
  <c r="H174" i="25"/>
  <c r="G174" i="25"/>
  <c r="F102" i="25"/>
  <c r="F106" i="25"/>
  <c r="C106" i="25"/>
  <c r="K69" i="25"/>
  <c r="F101" i="25"/>
  <c r="N207" i="1"/>
  <c r="F173" i="25" l="1"/>
  <c r="H173" i="25"/>
  <c r="G173" i="25"/>
  <c r="K68" i="25"/>
  <c r="F92" i="10"/>
  <c r="G92" i="10"/>
  <c r="K33" i="10"/>
  <c r="K23" i="7"/>
  <c r="F54" i="7"/>
  <c r="F30" i="33"/>
  <c r="H30" i="33"/>
  <c r="G30" i="33"/>
  <c r="K3" i="33"/>
  <c r="D158" i="38"/>
  <c r="E158" i="38"/>
  <c r="G158" i="38"/>
  <c r="H158" i="38"/>
  <c r="K158" i="38"/>
  <c r="L158" i="38" s="1"/>
  <c r="O158" i="38" s="1"/>
  <c r="P158" i="38" s="1"/>
  <c r="M158" i="38"/>
  <c r="N158" i="38"/>
  <c r="R158" i="38"/>
  <c r="F53" i="18" l="1"/>
  <c r="H53" i="18"/>
  <c r="G53" i="18"/>
  <c r="H30" i="31"/>
  <c r="G30" i="31"/>
  <c r="F172" i="25" l="1"/>
  <c r="H172" i="25"/>
  <c r="G172" i="25"/>
  <c r="K67" i="25"/>
  <c r="D157" i="38"/>
  <c r="E157" i="38"/>
  <c r="G157" i="38"/>
  <c r="H157" i="38"/>
  <c r="K157" i="38"/>
  <c r="L157" i="38" s="1"/>
  <c r="O157" i="38" s="1"/>
  <c r="P157" i="38" s="1"/>
  <c r="M157" i="38"/>
  <c r="N157" i="38" s="1"/>
  <c r="R157" i="38"/>
  <c r="F29" i="33" l="1"/>
  <c r="H29" i="33"/>
  <c r="G29" i="33"/>
  <c r="D156" i="38" l="1"/>
  <c r="E156" i="38"/>
  <c r="G156" i="38"/>
  <c r="H156" i="38"/>
  <c r="K156" i="38"/>
  <c r="L156" i="38"/>
  <c r="O156" i="38" s="1"/>
  <c r="P156" i="38" s="1"/>
  <c r="M156" i="38"/>
  <c r="N156" i="38" s="1"/>
  <c r="R156" i="38"/>
  <c r="L150" i="38" l="1"/>
  <c r="L151" i="38"/>
  <c r="L152" i="38"/>
  <c r="L153" i="38"/>
  <c r="L154" i="38"/>
  <c r="L155" i="38"/>
  <c r="D147" i="38"/>
  <c r="D148" i="38"/>
  <c r="D149" i="38"/>
  <c r="D150" i="38"/>
  <c r="D151" i="38"/>
  <c r="D152" i="38"/>
  <c r="D153" i="38"/>
  <c r="D154" i="38"/>
  <c r="D155" i="38"/>
  <c r="G149" i="38"/>
  <c r="G150" i="38"/>
  <c r="G151" i="38"/>
  <c r="G152" i="38"/>
  <c r="G153" i="38"/>
  <c r="G154" i="38"/>
  <c r="G155" i="38"/>
  <c r="E155" i="38"/>
  <c r="H155" i="38"/>
  <c r="K155" i="38"/>
  <c r="M155" i="38"/>
  <c r="N155" i="38" s="1"/>
  <c r="R155" i="38"/>
  <c r="O155" i="38" l="1"/>
  <c r="G171" i="25"/>
  <c r="F171" i="25"/>
  <c r="E154" i="38" l="1"/>
  <c r="H154" i="38"/>
  <c r="K154" i="38"/>
  <c r="O154" i="38"/>
  <c r="M154" i="38"/>
  <c r="N154" i="38"/>
  <c r="R154" i="38"/>
  <c r="H91" i="10" l="1"/>
  <c r="F91" i="10"/>
  <c r="G91" i="10"/>
  <c r="F49" i="10"/>
  <c r="F136" i="17" l="1"/>
  <c r="H136" i="17"/>
  <c r="G136" i="17"/>
  <c r="F84" i="17"/>
  <c r="H171" i="25"/>
  <c r="F100" i="25"/>
  <c r="F99" i="25"/>
  <c r="F98" i="25"/>
  <c r="F97" i="25"/>
  <c r="F96" i="25"/>
  <c r="E153" i="38"/>
  <c r="H153" i="38"/>
  <c r="K153" i="38"/>
  <c r="O153" i="38" s="1"/>
  <c r="M153" i="38"/>
  <c r="N153" i="38" s="1"/>
  <c r="R153" i="38"/>
  <c r="F25" i="18" l="1"/>
  <c r="C25" i="18"/>
  <c r="F135" i="17"/>
  <c r="H135" i="17"/>
  <c r="G135" i="17"/>
  <c r="F83" i="17"/>
  <c r="E152" i="38"/>
  <c r="H152" i="38"/>
  <c r="K152" i="38"/>
  <c r="M152" i="38"/>
  <c r="N152" i="38" s="1"/>
  <c r="R152" i="38"/>
  <c r="F52" i="18"/>
  <c r="H52" i="18"/>
  <c r="G52" i="18"/>
  <c r="F20" i="18"/>
  <c r="F170" i="25"/>
  <c r="H170" i="25"/>
  <c r="G170" i="25"/>
  <c r="F95" i="25"/>
  <c r="K66" i="25"/>
  <c r="F94" i="25"/>
  <c r="F93" i="25"/>
  <c r="K65" i="25"/>
  <c r="O152" i="38" l="1"/>
  <c r="H29" i="31"/>
  <c r="F29" i="31"/>
  <c r="G29" i="31"/>
  <c r="F134" i="17" l="1"/>
  <c r="H134" i="17"/>
  <c r="G134" i="17"/>
  <c r="H90" i="17"/>
  <c r="C90" i="17"/>
  <c r="L139" i="38"/>
  <c r="L140" i="38"/>
  <c r="L141" i="38"/>
  <c r="L142" i="38"/>
  <c r="L143" i="38"/>
  <c r="L144" i="38"/>
  <c r="L145" i="38"/>
  <c r="L146" i="38"/>
  <c r="L147" i="38"/>
  <c r="L148" i="38"/>
  <c r="L149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D144" i="38"/>
  <c r="D145" i="38"/>
  <c r="D146" i="38"/>
  <c r="R151" i="38"/>
  <c r="F169" i="25"/>
  <c r="H169" i="25"/>
  <c r="E151" i="38"/>
  <c r="H151" i="38"/>
  <c r="K151" i="38"/>
  <c r="M151" i="38"/>
  <c r="N151" i="38" s="1"/>
  <c r="G169" i="25"/>
  <c r="F92" i="25"/>
  <c r="F82" i="17"/>
  <c r="K40" i="17"/>
  <c r="O151" i="38" l="1"/>
  <c r="C53" i="10"/>
  <c r="C14" i="31"/>
  <c r="F25" i="34" l="1"/>
  <c r="H25" i="34"/>
  <c r="G25" i="34"/>
  <c r="F90" i="7"/>
  <c r="H90" i="7"/>
  <c r="G90" i="7"/>
  <c r="F168" i="25" l="1"/>
  <c r="H168" i="25"/>
  <c r="G168" i="25"/>
  <c r="K63" i="25"/>
  <c r="F91" i="25"/>
  <c r="K90" i="17"/>
  <c r="F90" i="17"/>
  <c r="F133" i="17"/>
  <c r="H133" i="17"/>
  <c r="G133" i="17"/>
  <c r="K39" i="17"/>
  <c r="K38" i="17"/>
  <c r="F81" i="17"/>
  <c r="K37" i="17"/>
  <c r="K64" i="25"/>
  <c r="K62" i="25"/>
  <c r="R150" i="38"/>
  <c r="K61" i="25"/>
  <c r="F90" i="25"/>
  <c r="K60" i="25"/>
  <c r="F132" i="17"/>
  <c r="H132" i="17"/>
  <c r="G132" i="17"/>
  <c r="F80" i="17"/>
  <c r="F79" i="17"/>
  <c r="F28" i="31"/>
  <c r="H28" i="31"/>
  <c r="G28" i="31"/>
  <c r="K5" i="31"/>
  <c r="H28" i="33"/>
  <c r="F28" i="33"/>
  <c r="G28" i="33"/>
  <c r="F18" i="33"/>
  <c r="H18" i="33"/>
  <c r="K18" i="33"/>
  <c r="L18" i="33"/>
  <c r="M18" i="33"/>
  <c r="F4" i="33"/>
  <c r="K2" i="33"/>
  <c r="K36" i="17"/>
  <c r="F89" i="25"/>
  <c r="K4" i="46"/>
  <c r="E150" i="38"/>
  <c r="H150" i="38"/>
  <c r="K150" i="38"/>
  <c r="M150" i="38"/>
  <c r="N150" i="38" s="1"/>
  <c r="F131" i="17"/>
  <c r="G131" i="17"/>
  <c r="H131" i="17"/>
  <c r="F78" i="17"/>
  <c r="F77" i="17"/>
  <c r="K59" i="25"/>
  <c r="O150" i="38" l="1"/>
  <c r="K35" i="17"/>
  <c r="F27" i="33"/>
  <c r="H27" i="33"/>
  <c r="G27" i="33"/>
  <c r="F3" i="33"/>
  <c r="F90" i="10"/>
  <c r="G90" i="10"/>
  <c r="K32" i="10"/>
  <c r="F167" i="25"/>
  <c r="H167" i="25"/>
  <c r="G167" i="25"/>
  <c r="F88" i="25"/>
  <c r="E149" i="38"/>
  <c r="H149" i="38"/>
  <c r="K149" i="38"/>
  <c r="O149" i="38" s="1"/>
  <c r="M149" i="38"/>
  <c r="N149" i="38" s="1"/>
  <c r="R149" i="38"/>
  <c r="H27" i="31" l="1"/>
  <c r="F27" i="31"/>
  <c r="G27" i="31"/>
  <c r="R148" i="38" l="1"/>
  <c r="E148" i="38"/>
  <c r="H148" i="38"/>
  <c r="K148" i="38"/>
  <c r="O148" i="38" s="1"/>
  <c r="M148" i="38"/>
  <c r="N148" i="38" s="1"/>
  <c r="K2" i="49"/>
  <c r="F89" i="10"/>
  <c r="H89" i="10"/>
  <c r="G89" i="10"/>
  <c r="F40" i="10"/>
  <c r="K31" i="10"/>
  <c r="F27" i="46" l="1"/>
  <c r="G27" i="46"/>
  <c r="H27" i="46"/>
  <c r="F20" i="45" l="1"/>
  <c r="H20" i="45"/>
  <c r="G20" i="45"/>
  <c r="F51" i="18"/>
  <c r="H51" i="18"/>
  <c r="G51" i="18"/>
  <c r="F26" i="46"/>
  <c r="H26" i="46"/>
  <c r="G26" i="46"/>
  <c r="F130" i="17"/>
  <c r="H130" i="17"/>
  <c r="G130" i="17"/>
  <c r="F24" i="49"/>
  <c r="H24" i="49"/>
  <c r="G24" i="49"/>
  <c r="F89" i="7"/>
  <c r="H89" i="7"/>
  <c r="G89" i="7"/>
  <c r="F26" i="33"/>
  <c r="H26" i="33"/>
  <c r="G26" i="33"/>
  <c r="O2" i="38"/>
  <c r="P2" i="38"/>
  <c r="O4" i="38"/>
  <c r="P4" i="38"/>
  <c r="O5" i="38"/>
  <c r="P5" i="38"/>
  <c r="O6" i="38"/>
  <c r="P143" i="38" s="1"/>
  <c r="P6" i="38"/>
  <c r="P8" i="38"/>
  <c r="P108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E147" i="38"/>
  <c r="H147" i="38"/>
  <c r="K147" i="38"/>
  <c r="O147" i="38" s="1"/>
  <c r="M147" i="38"/>
  <c r="N147" i="38" s="1"/>
  <c r="F88" i="10"/>
  <c r="H88" i="10"/>
  <c r="G88" i="10"/>
  <c r="F48" i="10"/>
  <c r="Q11" i="3"/>
  <c r="K2" i="3"/>
  <c r="F2" i="3"/>
  <c r="P147" i="38" l="1"/>
  <c r="P155" i="38"/>
  <c r="P154" i="38"/>
  <c r="P153" i="38"/>
  <c r="P152" i="38"/>
  <c r="P151" i="38"/>
  <c r="P149" i="38"/>
  <c r="P150" i="38"/>
  <c r="P148" i="38"/>
  <c r="P124" i="38"/>
  <c r="P139" i="38"/>
  <c r="P135" i="38"/>
  <c r="P131" i="38"/>
  <c r="P127" i="38"/>
  <c r="P123" i="38"/>
  <c r="P119" i="38"/>
  <c r="P115" i="38"/>
  <c r="P111" i="38"/>
  <c r="P107" i="38"/>
  <c r="P103" i="38"/>
  <c r="P99" i="38"/>
  <c r="P95" i="38"/>
  <c r="P91" i="38"/>
  <c r="P87" i="38"/>
  <c r="P83" i="38"/>
  <c r="P79" i="38"/>
  <c r="P75" i="38"/>
  <c r="P71" i="38"/>
  <c r="P67" i="38"/>
  <c r="P63" i="38"/>
  <c r="P59" i="38"/>
  <c r="P55" i="38"/>
  <c r="P51" i="38"/>
  <c r="P47" i="38"/>
  <c r="P43" i="38"/>
  <c r="P39" i="38"/>
  <c r="P35" i="38"/>
  <c r="P31" i="38"/>
  <c r="P27" i="38"/>
  <c r="P23" i="38"/>
  <c r="P19" i="38"/>
  <c r="P15" i="38"/>
  <c r="P11" i="38"/>
  <c r="P7" i="38"/>
  <c r="P134" i="38"/>
  <c r="P110" i="38"/>
  <c r="P90" i="38"/>
  <c r="P86" i="38"/>
  <c r="P82" i="38"/>
  <c r="P78" i="38"/>
  <c r="P74" i="38"/>
  <c r="P70" i="38"/>
  <c r="P66" i="38"/>
  <c r="P62" i="38"/>
  <c r="P58" i="38"/>
  <c r="P54" i="38"/>
  <c r="P50" i="38"/>
  <c r="P46" i="38"/>
  <c r="P42" i="38"/>
  <c r="P38" i="38"/>
  <c r="P34" i="38"/>
  <c r="P30" i="38"/>
  <c r="P26" i="38"/>
  <c r="P22" i="38"/>
  <c r="P18" i="38"/>
  <c r="P14" i="38"/>
  <c r="P10" i="38"/>
  <c r="P114" i="38"/>
  <c r="P126" i="38"/>
  <c r="P106" i="38"/>
  <c r="P141" i="38"/>
  <c r="P129" i="38"/>
  <c r="P113" i="38"/>
  <c r="P97" i="38"/>
  <c r="P85" i="38"/>
  <c r="P77" i="38"/>
  <c r="P69" i="38"/>
  <c r="P57" i="38"/>
  <c r="P53" i="38"/>
  <c r="P49" i="38"/>
  <c r="P45" i="38"/>
  <c r="P41" i="38"/>
  <c r="P37" i="38"/>
  <c r="P33" i="38"/>
  <c r="P29" i="38"/>
  <c r="P25" i="38"/>
  <c r="P21" i="38"/>
  <c r="P17" i="38"/>
  <c r="P13" i="38"/>
  <c r="P9" i="38"/>
  <c r="P142" i="38"/>
  <c r="P122" i="38"/>
  <c r="P94" i="38"/>
  <c r="P133" i="38"/>
  <c r="P117" i="38"/>
  <c r="P101" i="38"/>
  <c r="P65" i="38"/>
  <c r="P146" i="38"/>
  <c r="P130" i="38"/>
  <c r="P102" i="38"/>
  <c r="P145" i="38"/>
  <c r="P125" i="38"/>
  <c r="P105" i="38"/>
  <c r="P89" i="38"/>
  <c r="P73" i="38"/>
  <c r="P112" i="38"/>
  <c r="P138" i="38"/>
  <c r="P118" i="38"/>
  <c r="P98" i="38"/>
  <c r="P137" i="38"/>
  <c r="P121" i="38"/>
  <c r="P109" i="38"/>
  <c r="P93" i="38"/>
  <c r="P81" i="38"/>
  <c r="P61" i="38"/>
  <c r="P144" i="38"/>
  <c r="P140" i="38"/>
  <c r="P136" i="38"/>
  <c r="P132" i="38"/>
  <c r="P128" i="38"/>
  <c r="P120" i="38"/>
  <c r="P116" i="38"/>
  <c r="P104" i="38"/>
  <c r="P100" i="38"/>
  <c r="P96" i="38"/>
  <c r="P92" i="38"/>
  <c r="P88" i="38"/>
  <c r="P84" i="38"/>
  <c r="P80" i="38"/>
  <c r="P76" i="38"/>
  <c r="P72" i="38"/>
  <c r="P68" i="38"/>
  <c r="P64" i="38"/>
  <c r="P60" i="38"/>
  <c r="P56" i="38"/>
  <c r="P52" i="38"/>
  <c r="P48" i="38"/>
  <c r="P44" i="38"/>
  <c r="P40" i="38"/>
  <c r="P36" i="38"/>
  <c r="P32" i="38"/>
  <c r="P28" i="38"/>
  <c r="P24" i="38"/>
  <c r="P20" i="38"/>
  <c r="P16" i="38"/>
  <c r="P12" i="38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M146" i="38"/>
  <c r="N146" i="38" s="1"/>
  <c r="K7" i="41" l="1"/>
  <c r="E145" i="38"/>
  <c r="H145" i="38"/>
  <c r="K145" i="38"/>
  <c r="M145" i="38"/>
  <c r="N145" i="38" s="1"/>
  <c r="F87" i="10"/>
  <c r="H87" i="10"/>
  <c r="G87" i="10"/>
  <c r="G86" i="10"/>
  <c r="F86" i="10"/>
  <c r="H86" i="10"/>
  <c r="K30" i="10"/>
  <c r="F166" i="25"/>
  <c r="H166" i="25"/>
  <c r="G166" i="25"/>
  <c r="F87" i="25"/>
  <c r="K58" i="25"/>
  <c r="Q7" i="47"/>
  <c r="K5" i="47"/>
  <c r="K29" i="10"/>
  <c r="K28" i="10"/>
  <c r="F165" i="25" l="1"/>
  <c r="H165" i="25"/>
  <c r="G165" i="25"/>
  <c r="F25" i="33" l="1"/>
  <c r="H25" i="33"/>
  <c r="G25" i="33"/>
  <c r="E144" i="38"/>
  <c r="H144" i="38"/>
  <c r="K144" i="38"/>
  <c r="M144" i="38"/>
  <c r="N144" i="38" s="1"/>
  <c r="F19" i="45" l="1"/>
  <c r="H19" i="45"/>
  <c r="G19" i="45"/>
  <c r="F23" i="49"/>
  <c r="H23" i="49"/>
  <c r="G23" i="49"/>
  <c r="E143" i="38" l="1"/>
  <c r="H143" i="38"/>
  <c r="K143" i="38"/>
  <c r="M143" i="38"/>
  <c r="N143" i="38" s="1"/>
  <c r="F22" i="49" l="1"/>
  <c r="H22" i="49"/>
  <c r="G22" i="49"/>
  <c r="G88" i="7"/>
  <c r="F88" i="7"/>
  <c r="H88" i="7"/>
  <c r="F50" i="18" l="1"/>
  <c r="H50" i="18"/>
  <c r="G50" i="18"/>
  <c r="K15" i="18"/>
  <c r="E142" i="38"/>
  <c r="H142" i="38"/>
  <c r="K142" i="38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29" i="17"/>
  <c r="H129" i="17"/>
  <c r="G129" i="17"/>
  <c r="F76" i="17"/>
  <c r="K34" i="17"/>
  <c r="F75" i="17"/>
  <c r="F74" i="17"/>
  <c r="K2" i="48"/>
  <c r="K4" i="40"/>
  <c r="K141" i="38"/>
  <c r="M141" i="38"/>
  <c r="N141" i="38"/>
  <c r="H141" i="38"/>
  <c r="E141" i="38"/>
  <c r="K11" i="41" l="1"/>
  <c r="H11" i="41"/>
  <c r="F24" i="46"/>
  <c r="H24" i="46"/>
  <c r="G24" i="46"/>
  <c r="F164" i="25" l="1"/>
  <c r="H164" i="25"/>
  <c r="G164" i="25"/>
  <c r="G87" i="7" l="1"/>
  <c r="F87" i="7"/>
  <c r="H87" i="7"/>
  <c r="F24" i="33"/>
  <c r="G24" i="33"/>
  <c r="H24" i="33"/>
  <c r="H140" i="38" l="1"/>
  <c r="E140" i="38"/>
  <c r="F11" i="41"/>
  <c r="C11" i="41"/>
  <c r="K140" i="38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F86" i="25"/>
  <c r="K57" i="25"/>
  <c r="F26" i="41"/>
  <c r="H26" i="41"/>
  <c r="G26" i="41"/>
  <c r="K25" i="18" l="1"/>
  <c r="H25" i="18"/>
  <c r="H106" i="25"/>
  <c r="F48" i="18"/>
  <c r="H48" i="18"/>
  <c r="G48" i="18"/>
  <c r="K14" i="18"/>
  <c r="Q2" i="25" l="1"/>
  <c r="K2" i="44"/>
  <c r="G163" i="25"/>
  <c r="F163" i="25"/>
  <c r="H163" i="25"/>
  <c r="K56" i="25"/>
  <c r="F85" i="25"/>
  <c r="F84" i="25"/>
  <c r="H139" i="38"/>
  <c r="E139" i="38"/>
  <c r="K139" i="38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28" i="17"/>
  <c r="H128" i="17"/>
  <c r="G128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62" i="25"/>
  <c r="F162" i="25"/>
  <c r="H162" i="25"/>
  <c r="K138" i="38"/>
  <c r="L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F83" i="25"/>
  <c r="K24" i="10"/>
  <c r="F45" i="10"/>
  <c r="K23" i="10"/>
  <c r="K53" i="25"/>
  <c r="K22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85" i="7"/>
  <c r="F85" i="7"/>
  <c r="H85" i="7"/>
  <c r="F24" i="41"/>
  <c r="H24" i="41"/>
  <c r="G24" i="41"/>
  <c r="K5" i="41"/>
  <c r="F47" i="18"/>
  <c r="H47" i="18"/>
  <c r="G47" i="18"/>
  <c r="F19" i="18"/>
  <c r="K13" i="18"/>
  <c r="G161" i="25"/>
  <c r="F161" i="25"/>
  <c r="H161" i="25"/>
  <c r="K50" i="25"/>
  <c r="F82" i="25"/>
  <c r="K137" i="38"/>
  <c r="L137" i="38" s="1"/>
  <c r="M137" i="38"/>
  <c r="N137" i="38" s="1"/>
  <c r="H137" i="38"/>
  <c r="E137" i="38"/>
  <c r="K49" i="25"/>
  <c r="G160" i="25"/>
  <c r="F160" i="25"/>
  <c r="H160" i="25"/>
  <c r="F81" i="25"/>
  <c r="F14" i="44"/>
  <c r="G14" i="44"/>
  <c r="H14" i="44"/>
  <c r="F22" i="33"/>
  <c r="G22" i="33"/>
  <c r="H22" i="33"/>
  <c r="F23" i="33"/>
  <c r="G23" i="33"/>
  <c r="H23" i="33"/>
  <c r="N206" i="1" l="1"/>
  <c r="F159" i="25"/>
  <c r="G159" i="25"/>
  <c r="H159" i="25"/>
  <c r="F158" i="25"/>
  <c r="H158" i="25"/>
  <c r="G158" i="25"/>
  <c r="F157" i="25"/>
  <c r="H157" i="25"/>
  <c r="G157" i="25"/>
  <c r="F156" i="25"/>
  <c r="H156" i="25"/>
  <c r="G156" i="25"/>
  <c r="F155" i="25"/>
  <c r="H155" i="25"/>
  <c r="G15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F80" i="25"/>
  <c r="K46" i="25"/>
  <c r="F79" i="25"/>
  <c r="K47" i="25"/>
  <c r="L136" i="38" l="1"/>
  <c r="O158" i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M21" i="3"/>
  <c r="M61" i="3"/>
  <c r="H135" i="38"/>
  <c r="E135" i="38"/>
  <c r="K135" i="38"/>
  <c r="L135" i="38" s="1"/>
  <c r="M135" i="38"/>
  <c r="N135" i="38" s="1"/>
  <c r="F24" i="31"/>
  <c r="H24" i="31"/>
  <c r="G24" i="31"/>
  <c r="F8" i="31"/>
  <c r="C56" i="7"/>
  <c r="F56" i="7"/>
  <c r="C14" i="46"/>
  <c r="Q2" i="46" s="1"/>
  <c r="F154" i="25"/>
  <c r="H154" i="25"/>
  <c r="G154" i="25"/>
  <c r="F46" i="18"/>
  <c r="H46" i="18"/>
  <c r="G46" i="18"/>
  <c r="F18" i="18"/>
  <c r="F81" i="10"/>
  <c r="H81" i="10"/>
  <c r="G81" i="10"/>
  <c r="F78" i="25"/>
  <c r="F153" i="25"/>
  <c r="H153" i="25"/>
  <c r="G153" i="25"/>
  <c r="F44" i="10"/>
  <c r="F80" i="10"/>
  <c r="H80" i="10"/>
  <c r="G80" i="10"/>
  <c r="K45" i="25"/>
  <c r="K22" i="10"/>
  <c r="F152" i="25"/>
  <c r="H152" i="25"/>
  <c r="G152" i="25"/>
  <c r="K44" i="25"/>
  <c r="K43" i="25"/>
  <c r="F21" i="46"/>
  <c r="H21" i="46"/>
  <c r="G21" i="46"/>
  <c r="K3" i="46"/>
  <c r="F45" i="18"/>
  <c r="H45" i="18"/>
  <c r="G45" i="18"/>
  <c r="K12" i="18"/>
  <c r="G151" i="25"/>
  <c r="H151" i="25"/>
  <c r="F151" i="25"/>
  <c r="K42" i="25"/>
  <c r="F79" i="10"/>
  <c r="H79" i="10"/>
  <c r="G79" i="10"/>
  <c r="F43" i="10"/>
  <c r="K21" i="10"/>
  <c r="F20" i="46"/>
  <c r="G20" i="46"/>
  <c r="H20" i="46"/>
  <c r="K2" i="46"/>
  <c r="K14" i="46" s="1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50" i="25"/>
  <c r="G150" i="25"/>
  <c r="H150" i="25"/>
  <c r="F77" i="25"/>
  <c r="K41" i="25"/>
  <c r="Q5" i="46" l="1"/>
  <c r="K134" i="38" l="1"/>
  <c r="L134" i="38" s="1"/>
  <c r="M134" i="38"/>
  <c r="N134" i="38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M133" i="38"/>
  <c r="N133" i="38" s="1"/>
  <c r="F18" i="47"/>
  <c r="H18" i="47"/>
  <c r="G18" i="47"/>
  <c r="K4" i="47"/>
  <c r="H132" i="38" l="1"/>
  <c r="E132" i="38"/>
  <c r="K132" i="38"/>
  <c r="L132" i="38" s="1"/>
  <c r="M132" i="38"/>
  <c r="N132" i="38" s="1"/>
  <c r="H29" i="5"/>
  <c r="G29" i="5"/>
  <c r="K9" i="5"/>
  <c r="F44" i="18"/>
  <c r="H44" i="18"/>
  <c r="G44" i="18"/>
  <c r="F17" i="18"/>
  <c r="F127" i="17"/>
  <c r="H127" i="17"/>
  <c r="G127" i="17"/>
  <c r="F73" i="17"/>
  <c r="F76" i="25" l="1"/>
  <c r="F15" i="48"/>
  <c r="G15" i="48"/>
  <c r="H15" i="48"/>
  <c r="H14" i="48"/>
  <c r="G14" i="48"/>
  <c r="F14" i="48"/>
  <c r="F77" i="10"/>
  <c r="H77" i="10"/>
  <c r="G77" i="10"/>
  <c r="F21" i="49"/>
  <c r="G21" i="49"/>
  <c r="H21" i="49"/>
  <c r="F149" i="25"/>
  <c r="H149" i="25"/>
  <c r="G149" i="25"/>
  <c r="K40" i="25"/>
  <c r="F148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H117" i="25"/>
  <c r="G117" i="25"/>
  <c r="F117" i="25"/>
  <c r="H148" i="25"/>
  <c r="G148" i="25"/>
  <c r="K39" i="25"/>
  <c r="M131" i="38"/>
  <c r="N131" i="38" s="1"/>
  <c r="K131" i="38"/>
  <c r="L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M130" i="38"/>
  <c r="N130" i="38" s="1"/>
  <c r="E128" i="38" l="1"/>
  <c r="E129" i="38"/>
  <c r="H128" i="38"/>
  <c r="H129" i="38"/>
  <c r="K128" i="38"/>
  <c r="M128" i="38"/>
  <c r="S2" i="38" s="1"/>
  <c r="N211" i="1" s="1"/>
  <c r="K129" i="38"/>
  <c r="L129" i="38" s="1"/>
  <c r="M129" i="38"/>
  <c r="N129" i="38" s="1"/>
  <c r="F75" i="25"/>
  <c r="F74" i="25"/>
  <c r="F126" i="17"/>
  <c r="H126" i="17"/>
  <c r="G126" i="17"/>
  <c r="K32" i="17"/>
  <c r="K31" i="17"/>
  <c r="F21" i="40"/>
  <c r="H21" i="40"/>
  <c r="G21" i="40"/>
  <c r="M10" i="3"/>
  <c r="K10" i="3"/>
  <c r="H10" i="3"/>
  <c r="F10" i="3"/>
  <c r="C10" i="3"/>
  <c r="N128" i="38" l="1"/>
  <c r="L128" i="38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25" i="17"/>
  <c r="H125" i="17"/>
  <c r="G125" i="17"/>
  <c r="K30" i="17"/>
  <c r="F83" i="7"/>
  <c r="H83" i="7"/>
  <c r="G83" i="7"/>
  <c r="F124" i="17"/>
  <c r="H124" i="17"/>
  <c r="G124" i="17"/>
  <c r="K29" i="17"/>
  <c r="F22" i="34"/>
  <c r="G22" i="34"/>
  <c r="H22" i="34"/>
  <c r="K3" i="34"/>
  <c r="F52" i="7"/>
  <c r="K127" i="38"/>
  <c r="L127" i="38" s="1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73" i="25"/>
  <c r="F81" i="7"/>
  <c r="H81" i="7"/>
  <c r="G81" i="7"/>
  <c r="K19" i="7"/>
  <c r="K38" i="25"/>
  <c r="M39" i="33" l="1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H126" i="38"/>
  <c r="E126" i="38"/>
  <c r="K126" i="38"/>
  <c r="M126" i="38"/>
  <c r="N126" i="38" s="1"/>
  <c r="L126" i="38" l="1"/>
  <c r="K16" i="7"/>
  <c r="H125" i="38" l="1"/>
  <c r="E125" i="38"/>
  <c r="K125" i="38"/>
  <c r="L125" i="38" s="1"/>
  <c r="M125" i="38"/>
  <c r="N125" i="38" s="1"/>
  <c r="K36" i="25"/>
  <c r="F71" i="25"/>
  <c r="H124" i="38" l="1"/>
  <c r="E124" i="38"/>
  <c r="K124" i="38"/>
  <c r="L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C11" i="34"/>
  <c r="K123" i="38"/>
  <c r="L123" i="38" s="1"/>
  <c r="M123" i="38"/>
  <c r="N123" i="38" s="1"/>
  <c r="H123" i="38"/>
  <c r="E123" i="38"/>
  <c r="M122" i="38" l="1"/>
  <c r="N122" i="38" s="1"/>
  <c r="K122" i="38"/>
  <c r="L122" i="38" s="1"/>
  <c r="H122" i="38"/>
  <c r="E122" i="38"/>
  <c r="G30" i="16"/>
  <c r="Q7" i="16"/>
  <c r="Q3" i="16"/>
  <c r="K12" i="16"/>
  <c r="F16" i="47"/>
  <c r="H16" i="47"/>
  <c r="G16" i="47"/>
  <c r="F5" i="47"/>
  <c r="F2" i="33"/>
  <c r="F16" i="18"/>
  <c r="H121" i="38" l="1"/>
  <c r="E121" i="38"/>
  <c r="K121" i="38"/>
  <c r="L121" i="38" s="1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Q7" i="49" s="1"/>
  <c r="L120" i="38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8" i="49" l="1"/>
  <c r="F15" i="42"/>
  <c r="G15" i="42"/>
  <c r="H15" i="42"/>
  <c r="Q9" i="42"/>
  <c r="Q9" i="22"/>
  <c r="Q9" i="3"/>
  <c r="H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K11" i="48"/>
  <c r="F3" i="46"/>
  <c r="Q2" i="48" l="1"/>
  <c r="H118" i="38"/>
  <c r="E118" i="38"/>
  <c r="K118" i="38"/>
  <c r="L118" i="38" s="1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3" i="17"/>
  <c r="G123" i="17"/>
  <c r="H123" i="17"/>
  <c r="F72" i="17"/>
  <c r="K117" i="38"/>
  <c r="L117" i="38" s="1"/>
  <c r="M117" i="38"/>
  <c r="N117" i="38" s="1"/>
  <c r="H117" i="38"/>
  <c r="E117" i="38"/>
  <c r="H19" i="5" l="1"/>
  <c r="K19" i="5"/>
  <c r="H16" i="16"/>
  <c r="K16" i="16"/>
  <c r="H116" i="38"/>
  <c r="E116" i="38"/>
  <c r="K116" i="38"/>
  <c r="L116" i="38" s="1"/>
  <c r="M116" i="38"/>
  <c r="N116" i="38" s="1"/>
  <c r="M11" i="41"/>
  <c r="K2" i="41"/>
  <c r="H78" i="7"/>
  <c r="G78" i="7"/>
  <c r="H77" i="7"/>
  <c r="G77" i="7"/>
  <c r="K18" i="7"/>
  <c r="K35" i="25"/>
  <c r="K2" i="40"/>
  <c r="H11" i="32"/>
  <c r="K7" i="5"/>
  <c r="F122" i="17"/>
  <c r="H122" i="17"/>
  <c r="G122" i="17"/>
  <c r="K28" i="17"/>
  <c r="F73" i="10"/>
  <c r="H73" i="10"/>
  <c r="G73" i="10"/>
  <c r="K19" i="10"/>
  <c r="H9" i="47"/>
  <c r="K9" i="47"/>
  <c r="M9" i="47"/>
  <c r="K2" i="47"/>
  <c r="K11" i="16"/>
  <c r="E115" i="38" l="1"/>
  <c r="K115" i="38"/>
  <c r="L115" i="38" s="1"/>
  <c r="M115" i="38"/>
  <c r="N115" i="38" s="1"/>
  <c r="H115" i="38"/>
  <c r="K114" i="38" l="1"/>
  <c r="M114" i="38"/>
  <c r="N114" i="38" s="1"/>
  <c r="H114" i="38"/>
  <c r="E114" i="38"/>
  <c r="L114" i="38" l="1"/>
  <c r="C19" i="5"/>
  <c r="Q2" i="5" l="1"/>
  <c r="H113" i="38"/>
  <c r="E113" i="38"/>
  <c r="K113" i="38"/>
  <c r="L113" i="38" s="1"/>
  <c r="M113" i="38"/>
  <c r="N113" i="38" s="1"/>
  <c r="E110" i="38" l="1"/>
  <c r="E111" i="38"/>
  <c r="E112" i="38"/>
  <c r="H110" i="38"/>
  <c r="H111" i="38"/>
  <c r="H112" i="38"/>
  <c r="K110" i="38"/>
  <c r="L110" i="38" s="1"/>
  <c r="M110" i="38"/>
  <c r="N110" i="38" s="1"/>
  <c r="K111" i="38"/>
  <c r="L111" i="38" s="1"/>
  <c r="M111" i="38"/>
  <c r="N111" i="38" s="1"/>
  <c r="K112" i="38"/>
  <c r="L112" i="38" s="1"/>
  <c r="M112" i="38"/>
  <c r="N112" i="38" s="1"/>
  <c r="H109" i="38" l="1"/>
  <c r="E109" i="38"/>
  <c r="K109" i="38"/>
  <c r="L109" i="38" s="1"/>
  <c r="M109" i="38"/>
  <c r="N109" i="38" s="1"/>
  <c r="K108" i="38" l="1"/>
  <c r="M108" i="38"/>
  <c r="N108" i="38" s="1"/>
  <c r="H108" i="38"/>
  <c r="E108" i="38"/>
  <c r="L108" i="38" l="1"/>
  <c r="F3" i="47"/>
  <c r="E107" i="38"/>
  <c r="H107" i="38"/>
  <c r="K107" i="38"/>
  <c r="L107" i="38" s="1"/>
  <c r="M107" i="38"/>
  <c r="N107" i="38" s="1"/>
  <c r="E106" i="38" l="1"/>
  <c r="H106" i="38"/>
  <c r="K106" i="38"/>
  <c r="L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M105" i="38"/>
  <c r="N105" i="38" s="1"/>
  <c r="H104" i="38" l="1"/>
  <c r="E104" i="38"/>
  <c r="K104" i="38"/>
  <c r="L104" i="38" s="1"/>
  <c r="M104" i="38"/>
  <c r="N104" i="38" s="1"/>
  <c r="K103" i="38" l="1"/>
  <c r="L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1" i="17" l="1"/>
  <c r="H121" i="17"/>
  <c r="G121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M102" i="38"/>
  <c r="N102" i="38" s="1"/>
  <c r="H102" i="38"/>
  <c r="E102" i="38"/>
  <c r="Q3" i="47" l="1"/>
  <c r="Q5" i="47"/>
  <c r="F14" i="16"/>
  <c r="F16" i="16"/>
  <c r="Q6" i="47" l="1"/>
  <c r="Q8" i="47"/>
  <c r="M11" i="45"/>
  <c r="K11" i="45"/>
  <c r="H11" i="45"/>
  <c r="F11" i="45"/>
  <c r="C11" i="45"/>
  <c r="K101" i="38"/>
  <c r="L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8" i="46" l="1"/>
  <c r="Q6" i="46"/>
  <c r="Q7" i="46" s="1"/>
  <c r="Q2" i="43"/>
  <c r="Q5" i="43" s="1"/>
  <c r="Q5" i="45"/>
  <c r="F69" i="25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M100" i="38"/>
  <c r="N100" i="38" s="1"/>
  <c r="H22" i="20"/>
  <c r="G22" i="20"/>
  <c r="G21" i="20"/>
  <c r="F11" i="20"/>
  <c r="C15" i="20"/>
  <c r="Q3" i="43" l="1"/>
  <c r="Q6" i="43" s="1"/>
  <c r="Q7" i="43" s="1"/>
  <c r="Q5" i="42"/>
  <c r="F68" i="25"/>
  <c r="Q8" i="43" l="1"/>
  <c r="Q8" i="42"/>
  <c r="Q6" i="42"/>
  <c r="H99" i="38"/>
  <c r="E99" i="38"/>
  <c r="K99" i="38"/>
  <c r="L99" i="38" s="1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M98" i="38"/>
  <c r="N98" i="38" s="1"/>
  <c r="E98" i="38"/>
  <c r="H98" i="38"/>
  <c r="K32" i="25" l="1"/>
  <c r="F19" i="5"/>
  <c r="K6" i="5"/>
  <c r="C11" i="32"/>
  <c r="H20" i="32"/>
  <c r="G20" i="32"/>
  <c r="K4" i="32"/>
  <c r="E97" i="38"/>
  <c r="H97" i="38"/>
  <c r="K97" i="38"/>
  <c r="L97" i="38" s="1"/>
  <c r="M97" i="38"/>
  <c r="N97" i="38" s="1"/>
  <c r="H96" i="38" l="1"/>
  <c r="E96" i="38"/>
  <c r="F66" i="25"/>
  <c r="F65" i="25"/>
  <c r="K96" i="38"/>
  <c r="L96" i="38" s="1"/>
  <c r="M96" i="38"/>
  <c r="N96" i="38" s="1"/>
  <c r="H95" i="38" l="1"/>
  <c r="E95" i="38"/>
  <c r="K95" i="38"/>
  <c r="L95" i="38" s="1"/>
  <c r="M95" i="38"/>
  <c r="N95" i="38" s="1"/>
  <c r="F64" i="25"/>
  <c r="H94" i="38" l="1"/>
  <c r="E94" i="38"/>
  <c r="K94" i="38" l="1"/>
  <c r="L94" i="38" s="1"/>
  <c r="M94" i="38"/>
  <c r="N94" i="38" s="1"/>
  <c r="F63" i="25"/>
  <c r="K15" i="7"/>
  <c r="F48" i="7"/>
  <c r="E93" i="38" l="1"/>
  <c r="H93" i="38"/>
  <c r="K93" i="38"/>
  <c r="L93" i="38" s="1"/>
  <c r="M93" i="38"/>
  <c r="N93" i="38" s="1"/>
  <c r="K92" i="38" l="1"/>
  <c r="L92" i="38" s="1"/>
  <c r="M92" i="38"/>
  <c r="N92" i="38" s="1"/>
  <c r="H92" i="38"/>
  <c r="E92" i="38"/>
  <c r="K17" i="10"/>
  <c r="K30" i="25"/>
  <c r="F62" i="25"/>
  <c r="K31" i="25"/>
  <c r="K91" i="38" l="1"/>
  <c r="L91" i="38" s="1"/>
  <c r="M91" i="38"/>
  <c r="N91" i="38" s="1"/>
  <c r="H91" i="38"/>
  <c r="E91" i="38"/>
  <c r="F120" i="17"/>
  <c r="H120" i="17"/>
  <c r="G120" i="17"/>
  <c r="F70" i="17"/>
  <c r="K27" i="17" l="1"/>
  <c r="K17" i="7"/>
  <c r="F15" i="5"/>
  <c r="M90" i="38"/>
  <c r="N90" i="38" s="1"/>
  <c r="K90" i="38"/>
  <c r="L90" i="38" s="1"/>
  <c r="H90" i="38"/>
  <c r="E90" i="38"/>
  <c r="F36" i="10"/>
  <c r="F35" i="10"/>
  <c r="K29" i="25"/>
  <c r="F119" i="17"/>
  <c r="H119" i="17"/>
  <c r="G119" i="17"/>
  <c r="K26" i="17"/>
  <c r="F118" i="17" l="1"/>
  <c r="H118" i="17"/>
  <c r="G118" i="17"/>
  <c r="F69" i="17"/>
  <c r="K25" i="17"/>
  <c r="H76" i="7" l="1"/>
  <c r="G76" i="7"/>
  <c r="F68" i="17"/>
  <c r="F117" i="17"/>
  <c r="H117" i="17"/>
  <c r="G117" i="17"/>
  <c r="K24" i="17"/>
  <c r="F116" i="17"/>
  <c r="H116" i="17"/>
  <c r="G116" i="17"/>
  <c r="F67" i="17"/>
  <c r="K89" i="38"/>
  <c r="L89" i="38" s="1"/>
  <c r="M89" i="38"/>
  <c r="N89" i="38" s="1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F115" i="17" l="1"/>
  <c r="H115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L86" i="38" s="1"/>
  <c r="K88" i="38"/>
  <c r="L88" i="38" s="1"/>
  <c r="M88" i="38"/>
  <c r="N88" i="38" s="1"/>
  <c r="K87" i="38"/>
  <c r="L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F56" i="25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15" i="17"/>
  <c r="F66" i="17"/>
  <c r="K23" i="17"/>
  <c r="L85" i="38" l="1"/>
  <c r="Q5" i="40"/>
  <c r="Q7" i="40" s="1"/>
  <c r="Q6" i="40"/>
  <c r="Q8" i="40"/>
  <c r="F114" i="17"/>
  <c r="H114" i="17"/>
  <c r="G114" i="17"/>
  <c r="H18" i="26"/>
  <c r="G18" i="26"/>
  <c r="H18" i="32"/>
  <c r="G18" i="32"/>
  <c r="F113" i="17"/>
  <c r="H113" i="17"/>
  <c r="G113" i="17"/>
  <c r="F14" i="5"/>
  <c r="K22" i="17"/>
  <c r="H74" i="7"/>
  <c r="G74" i="7"/>
  <c r="F46" i="7"/>
  <c r="H84" i="38"/>
  <c r="E84" i="38"/>
  <c r="K16" i="10"/>
  <c r="F110" i="17"/>
  <c r="F111" i="17"/>
  <c r="F112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93" i="17"/>
  <c r="H110" i="17"/>
  <c r="H111" i="17"/>
  <c r="H112" i="17"/>
  <c r="G112" i="17"/>
  <c r="G111" i="17"/>
  <c r="F64" i="17"/>
  <c r="F65" i="17"/>
  <c r="K15" i="10"/>
  <c r="K27" i="25"/>
  <c r="K14" i="10"/>
  <c r="F29" i="10"/>
  <c r="F30" i="10"/>
  <c r="F31" i="10"/>
  <c r="F32" i="10"/>
  <c r="F33" i="10"/>
  <c r="F34" i="10"/>
  <c r="G110" i="17"/>
  <c r="K21" i="17"/>
  <c r="F63" i="17"/>
  <c r="K84" i="38"/>
  <c r="L84" i="38" s="1"/>
  <c r="M84" i="38"/>
  <c r="N84" i="38" s="1"/>
  <c r="F28" i="10"/>
  <c r="H83" i="38" l="1"/>
  <c r="E83" i="38"/>
  <c r="K83" i="38"/>
  <c r="L83" i="38" s="1"/>
  <c r="M83" i="38"/>
  <c r="N83" i="38" s="1"/>
  <c r="K26" i="25"/>
  <c r="H109" i="17"/>
  <c r="G109" i="17"/>
  <c r="K20" i="17"/>
  <c r="H82" i="38" l="1"/>
  <c r="E82" i="38"/>
  <c r="K82" i="38"/>
  <c r="L82" i="38" s="1"/>
  <c r="M82" i="38"/>
  <c r="N82" i="38" s="1"/>
  <c r="H108" i="17"/>
  <c r="G108" i="17"/>
  <c r="F62" i="17"/>
  <c r="F55" i="25"/>
  <c r="M12" i="14" l="1"/>
  <c r="M2" i="14"/>
  <c r="K81" i="38" l="1"/>
  <c r="L81" i="38" s="1"/>
  <c r="M81" i="38"/>
  <c r="N81" i="38" s="1"/>
  <c r="E81" i="38"/>
  <c r="H81" i="38"/>
  <c r="G17" i="32" l="1"/>
  <c r="H17" i="32"/>
  <c r="F54" i="25"/>
  <c r="H80" i="38" l="1"/>
  <c r="E80" i="38"/>
  <c r="K80" i="38"/>
  <c r="L80" i="38" s="1"/>
  <c r="M80" i="38"/>
  <c r="N80" i="38" s="1"/>
  <c r="F6" i="25" l="1"/>
  <c r="F7" i="25"/>
  <c r="F8" i="25"/>
  <c r="F9" i="25"/>
  <c r="F5" i="25"/>
  <c r="H73" i="7"/>
  <c r="G73" i="7"/>
  <c r="C18" i="33"/>
  <c r="H79" i="38" l="1"/>
  <c r="E79" i="38"/>
  <c r="K79" i="38"/>
  <c r="L79" i="38" s="1"/>
  <c r="M79" i="38"/>
  <c r="N79" i="38" s="1"/>
  <c r="K25" i="25" l="1"/>
  <c r="F53" i="25"/>
  <c r="H20" i="22"/>
  <c r="H21" i="22"/>
  <c r="H22" i="22"/>
  <c r="H19" i="22"/>
  <c r="G23" i="22"/>
  <c r="K7" i="22"/>
  <c r="H107" i="17" l="1"/>
  <c r="G107" i="17"/>
  <c r="K19" i="17"/>
  <c r="F61" i="17"/>
  <c r="H78" i="38"/>
  <c r="E78" i="38"/>
  <c r="K78" i="38"/>
  <c r="L78" i="38" s="1"/>
  <c r="M78" i="38"/>
  <c r="N78" i="38" s="1"/>
  <c r="H106" i="17" l="1"/>
  <c r="G106" i="17"/>
  <c r="F60" i="17"/>
  <c r="H72" i="7"/>
  <c r="G72" i="7"/>
  <c r="H71" i="7"/>
  <c r="G71" i="7"/>
  <c r="F45" i="7"/>
  <c r="F44" i="7"/>
  <c r="F52" i="25"/>
  <c r="F51" i="25"/>
  <c r="K8" i="18"/>
  <c r="E77" i="38"/>
  <c r="H77" i="38"/>
  <c r="K77" i="38"/>
  <c r="L77" i="38" s="1"/>
  <c r="M77" i="38"/>
  <c r="N77" i="38" s="1"/>
  <c r="K7" i="18" l="1"/>
  <c r="H76" i="38"/>
  <c r="E76" i="38"/>
  <c r="K76" i="38"/>
  <c r="L76" i="38" s="1"/>
  <c r="M76" i="38"/>
  <c r="N76" i="38" s="1"/>
  <c r="H75" i="38" l="1"/>
  <c r="E75" i="38"/>
  <c r="K75" i="38"/>
  <c r="L75" i="38" s="1"/>
  <c r="M75" i="38"/>
  <c r="N75" i="38" s="1"/>
  <c r="H105" i="17"/>
  <c r="G105" i="17"/>
  <c r="K18" i="17"/>
  <c r="G70" i="7"/>
  <c r="H69" i="7"/>
  <c r="H70" i="7"/>
  <c r="G69" i="7"/>
  <c r="K12" i="7"/>
  <c r="K11" i="7"/>
  <c r="H17" i="26" l="1"/>
  <c r="H68" i="7"/>
  <c r="G68" i="7"/>
  <c r="H74" i="38"/>
  <c r="E74" i="38"/>
  <c r="K74" i="38"/>
  <c r="L74" i="38" s="1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K6" i="18" l="1"/>
  <c r="K73" i="38" l="1"/>
  <c r="L73" i="38" s="1"/>
  <c r="M73" i="38"/>
  <c r="N73" i="38" s="1"/>
  <c r="H73" i="38"/>
  <c r="E73" i="38"/>
  <c r="E72" i="38" l="1"/>
  <c r="H72" i="38"/>
  <c r="K72" i="38"/>
  <c r="L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4" i="17"/>
  <c r="H104" i="17"/>
  <c r="G103" i="17"/>
  <c r="H103" i="17"/>
  <c r="G100" i="17"/>
  <c r="H100" i="17"/>
  <c r="G101" i="17"/>
  <c r="H101" i="17"/>
  <c r="G102" i="17"/>
  <c r="H102" i="17"/>
  <c r="H99" i="17"/>
  <c r="G99" i="17"/>
  <c r="H98" i="17"/>
  <c r="G98" i="17"/>
  <c r="H97" i="17"/>
  <c r="G97" i="17"/>
  <c r="H96" i="17"/>
  <c r="G96" i="17"/>
  <c r="H95" i="17"/>
  <c r="G95" i="17"/>
  <c r="H94" i="17"/>
  <c r="G94" i="17"/>
  <c r="H93" i="17"/>
  <c r="G93" i="17"/>
  <c r="H116" i="25"/>
  <c r="G116" i="25"/>
  <c r="H115" i="25"/>
  <c r="G115" i="25"/>
  <c r="H114" i="25"/>
  <c r="G114" i="25"/>
  <c r="H113" i="25"/>
  <c r="G113" i="25"/>
  <c r="H112" i="25"/>
  <c r="G112" i="25"/>
  <c r="H111" i="25"/>
  <c r="G111" i="25"/>
  <c r="H110" i="25"/>
  <c r="G110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L71" i="38" s="1"/>
  <c r="M71" i="38"/>
  <c r="N71" i="38" s="1"/>
  <c r="H70" i="38" l="1"/>
  <c r="E70" i="38"/>
  <c r="K70" i="38"/>
  <c r="L70" i="38" s="1"/>
  <c r="M70" i="38"/>
  <c r="N70" i="38" s="1"/>
  <c r="F48" i="25"/>
  <c r="F59" i="17"/>
  <c r="F16" i="26"/>
  <c r="F5" i="26"/>
  <c r="F13" i="16"/>
  <c r="K3" i="26"/>
  <c r="K8" i="16"/>
  <c r="E69" i="38" l="1"/>
  <c r="H69" i="38"/>
  <c r="K69" i="38"/>
  <c r="L69" i="38" s="1"/>
  <c r="M69" i="38"/>
  <c r="N69" i="38" s="1"/>
  <c r="K10" i="13"/>
  <c r="K4" i="14"/>
  <c r="G22" i="22" l="1"/>
  <c r="H56" i="7"/>
  <c r="K10" i="7"/>
  <c r="H68" i="38"/>
  <c r="E68" i="38"/>
  <c r="K68" i="38"/>
  <c r="L68" i="38" s="1"/>
  <c r="M68" i="38"/>
  <c r="N68" i="38" s="1"/>
  <c r="K6" i="22"/>
  <c r="K3" i="14"/>
  <c r="G19" i="22" l="1"/>
  <c r="G21" i="22"/>
  <c r="G20" i="22"/>
  <c r="K16" i="17" l="1"/>
  <c r="F42" i="7"/>
  <c r="K67" i="38"/>
  <c r="L67" i="38" s="1"/>
  <c r="M67" i="38"/>
  <c r="N67" i="38" s="1"/>
  <c r="H67" i="38"/>
  <c r="E67" i="38"/>
  <c r="K66" i="38" l="1"/>
  <c r="L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M65" i="38"/>
  <c r="N65" i="38" s="1"/>
  <c r="K63" i="38" l="1"/>
  <c r="L63" i="38" s="1"/>
  <c r="M63" i="38"/>
  <c r="N63" i="38" s="1"/>
  <c r="K64" i="38"/>
  <c r="L64" i="38" s="1"/>
  <c r="M64" i="38"/>
  <c r="N64" i="38" s="1"/>
  <c r="E63" i="38"/>
  <c r="E64" i="38"/>
  <c r="K23" i="25" l="1"/>
  <c r="E62" i="38"/>
  <c r="K62" i="38"/>
  <c r="L62" i="38" s="1"/>
  <c r="M62" i="38"/>
  <c r="N62" i="38" s="1"/>
  <c r="E61" i="38" l="1"/>
  <c r="K61" i="38"/>
  <c r="L61" i="38" s="1"/>
  <c r="M61" i="38"/>
  <c r="N61" i="38" s="1"/>
  <c r="F56" i="17"/>
  <c r="E60" i="38" l="1"/>
  <c r="H14" i="15"/>
  <c r="F40" i="7"/>
  <c r="F47" i="25"/>
  <c r="M60" i="38"/>
  <c r="N60" i="38" s="1"/>
  <c r="F46" i="25"/>
  <c r="K15" i="17"/>
  <c r="K60" i="38"/>
  <c r="L60" i="38" s="1"/>
  <c r="F45" i="25"/>
  <c r="K6" i="15"/>
  <c r="K7" i="16"/>
  <c r="F39" i="7"/>
  <c r="F38" i="7" l="1"/>
  <c r="F55" i="17"/>
  <c r="F54" i="17"/>
  <c r="F53" i="17"/>
  <c r="K5" i="16"/>
  <c r="K6" i="16"/>
  <c r="E59" i="38"/>
  <c r="K59" i="38"/>
  <c r="L59" i="38" s="1"/>
  <c r="M59" i="38"/>
  <c r="N59" i="38"/>
  <c r="K58" i="38" l="1"/>
  <c r="L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M57" i="38"/>
  <c r="N57" i="38" s="1"/>
  <c r="E57" i="38"/>
  <c r="K22" i="25" l="1"/>
  <c r="F44" i="25"/>
  <c r="K2" i="28"/>
  <c r="F10" i="22"/>
  <c r="E56" i="38"/>
  <c r="K56" i="38"/>
  <c r="L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M55" i="38"/>
  <c r="N55" i="38" s="1"/>
  <c r="E55" i="38"/>
  <c r="K54" i="38" l="1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L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L52" i="38" s="1"/>
  <c r="M52" i="38"/>
  <c r="N52" i="38" s="1"/>
  <c r="E52" i="38"/>
  <c r="K51" i="38" l="1"/>
  <c r="L51" i="38" s="1"/>
  <c r="M51" i="38"/>
  <c r="N51" i="38" s="1"/>
  <c r="E51" i="38"/>
  <c r="C23" i="13" l="1"/>
  <c r="K50" i="38" l="1"/>
  <c r="L50" i="38" s="1"/>
  <c r="E50" i="38"/>
  <c r="M50" i="38"/>
  <c r="N50" i="38" s="1"/>
  <c r="K49" i="38"/>
  <c r="L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M48" i="38"/>
  <c r="N48" i="38" s="1"/>
  <c r="F36" i="7"/>
  <c r="K20" i="25" l="1"/>
  <c r="E47" i="38"/>
  <c r="K47" i="38"/>
  <c r="L47" i="38" s="1"/>
  <c r="M47" i="38"/>
  <c r="N47" i="38" s="1"/>
  <c r="H23" i="13" l="1"/>
  <c r="K8" i="13"/>
  <c r="E46" i="38"/>
  <c r="K46" i="38"/>
  <c r="L46" i="38" s="1"/>
  <c r="M46" i="38"/>
  <c r="N46" i="38" s="1"/>
  <c r="K45" i="38" l="1"/>
  <c r="L45" i="38" s="1"/>
  <c r="M45" i="38"/>
  <c r="N45" i="38" s="1"/>
  <c r="F12" i="16"/>
  <c r="F11" i="16"/>
  <c r="F7" i="32"/>
  <c r="E45" i="38"/>
  <c r="K44" i="38" l="1"/>
  <c r="L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E43" i="38"/>
  <c r="K11" i="17"/>
  <c r="K42" i="38" l="1"/>
  <c r="L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K9" i="10" l="1"/>
  <c r="K6" i="13"/>
  <c r="K8" i="7"/>
  <c r="K39" i="38"/>
  <c r="L39" i="38" s="1"/>
  <c r="M39" i="38"/>
  <c r="N39" i="38" s="1"/>
  <c r="E39" i="38"/>
  <c r="K10" i="17"/>
  <c r="M178" i="1" l="1"/>
  <c r="H178" i="1"/>
  <c r="C178" i="1"/>
  <c r="K177" i="1"/>
  <c r="F177" i="1"/>
  <c r="K176" i="1"/>
  <c r="F176" i="1"/>
  <c r="K178" i="1" l="1"/>
  <c r="F178" i="1"/>
  <c r="M14" i="15"/>
  <c r="K5" i="15"/>
  <c r="K38" i="38"/>
  <c r="L38" i="38" s="1"/>
  <c r="M38" i="38"/>
  <c r="N38" i="38" s="1"/>
  <c r="E38" i="38"/>
  <c r="N178" i="1" l="1"/>
  <c r="O178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K5" i="5" l="1"/>
  <c r="K9" i="17"/>
  <c r="K7" i="7"/>
  <c r="F32" i="7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K4" i="38" l="1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3" i="38" l="1"/>
  <c r="N208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3" i="16"/>
  <c r="K152" i="1"/>
  <c r="K3" i="18"/>
  <c r="K2" i="29"/>
  <c r="K2" i="7"/>
  <c r="K3" i="7"/>
  <c r="K4" i="7"/>
  <c r="K77" i="1"/>
  <c r="K2" i="14"/>
  <c r="K3" i="22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F14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F53" i="10" s="1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9" i="29" l="1"/>
  <c r="Q5" i="10"/>
  <c r="K53" i="10"/>
  <c r="Q3" i="10" s="1"/>
  <c r="Q7" i="29"/>
  <c r="Q3" i="29"/>
  <c r="Q8" i="29" s="1"/>
  <c r="K106" i="25"/>
  <c r="F6" i="1"/>
  <c r="F11" i="34"/>
  <c r="Q3" i="33"/>
  <c r="F15" i="20"/>
  <c r="K15" i="20"/>
  <c r="K14" i="15"/>
  <c r="Q5" i="18"/>
  <c r="Q3" i="18"/>
  <c r="Q2" i="34"/>
  <c r="Q5" i="34" s="1"/>
  <c r="F14" i="15"/>
  <c r="Q7" i="15" s="1"/>
  <c r="Q5" i="5"/>
  <c r="Q3" i="5"/>
  <c r="Q8" i="5" s="1"/>
  <c r="Q3" i="17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6" i="29" l="1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7" i="34" s="1"/>
  <c r="Q6" i="22"/>
  <c r="Q7" i="22" s="1"/>
  <c r="O75" i="1"/>
  <c r="N210" i="1"/>
  <c r="N214" i="1" s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58" i="1"/>
  <c r="K158" i="1"/>
  <c r="F158" i="1"/>
  <c r="H158" i="1"/>
  <c r="M106" i="25"/>
  <c r="Q3" i="25" s="1"/>
  <c r="Q6" i="25" l="1"/>
  <c r="Q7" i="25" s="1"/>
  <c r="Q8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<sst xmlns="http://schemas.openxmlformats.org/spreadsheetml/2006/main" count="2427" uniqueCount="385">
  <si>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</si>
  <si>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</si>
  <si>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</si>
  <si>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</si>
  <si>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</si>
  <si>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</si>
  <si>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</si>
  <si>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</si>
  <si>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</si>
  <si>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</si>
  <si>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</si>
  <si>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</si>
  <si>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</si>
  <si>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</si>
  <si>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</si>
  <si>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</si>
  <si>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</si>
  <si>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</si>
  <si>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</si>
  <si>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</si>
  <si>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</si>
  <si>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</si>
  <si>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</si>
  <si>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</si>
  <si>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</si>
  <si>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</si>
  <si>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</si>
  <si>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</si>
  <si>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</si>
  <si>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</si>
  <si>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</si>
  <si>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</si>
  <si>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</si>
  <si>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</si>
  <si>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</si>
  <si>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</si>
  <si>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</si>
  <si>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</si>
  <si>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</si>
  <si>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</si>
  <si>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</si>
  <si>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</si>
  <si>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</si>
  <si>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</si>
  <si>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</si>
  <si>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</si>
  <si>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</si>
  <si>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</si>
  <si>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</si>
  <si>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</si>
  <si>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</si>
  <si>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</si>
  <si>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</si>
  <si>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</si>
  <si>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</si>
  <si>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</si>
  <si>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</si>
  <si>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</si>
  <si>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</si>
  <si>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</si>
  <si>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</si>
  <si>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</si>
  <si>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</si>
  <si>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</si>
  <si>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</si>
  <si>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</si>
  <si>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</si>
  <si>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</si>
  <si>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</si>
  <si>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</si>
  <si>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</si>
  <si>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</si>
  <si>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</si>
  <si>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</si>
  <si>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</si>
  <si>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</si>
  <si>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</si>
  <si>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</si>
  <si>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</si>
  <si>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</si>
  <si>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</si>
  <si>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</si>
  <si>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</si>
  <si>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</si>
  <si>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</si>
  <si>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</si>
  <si>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</si>
  <si>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</si>
  <si>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</si>
  <si>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</si>
  <si>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</si>
  <si>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</si>
  <si>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</si>
  <si>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</si>
  <si>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</si>
  <si>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</si>
  <si>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</si>
  <si>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</si>
  <si>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</si>
  <si>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</si>
  <si>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</si>
  <si>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</si>
  <si>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</si>
  <si>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</si>
  <si>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</si>
  <si>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</si>
  <si>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</si>
  <si>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</si>
  <si>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</si>
  <si>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</si>
  <si>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</si>
  <si>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</si>
  <si>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</si>
  <si>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</si>
  <si>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</si>
  <si>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</si>
  <si>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</si>
  <si>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</si>
  <si>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</si>
  <si>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</si>
  <si>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</si>
  <si>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</si>
  <si>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</si>
  <si>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</si>
  <si>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</si>
  <si>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</si>
  <si>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</si>
  <si>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</si>
  <si>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</si>
  <si>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</si>
  <si>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</si>
  <si>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</si>
  <si>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</si>
  <si>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</si>
  <si>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</si>
  <si>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</si>
  <si>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</si>
  <si>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</si>
  <si>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</si>
  <si>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</si>
  <si>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</si>
  <si>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</si>
  <si>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</si>
  <si>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</si>
  <si>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</si>
  <si>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</si>
  <si>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</si>
  <si>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</si>
  <si>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</si>
  <si>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</si>
  <si>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introducedmemory test card HSM16G</t>
  </si>
  <si>
    <t>0.43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</si>
  <si>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</si>
  <si>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</si>
  <si>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</si>
  <si>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</si>
  <si>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</si>
  <si>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</si>
  <si>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</si>
  <si>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</si>
  <si>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</si>
  <si>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</si>
  <si>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</si>
  <si>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</si>
  <si>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</si>
  <si>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</si>
  <si>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</si>
  <si>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</si>
  <si>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</si>
  <si>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</si>
  <si>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</si>
  <si>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</si>
  <si>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</si>
  <si>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</si>
  <si>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</si>
  <si>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</si>
  <si>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</si>
  <si>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</si>
  <si>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</si>
  <si>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</si>
  <si>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</si>
  <si>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</si>
  <si>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</si>
  <si>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</si>
  <si>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</si>
  <si>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</si>
  <si>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</si>
  <si>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</si>
  <si>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</si>
  <si>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</si>
  <si>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</si>
  <si>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</si>
  <si>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</si>
  <si>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</si>
  <si>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</si>
  <si>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</si>
  <si>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</si>
  <si>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</si>
  <si>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</si>
  <si>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</si>
  <si>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</si>
  <si>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</si>
  <si>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</si>
  <si>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</si>
  <si>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</si>
  <si>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</si>
  <si>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</si>
  <si>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</si>
  <si>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</si>
  <si>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</si>
  <si>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</si>
  <si>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</si>
  <si>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</si>
  <si>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</si>
  <si>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27 - May 2 (Est.)</t>
  </si>
  <si>
    <t>Apr 19 - Apr 25 (Est.)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</si>
  <si>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</si>
  <si>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</si>
  <si>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</si>
  <si>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</si>
  <si>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</si>
  <si>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</si>
  <si>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</si>
  <si>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May 3 - May 9 (Est.)</t>
  </si>
  <si>
    <t>27-Apr-16IP Earnings announcement</t>
  </si>
  <si>
    <t>0.135 Dividend</t>
  </si>
  <si>
    <t>6.52 - 31.53</t>
  </si>
  <si>
    <t>Apr 29 - May 3 (Est.)</t>
  </si>
  <si>
    <t>11.53 - 23.51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</si>
  <si>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</si>
  <si>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</si>
  <si>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</si>
  <si>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</si>
  <si>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</si>
  <si>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</si>
  <si>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</si>
  <si>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</si>
  <si>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</si>
  <si>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</si>
  <si>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</si>
  <si>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14-Apr-16WFC Earnings announcement</t>
  </si>
  <si>
    <t>Apr 11 - Apr 15 (Est.)</t>
  </si>
  <si>
    <t>34.61 - 52.77</t>
  </si>
  <si>
    <t>Current P/L</t>
  </si>
  <si>
    <t>2/26/2016 8.00</t>
  </si>
  <si>
    <t>May 25 - May 31 (Est.)</t>
  </si>
  <si>
    <t>0.33 Dividend</t>
  </si>
  <si>
    <t>dividend</t>
  </si>
  <si>
    <t>22.22 - 43.06</t>
  </si>
  <si>
    <t>3/2/2016   8.95</t>
  </si>
  <si>
    <t>9.31 - 29.78</t>
  </si>
  <si>
    <t>32.50 - 56.49</t>
  </si>
  <si>
    <t>May 5 - May 9 (Est.)</t>
  </si>
  <si>
    <t>15.10 - 35.23</t>
  </si>
  <si>
    <t>6.14 - 14.29</t>
  </si>
  <si>
    <t>0.60 (0.43%)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</si>
  <si>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</si>
  <si>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</si>
  <si>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</si>
  <si>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</si>
  <si>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</si>
  <si>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</si>
  <si>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</si>
  <si>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</si>
  <si>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Apr 18 - Apr 22 (Est.)</t>
  </si>
  <si>
    <t>3.81 - 7.50</t>
  </si>
  <si>
    <t>4K,  240</t>
  </si>
  <si>
    <t>Minor Correction</t>
  </si>
  <si>
    <t>7K, 92</t>
  </si>
  <si>
    <t>16.5K, 17.00</t>
  </si>
  <si>
    <t>4K, 27.00</t>
  </si>
  <si>
    <t>64.51 - 107.31</t>
  </si>
  <si>
    <t>11-Apr-16AA Earnings announcement</t>
  </si>
  <si>
    <t>21-Apr-16GM Earnings announcement</t>
  </si>
  <si>
    <t>21-Apr-16BIIB Earnings announcement</t>
  </si>
  <si>
    <t>85k, 15.75</t>
  </si>
  <si>
    <t>46.23 - 68.15</t>
  </si>
  <si>
    <t>83.39 - 119.66</t>
  </si>
  <si>
    <t>19-Apr-16UNH Earnings announcement</t>
  </si>
  <si>
    <t>14.61 - 14.92</t>
  </si>
  <si>
    <t>5.27B</t>
  </si>
  <si>
    <t>1.76 (4.31%)</t>
  </si>
  <si>
    <t>32.29 - 32.75</t>
  </si>
  <si>
    <t>154.52B</t>
  </si>
  <si>
    <t>1.04 (3.26%)</t>
  </si>
  <si>
    <t>21-Apr-16NSC Earnings announcement</t>
  </si>
  <si>
    <t>1.04 (1.36%)</t>
  </si>
  <si>
    <t>34.83 - 65.83</t>
  </si>
  <si>
    <t>7.01 - 13.00</t>
  </si>
  <si>
    <t>1.96 (1.28%)</t>
  </si>
  <si>
    <t>24.62 - 37.45</t>
  </si>
  <si>
    <t>95.00 - 131.10</t>
  </si>
  <si>
    <t>23-Mar,   2000      @10.7</t>
  </si>
  <si>
    <t>12.65 x 100</t>
  </si>
  <si>
    <t>17.29 x 100</t>
  </si>
  <si>
    <t>32.23 x 100</t>
  </si>
  <si>
    <t>32.71 x 2500</t>
  </si>
  <si>
    <t>1.42 (1.45%)</t>
  </si>
  <si>
    <t>242.07 - 432.88</t>
  </si>
  <si>
    <t>10.68 x 2000</t>
  </si>
  <si>
    <t>10.70 x 500</t>
  </si>
  <si>
    <t>4-May-16MRO Earnings announcement</t>
  </si>
  <si>
    <t>N/A - N/A</t>
  </si>
  <si>
    <t>9.40B</t>
  </si>
  <si>
    <t>0.20 (1.97%)</t>
  </si>
  <si>
    <t>10.38 x 100</t>
  </si>
  <si>
    <t>10.44 x 100</t>
  </si>
  <si>
    <t>Jun 23 - Jun 27 (Est.)</t>
  </si>
  <si>
    <t>10.86B</t>
  </si>
  <si>
    <t>40.01 x 200</t>
  </si>
  <si>
    <t>41.05 x 200</t>
  </si>
  <si>
    <t>16.87B</t>
  </si>
  <si>
    <t>51.00 x 100</t>
  </si>
  <si>
    <t>52.48 x 100</t>
  </si>
  <si>
    <t>16.52B</t>
  </si>
  <si>
    <t>1.00 (1.97%)</t>
  </si>
  <si>
    <t>24.83B</t>
  </si>
  <si>
    <t>2.36 (2.89%)</t>
  </si>
  <si>
    <t>77.16 x 100</t>
  </si>
  <si>
    <t>77.48 x 100</t>
  </si>
  <si>
    <t>14.93B</t>
  </si>
  <si>
    <t>61.63 x 200</t>
  </si>
  <si>
    <t>61.87 x 300</t>
  </si>
  <si>
    <t>49.01B</t>
  </si>
  <si>
    <t>1.12 (1.82%)</t>
  </si>
  <si>
    <t>9.45 x 1300</t>
  </si>
  <si>
    <t>9.48 x 1500</t>
  </si>
  <si>
    <t>12.60B</t>
  </si>
  <si>
    <t>0.12 (1.24%)</t>
  </si>
  <si>
    <t>3.27B</t>
  </si>
  <si>
    <t>11.87B</t>
  </si>
  <si>
    <t>0.76 (1.73%)</t>
  </si>
  <si>
    <t>54.78 x 100</t>
  </si>
  <si>
    <t>58.53 x 100</t>
  </si>
  <si>
    <t>10.22B</t>
  </si>
  <si>
    <t>66.90 x 200</t>
  </si>
  <si>
    <t>67.26 x 100</t>
  </si>
  <si>
    <t>25.49B</t>
  </si>
  <si>
    <t>1.32 (1.98%)</t>
  </si>
  <si>
    <t>25.80 x 400</t>
  </si>
  <si>
    <t>25.84 x 100</t>
  </si>
  <si>
    <t>2.41B</t>
  </si>
  <si>
    <t>1.62B</t>
  </si>
  <si>
    <t>0.16 (1.75%)</t>
  </si>
  <si>
    <t>152.60 x 100</t>
  </si>
  <si>
    <t>155.49 x 100</t>
  </si>
  <si>
    <t>100.00 - 157.37</t>
  </si>
  <si>
    <t>60.32B</t>
  </si>
  <si>
    <t>47.56 x 100</t>
  </si>
  <si>
    <t>47.65 x 3000</t>
  </si>
  <si>
    <t>37.90B</t>
  </si>
  <si>
    <t>0.54 (1.10%)</t>
  </si>
  <si>
    <t>98.65 x 800</t>
  </si>
  <si>
    <t>98.83 x 600</t>
  </si>
  <si>
    <t>162.03B</t>
  </si>
  <si>
    <t>6.53B</t>
  </si>
  <si>
    <t>0.42 (7.92%)</t>
  </si>
  <si>
    <t>91.35 x 300</t>
  </si>
  <si>
    <t>91.50 x 100</t>
  </si>
  <si>
    <t>125.56B</t>
  </si>
  <si>
    <t>1.72 (1.87%)</t>
  </si>
  <si>
    <t>3.22B</t>
  </si>
  <si>
    <t>0.44 (0.83%)</t>
  </si>
  <si>
    <t>31.15 x 300</t>
  </si>
  <si>
    <t>31.29 x 500</t>
  </si>
  <si>
    <t>48.65B</t>
  </si>
  <si>
    <t>1.52 (4.90%)</t>
  </si>
  <si>
    <t>56.11B</t>
  </si>
  <si>
    <t>30.57 x 100</t>
  </si>
  <si>
    <t>33.47 x 100</t>
  </si>
  <si>
    <t>2.66B</t>
  </si>
  <si>
    <t>1.04 (3.22%)</t>
  </si>
  <si>
    <t>99.01 x 500</t>
  </si>
  <si>
    <t>100.05 x 100</t>
  </si>
  <si>
    <t>83.76B</t>
  </si>
  <si>
    <t>2.56 (2.59%)</t>
  </si>
  <si>
    <t>122.54B</t>
  </si>
  <si>
    <t>2.00 (1.55%)</t>
  </si>
  <si>
    <t>256.02 x 100</t>
  </si>
  <si>
    <t>262.00 x 100</t>
  </si>
  <si>
    <t>56.92B</t>
  </si>
  <si>
    <t>48.08 x 100</t>
  </si>
  <si>
    <t>48.18 x 500</t>
  </si>
  <si>
    <t>244.57B</t>
  </si>
  <si>
    <t>1.50 (3.12%)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</si>
</sst>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2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4" fillId="0" borderId="0" xfId="0" applyFont="1"/>
    <xf numFmtId="0" fontId="43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45" fillId="0" borderId="0" xfId="0" applyFont="1"/>
    <xf numFmtId="0" fontId="38" fillId="7" borderId="0" xfId="0" applyFont="1" applyFill="1"/>
    <xf numFmtId="166" fontId="38" fillId="7" borderId="0" xfId="0" applyNumberFormat="1" applyFont="1" applyFill="1" applyAlignment="1">
      <alignment horizontal="right"/>
    </xf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Fill="1" applyAlignment="1">
      <alignment horizont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3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156104"/>
        <c:axId val="510145128"/>
      </c:scatterChart>
      <c:valAx>
        <c:axId val="51015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45128"/>
        <c:crosses val="autoZero"/>
        <c:crossBetween val="midCat"/>
      </c:valAx>
      <c:valAx>
        <c:axId val="51014512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56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153752"/>
        <c:axId val="510149832"/>
      </c:scatterChart>
      <c:valAx>
        <c:axId val="510153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49832"/>
        <c:crosses val="autoZero"/>
        <c:crossBetween val="midCat"/>
      </c:valAx>
      <c:valAx>
        <c:axId val="51014983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53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154144"/>
        <c:axId val="510152576"/>
      </c:scatterChart>
      <c:valAx>
        <c:axId val="51015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52576"/>
        <c:crosses val="autoZero"/>
        <c:crossBetween val="midCat"/>
      </c:valAx>
      <c:valAx>
        <c:axId val="51015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54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</c:numCache>
            </c:numRef>
          </c:xVal>
          <c:yVal>
            <c:numRef>
              <c:f>Balance!$P$2:$P$170</c:f>
              <c:numCache>
                <c:formatCode>0.00%</c:formatCode>
                <c:ptCount val="1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145520"/>
        <c:axId val="510148656"/>
      </c:scatterChart>
      <c:valAx>
        <c:axId val="51014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48656"/>
        <c:crosses val="autoZero"/>
        <c:crossBetween val="midCat"/>
      </c:valAx>
      <c:valAx>
        <c:axId val="510148656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4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42460</c:v>
                </c:pt>
                <c:pt idx="1">
                  <c:v>42459</c:v>
                </c:pt>
                <c:pt idx="2">
                  <c:v>42458</c:v>
                </c:pt>
                <c:pt idx="3">
                  <c:v>42457</c:v>
                </c:pt>
                <c:pt idx="4">
                  <c:v>42453</c:v>
                </c:pt>
                <c:pt idx="5">
                  <c:v>42452</c:v>
                </c:pt>
                <c:pt idx="6">
                  <c:v>42451</c:v>
                </c:pt>
                <c:pt idx="7">
                  <c:v>42450</c:v>
                </c:pt>
                <c:pt idx="8">
                  <c:v>42447</c:v>
                </c:pt>
                <c:pt idx="9">
                  <c:v>42446</c:v>
                </c:pt>
                <c:pt idx="10">
                  <c:v>42445</c:v>
                </c:pt>
                <c:pt idx="11">
                  <c:v>42444</c:v>
                </c:pt>
                <c:pt idx="12">
                  <c:v>42443</c:v>
                </c:pt>
                <c:pt idx="13">
                  <c:v>42440</c:v>
                </c:pt>
                <c:pt idx="14">
                  <c:v>42439</c:v>
                </c:pt>
                <c:pt idx="15">
                  <c:v>42438</c:v>
                </c:pt>
                <c:pt idx="16">
                  <c:v>42437</c:v>
                </c:pt>
                <c:pt idx="17">
                  <c:v>42436</c:v>
                </c:pt>
                <c:pt idx="18">
                  <c:v>42433</c:v>
                </c:pt>
                <c:pt idx="19">
                  <c:v>42432</c:v>
                </c:pt>
                <c:pt idx="20">
                  <c:v>42431</c:v>
                </c:pt>
                <c:pt idx="21">
                  <c:v>42430</c:v>
                </c:pt>
                <c:pt idx="22">
                  <c:v>42429</c:v>
                </c:pt>
                <c:pt idx="23">
                  <c:v>42426</c:v>
                </c:pt>
                <c:pt idx="24">
                  <c:v>42425</c:v>
                </c:pt>
                <c:pt idx="25">
                  <c:v>42424</c:v>
                </c:pt>
                <c:pt idx="26">
                  <c:v>42423</c:v>
                </c:pt>
                <c:pt idx="27">
                  <c:v>42422</c:v>
                </c:pt>
                <c:pt idx="28">
                  <c:v>42419</c:v>
                </c:pt>
                <c:pt idx="29">
                  <c:v>42418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42412</c:v>
                </c:pt>
                <c:pt idx="34">
                  <c:v>42411</c:v>
                </c:pt>
                <c:pt idx="35">
                  <c:v>42410</c:v>
                </c:pt>
                <c:pt idx="36">
                  <c:v>42409</c:v>
                </c:pt>
                <c:pt idx="37">
                  <c:v>42408</c:v>
                </c:pt>
                <c:pt idx="38">
                  <c:v>42405</c:v>
                </c:pt>
                <c:pt idx="39">
                  <c:v>42404</c:v>
                </c:pt>
                <c:pt idx="40">
                  <c:v>42403</c:v>
                </c:pt>
                <c:pt idx="41">
                  <c:v>42402</c:v>
                </c:pt>
                <c:pt idx="42">
                  <c:v>42401</c:v>
                </c:pt>
                <c:pt idx="43">
                  <c:v>42398</c:v>
                </c:pt>
                <c:pt idx="44">
                  <c:v>42397</c:v>
                </c:pt>
                <c:pt idx="45">
                  <c:v>42396</c:v>
                </c:pt>
                <c:pt idx="46">
                  <c:v>42395</c:v>
                </c:pt>
                <c:pt idx="47">
                  <c:v>42394</c:v>
                </c:pt>
                <c:pt idx="48">
                  <c:v>42391</c:v>
                </c:pt>
                <c:pt idx="49">
                  <c:v>42390</c:v>
                </c:pt>
                <c:pt idx="50">
                  <c:v>42389</c:v>
                </c:pt>
                <c:pt idx="51">
                  <c:v>42388</c:v>
                </c:pt>
                <c:pt idx="52">
                  <c:v>42384</c:v>
                </c:pt>
                <c:pt idx="53">
                  <c:v>42383</c:v>
                </c:pt>
                <c:pt idx="54">
                  <c:v>42382</c:v>
                </c:pt>
                <c:pt idx="55">
                  <c:v>42381</c:v>
                </c:pt>
                <c:pt idx="56">
                  <c:v>42380</c:v>
                </c:pt>
                <c:pt idx="57">
                  <c:v>42377</c:v>
                </c:pt>
                <c:pt idx="58">
                  <c:v>42376</c:v>
                </c:pt>
                <c:pt idx="59">
                  <c:v>42375</c:v>
                </c:pt>
                <c:pt idx="60">
                  <c:v>42374</c:v>
                </c:pt>
                <c:pt idx="61">
                  <c:v>42373</c:v>
                </c:pt>
                <c:pt idx="62">
                  <c:v>42369</c:v>
                </c:pt>
                <c:pt idx="63">
                  <c:v>42368</c:v>
                </c:pt>
                <c:pt idx="64">
                  <c:v>42367</c:v>
                </c:pt>
                <c:pt idx="65">
                  <c:v>42366</c:v>
                </c:pt>
                <c:pt idx="66">
                  <c:v>42362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11.14</c:v>
                </c:pt>
                <c:pt idx="1">
                  <c:v>10.53</c:v>
                </c:pt>
                <c:pt idx="2">
                  <c:v>10.4</c:v>
                </c:pt>
                <c:pt idx="3">
                  <c:v>10.16</c:v>
                </c:pt>
                <c:pt idx="4">
                  <c:v>10.29</c:v>
                </c:pt>
                <c:pt idx="5">
                  <c:v>10.19</c:v>
                </c:pt>
                <c:pt idx="6">
                  <c:v>11.31</c:v>
                </c:pt>
                <c:pt idx="7">
                  <c:v>11.43</c:v>
                </c:pt>
                <c:pt idx="8">
                  <c:v>11.63</c:v>
                </c:pt>
                <c:pt idx="9">
                  <c:v>11.45</c:v>
                </c:pt>
                <c:pt idx="10">
                  <c:v>11.52</c:v>
                </c:pt>
                <c:pt idx="11">
                  <c:v>11.31</c:v>
                </c:pt>
                <c:pt idx="12">
                  <c:v>11.09</c:v>
                </c:pt>
                <c:pt idx="13">
                  <c:v>11.16</c:v>
                </c:pt>
                <c:pt idx="14">
                  <c:v>10.59</c:v>
                </c:pt>
                <c:pt idx="15">
                  <c:v>10.48</c:v>
                </c:pt>
                <c:pt idx="16">
                  <c:v>10.119999999999999</c:v>
                </c:pt>
                <c:pt idx="17">
                  <c:v>11.03</c:v>
                </c:pt>
                <c:pt idx="18">
                  <c:v>11</c:v>
                </c:pt>
                <c:pt idx="19">
                  <c:v>9.9700000000000006</c:v>
                </c:pt>
                <c:pt idx="20">
                  <c:v>9.1</c:v>
                </c:pt>
                <c:pt idx="21">
                  <c:v>7.96</c:v>
                </c:pt>
                <c:pt idx="22">
                  <c:v>8.2100000000000009</c:v>
                </c:pt>
                <c:pt idx="23">
                  <c:v>8.0299999999999994</c:v>
                </c:pt>
                <c:pt idx="24">
                  <c:v>7.39</c:v>
                </c:pt>
                <c:pt idx="25">
                  <c:v>7.22</c:v>
                </c:pt>
                <c:pt idx="26">
                  <c:v>7.03</c:v>
                </c:pt>
                <c:pt idx="27">
                  <c:v>7.49</c:v>
                </c:pt>
                <c:pt idx="28">
                  <c:v>6.73</c:v>
                </c:pt>
                <c:pt idx="29">
                  <c:v>6.93</c:v>
                </c:pt>
                <c:pt idx="30">
                  <c:v>7.41</c:v>
                </c:pt>
                <c:pt idx="31">
                  <c:v>7.4</c:v>
                </c:pt>
                <c:pt idx="32">
                  <c:v>7.49</c:v>
                </c:pt>
                <c:pt idx="34">
                  <c:v>7.06</c:v>
                </c:pt>
                <c:pt idx="35">
                  <c:v>7.13</c:v>
                </c:pt>
                <c:pt idx="36">
                  <c:v>7.29</c:v>
                </c:pt>
                <c:pt idx="37">
                  <c:v>7.82</c:v>
                </c:pt>
                <c:pt idx="38">
                  <c:v>8.4600000000000009</c:v>
                </c:pt>
                <c:pt idx="39">
                  <c:v>9.19</c:v>
                </c:pt>
                <c:pt idx="40">
                  <c:v>9.42</c:v>
                </c:pt>
                <c:pt idx="41">
                  <c:v>8.74</c:v>
                </c:pt>
                <c:pt idx="42">
                  <c:v>9.74</c:v>
                </c:pt>
                <c:pt idx="43">
                  <c:v>9.73</c:v>
                </c:pt>
                <c:pt idx="44">
                  <c:v>9.17</c:v>
                </c:pt>
                <c:pt idx="45">
                  <c:v>8.75</c:v>
                </c:pt>
                <c:pt idx="46">
                  <c:v>8.4499999999999993</c:v>
                </c:pt>
                <c:pt idx="47">
                  <c:v>8.14</c:v>
                </c:pt>
                <c:pt idx="48">
                  <c:v>9.02</c:v>
                </c:pt>
                <c:pt idx="49">
                  <c:v>8.7899999999999991</c:v>
                </c:pt>
                <c:pt idx="50">
                  <c:v>7.86</c:v>
                </c:pt>
                <c:pt idx="51">
                  <c:v>7.68</c:v>
                </c:pt>
                <c:pt idx="52">
                  <c:v>8.14</c:v>
                </c:pt>
                <c:pt idx="53">
                  <c:v>9.07</c:v>
                </c:pt>
                <c:pt idx="54">
                  <c:v>8.5399999999999991</c:v>
                </c:pt>
                <c:pt idx="55">
                  <c:v>9.19</c:v>
                </c:pt>
                <c:pt idx="56">
                  <c:v>9.6199999999999992</c:v>
                </c:pt>
                <c:pt idx="57">
                  <c:v>10.35</c:v>
                </c:pt>
                <c:pt idx="58">
                  <c:v>10.67</c:v>
                </c:pt>
                <c:pt idx="59">
                  <c:v>11.28</c:v>
                </c:pt>
                <c:pt idx="60">
                  <c:v>12.76</c:v>
                </c:pt>
                <c:pt idx="61">
                  <c:v>12.82</c:v>
                </c:pt>
                <c:pt idx="62">
                  <c:v>12.59</c:v>
                </c:pt>
                <c:pt idx="63">
                  <c:v>12.38</c:v>
                </c:pt>
                <c:pt idx="64">
                  <c:v>13.03</c:v>
                </c:pt>
                <c:pt idx="65">
                  <c:v>12.98</c:v>
                </c:pt>
                <c:pt idx="66">
                  <c:v>13.93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144344"/>
        <c:axId val="510146304"/>
      </c:lineChart>
      <c:dateAx>
        <c:axId val="51014434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46304"/>
        <c:crosses val="autoZero"/>
        <c:auto val="1"/>
        <c:lblOffset val="100"/>
        <c:baseTimeUnit val="days"/>
      </c:dateAx>
      <c:valAx>
        <c:axId val="51014630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4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42460</c:v>
                </c:pt>
                <c:pt idx="1">
                  <c:v>42459</c:v>
                </c:pt>
                <c:pt idx="2">
                  <c:v>42458</c:v>
                </c:pt>
                <c:pt idx="3">
                  <c:v>42457</c:v>
                </c:pt>
                <c:pt idx="4">
                  <c:v>42453</c:v>
                </c:pt>
                <c:pt idx="5">
                  <c:v>42452</c:v>
                </c:pt>
                <c:pt idx="6">
                  <c:v>42451</c:v>
                </c:pt>
                <c:pt idx="7">
                  <c:v>42450</c:v>
                </c:pt>
                <c:pt idx="8">
                  <c:v>42447</c:v>
                </c:pt>
                <c:pt idx="9">
                  <c:v>42446</c:v>
                </c:pt>
                <c:pt idx="10">
                  <c:v>42445</c:v>
                </c:pt>
                <c:pt idx="11">
                  <c:v>42444</c:v>
                </c:pt>
                <c:pt idx="12">
                  <c:v>42443</c:v>
                </c:pt>
                <c:pt idx="13">
                  <c:v>42440</c:v>
                </c:pt>
                <c:pt idx="14">
                  <c:v>42439</c:v>
                </c:pt>
                <c:pt idx="15">
                  <c:v>42438</c:v>
                </c:pt>
                <c:pt idx="16">
                  <c:v>42437</c:v>
                </c:pt>
                <c:pt idx="17">
                  <c:v>42436</c:v>
                </c:pt>
                <c:pt idx="18">
                  <c:v>42433</c:v>
                </c:pt>
                <c:pt idx="19">
                  <c:v>42432</c:v>
                </c:pt>
                <c:pt idx="20">
                  <c:v>42431</c:v>
                </c:pt>
                <c:pt idx="21">
                  <c:v>42430</c:v>
                </c:pt>
                <c:pt idx="22">
                  <c:v>42429</c:v>
                </c:pt>
                <c:pt idx="23">
                  <c:v>42426</c:v>
                </c:pt>
                <c:pt idx="24">
                  <c:v>42425</c:v>
                </c:pt>
                <c:pt idx="25">
                  <c:v>42424</c:v>
                </c:pt>
                <c:pt idx="26">
                  <c:v>42423</c:v>
                </c:pt>
                <c:pt idx="27">
                  <c:v>42422</c:v>
                </c:pt>
                <c:pt idx="28">
                  <c:v>42419</c:v>
                </c:pt>
                <c:pt idx="29">
                  <c:v>42418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15.17</c:v>
                </c:pt>
                <c:pt idx="1">
                  <c:v>14.77</c:v>
                </c:pt>
                <c:pt idx="2">
                  <c:v>14.6</c:v>
                </c:pt>
                <c:pt idx="3">
                  <c:v>14.33</c:v>
                </c:pt>
                <c:pt idx="4">
                  <c:v>14.18</c:v>
                </c:pt>
                <c:pt idx="5">
                  <c:v>14.24</c:v>
                </c:pt>
                <c:pt idx="6">
                  <c:v>14.65</c:v>
                </c:pt>
                <c:pt idx="7">
                  <c:v>14.66</c:v>
                </c:pt>
                <c:pt idx="8">
                  <c:v>14.98</c:v>
                </c:pt>
                <c:pt idx="9">
                  <c:v>14.66</c:v>
                </c:pt>
                <c:pt idx="10">
                  <c:v>14.55</c:v>
                </c:pt>
                <c:pt idx="11">
                  <c:v>14.28</c:v>
                </c:pt>
                <c:pt idx="12">
                  <c:v>14.45</c:v>
                </c:pt>
                <c:pt idx="13">
                  <c:v>14.66</c:v>
                </c:pt>
                <c:pt idx="14">
                  <c:v>14.18</c:v>
                </c:pt>
                <c:pt idx="15">
                  <c:v>13.79</c:v>
                </c:pt>
                <c:pt idx="16">
                  <c:v>13.52</c:v>
                </c:pt>
                <c:pt idx="17">
                  <c:v>14.19</c:v>
                </c:pt>
                <c:pt idx="18">
                  <c:v>14.14</c:v>
                </c:pt>
                <c:pt idx="19">
                  <c:v>13.88</c:v>
                </c:pt>
                <c:pt idx="20">
                  <c:v>13.3</c:v>
                </c:pt>
                <c:pt idx="21">
                  <c:v>12.82</c:v>
                </c:pt>
                <c:pt idx="22">
                  <c:v>12.56</c:v>
                </c:pt>
                <c:pt idx="23">
                  <c:v>12.37</c:v>
                </c:pt>
                <c:pt idx="24">
                  <c:v>12.52</c:v>
                </c:pt>
                <c:pt idx="25">
                  <c:v>12.56</c:v>
                </c:pt>
                <c:pt idx="26">
                  <c:v>12.21</c:v>
                </c:pt>
                <c:pt idx="27">
                  <c:v>12.3</c:v>
                </c:pt>
                <c:pt idx="28">
                  <c:v>12.21</c:v>
                </c:pt>
                <c:pt idx="29">
                  <c:v>12.99</c:v>
                </c:pt>
                <c:pt idx="30">
                  <c:v>13.09</c:v>
                </c:pt>
                <c:pt idx="31">
                  <c:v>12.99</c:v>
                </c:pt>
                <c:pt idx="32">
                  <c:v>12.35</c:v>
                </c:pt>
                <c:pt idx="33">
                  <c:v>13.21</c:v>
                </c:pt>
                <c:pt idx="34">
                  <c:v>14.37</c:v>
                </c:pt>
                <c:pt idx="35">
                  <c:v>14.58</c:v>
                </c:pt>
                <c:pt idx="36">
                  <c:v>14.14</c:v>
                </c:pt>
                <c:pt idx="37">
                  <c:v>15.31</c:v>
                </c:pt>
                <c:pt idx="38">
                  <c:v>15.81</c:v>
                </c:pt>
                <c:pt idx="39">
                  <c:v>15.94</c:v>
                </c:pt>
                <c:pt idx="40">
                  <c:v>15.18</c:v>
                </c:pt>
                <c:pt idx="41">
                  <c:v>15.26</c:v>
                </c:pt>
                <c:pt idx="42">
                  <c:v>15.31</c:v>
                </c:pt>
                <c:pt idx="43">
                  <c:v>14.42</c:v>
                </c:pt>
                <c:pt idx="44">
                  <c:v>14.25</c:v>
                </c:pt>
                <c:pt idx="45">
                  <c:v>13.86</c:v>
                </c:pt>
                <c:pt idx="46">
                  <c:v>13.35</c:v>
                </c:pt>
                <c:pt idx="47">
                  <c:v>14.51</c:v>
                </c:pt>
                <c:pt idx="48">
                  <c:v>14.54</c:v>
                </c:pt>
                <c:pt idx="49">
                  <c:v>14.18</c:v>
                </c:pt>
                <c:pt idx="50">
                  <c:v>14.01</c:v>
                </c:pt>
                <c:pt idx="51">
                  <c:v>13.63</c:v>
                </c:pt>
                <c:pt idx="52">
                  <c:v>14.31</c:v>
                </c:pt>
                <c:pt idx="53">
                  <c:v>13.33</c:v>
                </c:pt>
                <c:pt idx="54">
                  <c:v>13.69</c:v>
                </c:pt>
                <c:pt idx="55">
                  <c:v>14.41</c:v>
                </c:pt>
                <c:pt idx="56">
                  <c:v>14.53</c:v>
                </c:pt>
                <c:pt idx="57">
                  <c:v>14.35</c:v>
                </c:pt>
                <c:pt idx="58">
                  <c:v>14.34</c:v>
                </c:pt>
                <c:pt idx="59">
                  <c:v>14.68</c:v>
                </c:pt>
                <c:pt idx="60">
                  <c:v>14.45</c:v>
                </c:pt>
                <c:pt idx="61">
                  <c:v>14.47</c:v>
                </c:pt>
                <c:pt idx="62">
                  <c:v>14.21</c:v>
                </c:pt>
                <c:pt idx="63">
                  <c:v>14.58</c:v>
                </c:pt>
                <c:pt idx="64">
                  <c:v>14.35</c:v>
                </c:pt>
                <c:pt idx="65">
                  <c:v>14.46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151400"/>
        <c:axId val="510143952"/>
      </c:lineChart>
      <c:dateAx>
        <c:axId val="5101514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43952"/>
        <c:crosses val="autoZero"/>
        <c:auto val="1"/>
        <c:lblOffset val="100"/>
        <c:baseTimeUnit val="days"/>
      </c:dateAx>
      <c:valAx>
        <c:axId val="51014395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5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42460</c:v>
                </c:pt>
                <c:pt idx="1">
                  <c:v>42459</c:v>
                </c:pt>
                <c:pt idx="2">
                  <c:v>42458</c:v>
                </c:pt>
                <c:pt idx="3">
                  <c:v>42457</c:v>
                </c:pt>
                <c:pt idx="4">
                  <c:v>42453</c:v>
                </c:pt>
                <c:pt idx="5">
                  <c:v>42452</c:v>
                </c:pt>
                <c:pt idx="6">
                  <c:v>42451</c:v>
                </c:pt>
                <c:pt idx="7">
                  <c:v>42450</c:v>
                </c:pt>
                <c:pt idx="8">
                  <c:v>42447</c:v>
                </c:pt>
                <c:pt idx="9">
                  <c:v>42446</c:v>
                </c:pt>
                <c:pt idx="10">
                  <c:v>42445</c:v>
                </c:pt>
                <c:pt idx="11">
                  <c:v>42444</c:v>
                </c:pt>
                <c:pt idx="12">
                  <c:v>42443</c:v>
                </c:pt>
                <c:pt idx="13">
                  <c:v>42440</c:v>
                </c:pt>
                <c:pt idx="14">
                  <c:v>42439</c:v>
                </c:pt>
                <c:pt idx="15">
                  <c:v>42438</c:v>
                </c:pt>
                <c:pt idx="16">
                  <c:v>42437</c:v>
                </c:pt>
                <c:pt idx="17">
                  <c:v>42436</c:v>
                </c:pt>
                <c:pt idx="18">
                  <c:v>42433</c:v>
                </c:pt>
                <c:pt idx="19">
                  <c:v>42432</c:v>
                </c:pt>
                <c:pt idx="20">
                  <c:v>42431</c:v>
                </c:pt>
                <c:pt idx="21">
                  <c:v>42430</c:v>
                </c:pt>
                <c:pt idx="22">
                  <c:v>42429</c:v>
                </c:pt>
                <c:pt idx="23">
                  <c:v>42426</c:v>
                </c:pt>
                <c:pt idx="24">
                  <c:v>42425</c:v>
                </c:pt>
                <c:pt idx="25">
                  <c:v>42424</c:v>
                </c:pt>
                <c:pt idx="26">
                  <c:v>42423</c:v>
                </c:pt>
                <c:pt idx="27">
                  <c:v>42422</c:v>
                </c:pt>
                <c:pt idx="28">
                  <c:v>42419</c:v>
                </c:pt>
                <c:pt idx="29">
                  <c:v>42418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10.47</c:v>
                </c:pt>
                <c:pt idx="1">
                  <c:v>10.48</c:v>
                </c:pt>
                <c:pt idx="2">
                  <c:v>10.45</c:v>
                </c:pt>
                <c:pt idx="3">
                  <c:v>10.38</c:v>
                </c:pt>
                <c:pt idx="4">
                  <c:v>10.5</c:v>
                </c:pt>
                <c:pt idx="5">
                  <c:v>10.65</c:v>
                </c:pt>
                <c:pt idx="6">
                  <c:v>11.44</c:v>
                </c:pt>
                <c:pt idx="7">
                  <c:v>11.53</c:v>
                </c:pt>
                <c:pt idx="8">
                  <c:v>11.14</c:v>
                </c:pt>
                <c:pt idx="9">
                  <c:v>10.87</c:v>
                </c:pt>
                <c:pt idx="10">
                  <c:v>10.72</c:v>
                </c:pt>
                <c:pt idx="11">
                  <c:v>10.85</c:v>
                </c:pt>
                <c:pt idx="12">
                  <c:v>11.15</c:v>
                </c:pt>
                <c:pt idx="13">
                  <c:v>11.39</c:v>
                </c:pt>
                <c:pt idx="14">
                  <c:v>10.88</c:v>
                </c:pt>
                <c:pt idx="15">
                  <c:v>10.81</c:v>
                </c:pt>
                <c:pt idx="16">
                  <c:v>10.66</c:v>
                </c:pt>
                <c:pt idx="17">
                  <c:v>11.58</c:v>
                </c:pt>
                <c:pt idx="18">
                  <c:v>11.88</c:v>
                </c:pt>
                <c:pt idx="19">
                  <c:v>11.79</c:v>
                </c:pt>
                <c:pt idx="20">
                  <c:v>11.68</c:v>
                </c:pt>
                <c:pt idx="21">
                  <c:v>11.07</c:v>
                </c:pt>
                <c:pt idx="22">
                  <c:v>10.63</c:v>
                </c:pt>
                <c:pt idx="23">
                  <c:v>10.7</c:v>
                </c:pt>
                <c:pt idx="24">
                  <c:v>10.72</c:v>
                </c:pt>
                <c:pt idx="25">
                  <c:v>10.64</c:v>
                </c:pt>
                <c:pt idx="26">
                  <c:v>10.49</c:v>
                </c:pt>
                <c:pt idx="27">
                  <c:v>11.05</c:v>
                </c:pt>
                <c:pt idx="28">
                  <c:v>11.16</c:v>
                </c:pt>
                <c:pt idx="29">
                  <c:v>11.49</c:v>
                </c:pt>
                <c:pt idx="30">
                  <c:v>11.43</c:v>
                </c:pt>
                <c:pt idx="31">
                  <c:v>10.81</c:v>
                </c:pt>
                <c:pt idx="32">
                  <c:v>10.02</c:v>
                </c:pt>
                <c:pt idx="33">
                  <c:v>9.69</c:v>
                </c:pt>
                <c:pt idx="34">
                  <c:v>9.9</c:v>
                </c:pt>
                <c:pt idx="35">
                  <c:v>9.98</c:v>
                </c:pt>
                <c:pt idx="36">
                  <c:v>10.17</c:v>
                </c:pt>
                <c:pt idx="37">
                  <c:v>11</c:v>
                </c:pt>
                <c:pt idx="38">
                  <c:v>11.23</c:v>
                </c:pt>
                <c:pt idx="39">
                  <c:v>10.76</c:v>
                </c:pt>
                <c:pt idx="40">
                  <c:v>10.59</c:v>
                </c:pt>
                <c:pt idx="41">
                  <c:v>10.96</c:v>
                </c:pt>
                <c:pt idx="42">
                  <c:v>11.03</c:v>
                </c:pt>
                <c:pt idx="43">
                  <c:v>9.89</c:v>
                </c:pt>
                <c:pt idx="44">
                  <c:v>10.39</c:v>
                </c:pt>
                <c:pt idx="45">
                  <c:v>10.55</c:v>
                </c:pt>
                <c:pt idx="46">
                  <c:v>10.48</c:v>
                </c:pt>
                <c:pt idx="47">
                  <c:v>11.07</c:v>
                </c:pt>
                <c:pt idx="48">
                  <c:v>10.85</c:v>
                </c:pt>
                <c:pt idx="49">
                  <c:v>10.050000000000001</c:v>
                </c:pt>
                <c:pt idx="50">
                  <c:v>10.8</c:v>
                </c:pt>
                <c:pt idx="51">
                  <c:v>11.08</c:v>
                </c:pt>
                <c:pt idx="52">
                  <c:v>12.02</c:v>
                </c:pt>
                <c:pt idx="53">
                  <c:v>12.06</c:v>
                </c:pt>
                <c:pt idx="54">
                  <c:v>12.72</c:v>
                </c:pt>
                <c:pt idx="55">
                  <c:v>12.53</c:v>
                </c:pt>
                <c:pt idx="56">
                  <c:v>13.33</c:v>
                </c:pt>
                <c:pt idx="57">
                  <c:v>13.66</c:v>
                </c:pt>
                <c:pt idx="58">
                  <c:v>14.22</c:v>
                </c:pt>
                <c:pt idx="59">
                  <c:v>14.82</c:v>
                </c:pt>
                <c:pt idx="60">
                  <c:v>14.33</c:v>
                </c:pt>
                <c:pt idx="61">
                  <c:v>14.16</c:v>
                </c:pt>
                <c:pt idx="62">
                  <c:v>14.16</c:v>
                </c:pt>
                <c:pt idx="63">
                  <c:v>14.34</c:v>
                </c:pt>
                <c:pt idx="64">
                  <c:v>14.19</c:v>
                </c:pt>
                <c:pt idx="65">
                  <c:v>14.48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157280"/>
        <c:axId val="510157672"/>
      </c:lineChart>
      <c:dateAx>
        <c:axId val="510157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57672"/>
        <c:crosses val="autoZero"/>
        <c:auto val="1"/>
        <c:lblOffset val="100"/>
        <c:baseTimeUnit val="days"/>
      </c:dateAx>
      <c:valAx>
        <c:axId val="51015767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5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42460</c:v>
                </c:pt>
                <c:pt idx="1">
                  <c:v>42459</c:v>
                </c:pt>
                <c:pt idx="2">
                  <c:v>42458</c:v>
                </c:pt>
                <c:pt idx="3">
                  <c:v>42457</c:v>
                </c:pt>
                <c:pt idx="4">
                  <c:v>42453</c:v>
                </c:pt>
                <c:pt idx="5">
                  <c:v>42452</c:v>
                </c:pt>
                <c:pt idx="6">
                  <c:v>42451</c:v>
                </c:pt>
                <c:pt idx="7">
                  <c:v>42450</c:v>
                </c:pt>
                <c:pt idx="8">
                  <c:v>42447</c:v>
                </c:pt>
                <c:pt idx="9">
                  <c:v>42446</c:v>
                </c:pt>
                <c:pt idx="10">
                  <c:v>42445</c:v>
                </c:pt>
                <c:pt idx="11">
                  <c:v>42444</c:v>
                </c:pt>
                <c:pt idx="12">
                  <c:v>42443</c:v>
                </c:pt>
                <c:pt idx="13">
                  <c:v>42440</c:v>
                </c:pt>
                <c:pt idx="14">
                  <c:v>42439</c:v>
                </c:pt>
                <c:pt idx="15">
                  <c:v>42438</c:v>
                </c:pt>
                <c:pt idx="16">
                  <c:v>42437</c:v>
                </c:pt>
                <c:pt idx="17">
                  <c:v>42436</c:v>
                </c:pt>
                <c:pt idx="18">
                  <c:v>42433</c:v>
                </c:pt>
                <c:pt idx="19">
                  <c:v>42432</c:v>
                </c:pt>
                <c:pt idx="20">
                  <c:v>42431</c:v>
                </c:pt>
                <c:pt idx="21">
                  <c:v>42430</c:v>
                </c:pt>
                <c:pt idx="22">
                  <c:v>42429</c:v>
                </c:pt>
                <c:pt idx="23">
                  <c:v>42426</c:v>
                </c:pt>
                <c:pt idx="24">
                  <c:v>42425</c:v>
                </c:pt>
                <c:pt idx="25">
                  <c:v>42424</c:v>
                </c:pt>
                <c:pt idx="26">
                  <c:v>42423</c:v>
                </c:pt>
                <c:pt idx="27">
                  <c:v>42422</c:v>
                </c:pt>
                <c:pt idx="28">
                  <c:v>42419</c:v>
                </c:pt>
                <c:pt idx="29">
                  <c:v>42418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42411</c:v>
                </c:pt>
                <c:pt idx="34">
                  <c:v>42411</c:v>
                </c:pt>
                <c:pt idx="35">
                  <c:v>42410</c:v>
                </c:pt>
                <c:pt idx="36">
                  <c:v>42409</c:v>
                </c:pt>
                <c:pt idx="37">
                  <c:v>42408</c:v>
                </c:pt>
                <c:pt idx="38">
                  <c:v>42405</c:v>
                </c:pt>
                <c:pt idx="39">
                  <c:v>42404</c:v>
                </c:pt>
                <c:pt idx="40">
                  <c:v>42403</c:v>
                </c:pt>
                <c:pt idx="41">
                  <c:v>42402</c:v>
                </c:pt>
                <c:pt idx="42">
                  <c:v>42401</c:v>
                </c:pt>
                <c:pt idx="43">
                  <c:v>42398</c:v>
                </c:pt>
                <c:pt idx="44">
                  <c:v>42397</c:v>
                </c:pt>
                <c:pt idx="45">
                  <c:v>42396</c:v>
                </c:pt>
                <c:pt idx="46">
                  <c:v>42395</c:v>
                </c:pt>
                <c:pt idx="47">
                  <c:v>42394</c:v>
                </c:pt>
                <c:pt idx="48">
                  <c:v>42391</c:v>
                </c:pt>
                <c:pt idx="49">
                  <c:v>42390</c:v>
                </c:pt>
                <c:pt idx="50">
                  <c:v>42389</c:v>
                </c:pt>
                <c:pt idx="51">
                  <c:v>42388</c:v>
                </c:pt>
                <c:pt idx="52">
                  <c:v>42384</c:v>
                </c:pt>
                <c:pt idx="53">
                  <c:v>42383</c:v>
                </c:pt>
                <c:pt idx="54">
                  <c:v>42382</c:v>
                </c:pt>
                <c:pt idx="55">
                  <c:v>42381</c:v>
                </c:pt>
                <c:pt idx="56">
                  <c:v>42380</c:v>
                </c:pt>
                <c:pt idx="57">
                  <c:v>42377</c:v>
                </c:pt>
                <c:pt idx="58">
                  <c:v>42376</c:v>
                </c:pt>
                <c:pt idx="59">
                  <c:v>42375</c:v>
                </c:pt>
                <c:pt idx="60">
                  <c:v>42374</c:v>
                </c:pt>
                <c:pt idx="61">
                  <c:v>42373</c:v>
                </c:pt>
                <c:pt idx="62">
                  <c:v>42369</c:v>
                </c:pt>
                <c:pt idx="63">
                  <c:v>42368</c:v>
                </c:pt>
                <c:pt idx="64">
                  <c:v>42367</c:v>
                </c:pt>
                <c:pt idx="65">
                  <c:v>42366</c:v>
                </c:pt>
                <c:pt idx="66">
                  <c:v>42362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41.04</c:v>
                </c:pt>
                <c:pt idx="1">
                  <c:v>41</c:v>
                </c:pt>
                <c:pt idx="2">
                  <c:v>41.34</c:v>
                </c:pt>
                <c:pt idx="3">
                  <c:v>40.86</c:v>
                </c:pt>
                <c:pt idx="4">
                  <c:v>40.79</c:v>
                </c:pt>
                <c:pt idx="5">
                  <c:v>40.71</c:v>
                </c:pt>
                <c:pt idx="6">
                  <c:v>41.28</c:v>
                </c:pt>
                <c:pt idx="7">
                  <c:v>41.46</c:v>
                </c:pt>
                <c:pt idx="8">
                  <c:v>40.94</c:v>
                </c:pt>
                <c:pt idx="9">
                  <c:v>41.27</c:v>
                </c:pt>
                <c:pt idx="10">
                  <c:v>40.39</c:v>
                </c:pt>
                <c:pt idx="11">
                  <c:v>39.47</c:v>
                </c:pt>
                <c:pt idx="12">
                  <c:v>40.01</c:v>
                </c:pt>
                <c:pt idx="13">
                  <c:v>39.9</c:v>
                </c:pt>
                <c:pt idx="14">
                  <c:v>39.25</c:v>
                </c:pt>
                <c:pt idx="15">
                  <c:v>38.549999999999997</c:v>
                </c:pt>
                <c:pt idx="16">
                  <c:v>37.83</c:v>
                </c:pt>
                <c:pt idx="17">
                  <c:v>38.92</c:v>
                </c:pt>
                <c:pt idx="18">
                  <c:v>38.729999999999997</c:v>
                </c:pt>
                <c:pt idx="19">
                  <c:v>38.31</c:v>
                </c:pt>
                <c:pt idx="20">
                  <c:v>36.78</c:v>
                </c:pt>
                <c:pt idx="21">
                  <c:v>36.64</c:v>
                </c:pt>
                <c:pt idx="22">
                  <c:v>35.700000000000003</c:v>
                </c:pt>
                <c:pt idx="23">
                  <c:v>35.24</c:v>
                </c:pt>
                <c:pt idx="24">
                  <c:v>34.79</c:v>
                </c:pt>
                <c:pt idx="25">
                  <c:v>34.71</c:v>
                </c:pt>
                <c:pt idx="26">
                  <c:v>34.19</c:v>
                </c:pt>
                <c:pt idx="27">
                  <c:v>34.35</c:v>
                </c:pt>
                <c:pt idx="28">
                  <c:v>34.01</c:v>
                </c:pt>
                <c:pt idx="29">
                  <c:v>35.32</c:v>
                </c:pt>
                <c:pt idx="30">
                  <c:v>35.58</c:v>
                </c:pt>
                <c:pt idx="31">
                  <c:v>35.1</c:v>
                </c:pt>
                <c:pt idx="32">
                  <c:v>34.159999999999997</c:v>
                </c:pt>
                <c:pt idx="33">
                  <c:v>33.119999999999997</c:v>
                </c:pt>
                <c:pt idx="35">
                  <c:v>34.78</c:v>
                </c:pt>
                <c:pt idx="36">
                  <c:v>35.130000000000003</c:v>
                </c:pt>
                <c:pt idx="37">
                  <c:v>34.36</c:v>
                </c:pt>
                <c:pt idx="38">
                  <c:v>34.97</c:v>
                </c:pt>
                <c:pt idx="39">
                  <c:v>35.07</c:v>
                </c:pt>
                <c:pt idx="40">
                  <c:v>34.17</c:v>
                </c:pt>
                <c:pt idx="41">
                  <c:v>33.86</c:v>
                </c:pt>
                <c:pt idx="42">
                  <c:v>34.090000000000003</c:v>
                </c:pt>
                <c:pt idx="43">
                  <c:v>34.21</c:v>
                </c:pt>
                <c:pt idx="44">
                  <c:v>32.65</c:v>
                </c:pt>
                <c:pt idx="45">
                  <c:v>32.909999999999997</c:v>
                </c:pt>
                <c:pt idx="46">
                  <c:v>32.869999999999997</c:v>
                </c:pt>
                <c:pt idx="47">
                  <c:v>32.58</c:v>
                </c:pt>
                <c:pt idx="48">
                  <c:v>36.450000000000003</c:v>
                </c:pt>
                <c:pt idx="49">
                  <c:v>35.46</c:v>
                </c:pt>
                <c:pt idx="50">
                  <c:v>35.29</c:v>
                </c:pt>
                <c:pt idx="51">
                  <c:v>35.64</c:v>
                </c:pt>
                <c:pt idx="52">
                  <c:v>36.42</c:v>
                </c:pt>
                <c:pt idx="53">
                  <c:v>36.54</c:v>
                </c:pt>
                <c:pt idx="54">
                  <c:v>36.049999999999997</c:v>
                </c:pt>
                <c:pt idx="55">
                  <c:v>36.35</c:v>
                </c:pt>
                <c:pt idx="56">
                  <c:v>36.4</c:v>
                </c:pt>
                <c:pt idx="57">
                  <c:v>35.9</c:v>
                </c:pt>
                <c:pt idx="58">
                  <c:v>36.29</c:v>
                </c:pt>
                <c:pt idx="59">
                  <c:v>37.39</c:v>
                </c:pt>
                <c:pt idx="60">
                  <c:v>37.99</c:v>
                </c:pt>
                <c:pt idx="61">
                  <c:v>37.67</c:v>
                </c:pt>
                <c:pt idx="62">
                  <c:v>37.700000000000003</c:v>
                </c:pt>
                <c:pt idx="63">
                  <c:v>38.200000000000003</c:v>
                </c:pt>
                <c:pt idx="64">
                  <c:v>38.65</c:v>
                </c:pt>
                <c:pt idx="65">
                  <c:v>38.119999999999997</c:v>
                </c:pt>
                <c:pt idx="66">
                  <c:v>38.520000000000003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153360"/>
        <c:axId val="510154928"/>
      </c:lineChart>
      <c:dateAx>
        <c:axId val="510153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54928"/>
        <c:crosses val="autoZero"/>
        <c:auto val="1"/>
        <c:lblOffset val="100"/>
        <c:baseTimeUnit val="days"/>
      </c:dateAx>
      <c:valAx>
        <c:axId val="51015492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5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31-Mar-16</c:v>
                </c:pt>
                <c:pt idx="1">
                  <c:v>30-Mar-16</c:v>
                </c:pt>
                <c:pt idx="2">
                  <c:v>29-Mar-16</c:v>
                </c:pt>
                <c:pt idx="3">
                  <c:v>28-Mar-16</c:v>
                </c:pt>
                <c:pt idx="4">
                  <c:v>24-Mar-16</c:v>
                </c:pt>
                <c:pt idx="5">
                  <c:v>23-Mar-16</c:v>
                </c:pt>
                <c:pt idx="6">
                  <c:v>22-Mar-16</c:v>
                </c:pt>
                <c:pt idx="7">
                  <c:v>21-Mar-16</c:v>
                </c:pt>
                <c:pt idx="8">
                  <c:v>18-Mar-16</c:v>
                </c:pt>
                <c:pt idx="9">
                  <c:v>17-Mar-16</c:v>
                </c:pt>
                <c:pt idx="10">
                  <c:v>16-Mar-16</c:v>
                </c:pt>
                <c:pt idx="11">
                  <c:v>15-Mar-16</c:v>
                </c:pt>
                <c:pt idx="12">
                  <c:v>14-Mar-16</c:v>
                </c:pt>
                <c:pt idx="13">
                  <c:v>11-Mar-16</c:v>
                </c:pt>
                <c:pt idx="14">
                  <c:v>10-Mar-16</c:v>
                </c:pt>
                <c:pt idx="15">
                  <c:v>9-Mar-16</c:v>
                </c:pt>
                <c:pt idx="16">
                  <c:v>8-Mar-16</c:v>
                </c:pt>
                <c:pt idx="17">
                  <c:v>7-Mar-16</c:v>
                </c:pt>
                <c:pt idx="18">
                  <c:v>4-Mar-16</c:v>
                </c:pt>
                <c:pt idx="19">
                  <c:v>3-Mar-16</c:v>
                </c:pt>
                <c:pt idx="20">
                  <c:v>2-Mar-16</c:v>
                </c:pt>
                <c:pt idx="21">
                  <c:v>1-Mar-16</c:v>
                </c:pt>
                <c:pt idx="22">
                  <c:v>29-Feb-16</c:v>
                </c:pt>
                <c:pt idx="23">
                  <c:v>26-Feb-16</c:v>
                </c:pt>
                <c:pt idx="24">
                  <c:v>25-Feb-16</c:v>
                </c:pt>
                <c:pt idx="25">
                  <c:v>24-Feb-16</c:v>
                </c:pt>
                <c:pt idx="26">
                  <c:v>23-Feb-16</c:v>
                </c:pt>
                <c:pt idx="27">
                  <c:v>22-Feb-16</c:v>
                </c:pt>
                <c:pt idx="28">
                  <c:v>19-Feb-16</c:v>
                </c:pt>
                <c:pt idx="29">
                  <c:v>18-Feb-16</c:v>
                </c:pt>
                <c:pt idx="30">
                  <c:v>17-Feb-16</c:v>
                </c:pt>
                <c:pt idx="31">
                  <c:v>16-Feb-16</c:v>
                </c:pt>
                <c:pt idx="32">
                  <c:v>12-Feb-16</c:v>
                </c:pt>
                <c:pt idx="33">
                  <c:v>11-Feb-16</c:v>
                </c:pt>
                <c:pt idx="34">
                  <c:v>10-Feb-16</c:v>
                </c:pt>
                <c:pt idx="35">
                  <c:v>9-Feb-16</c:v>
                </c:pt>
                <c:pt idx="36">
                  <c:v>8-Feb-16</c:v>
                </c:pt>
                <c:pt idx="37">
                  <c:v>5-Feb-16</c:v>
                </c:pt>
                <c:pt idx="38">
                  <c:v>4-Feb-16</c:v>
                </c:pt>
                <c:pt idx="39">
                  <c:v>3-Feb-16</c:v>
                </c:pt>
                <c:pt idx="40">
                  <c:v>3-Feb-16</c:v>
                </c:pt>
                <c:pt idx="41">
                  <c:v>2-Feb-16</c:v>
                </c:pt>
                <c:pt idx="42">
                  <c:v>1-Feb-16</c:v>
                </c:pt>
                <c:pt idx="43">
                  <c:v>29-Jan-16</c:v>
                </c:pt>
                <c:pt idx="44">
                  <c:v>28-Jan-16</c:v>
                </c:pt>
                <c:pt idx="45">
                  <c:v>27-Jan-16</c:v>
                </c:pt>
                <c:pt idx="46">
                  <c:v>26-Jan-16</c:v>
                </c:pt>
                <c:pt idx="47">
                  <c:v>25-Jan-16</c:v>
                </c:pt>
                <c:pt idx="48">
                  <c:v>22-Jan-16</c:v>
                </c:pt>
                <c:pt idx="49">
                  <c:v>21-Jan-16</c:v>
                </c:pt>
                <c:pt idx="50">
                  <c:v>20-Jan-16</c:v>
                </c:pt>
                <c:pt idx="51">
                  <c:v>19-Jan-16</c:v>
                </c:pt>
                <c:pt idx="52">
                  <c:v>15-Jan-16</c:v>
                </c:pt>
                <c:pt idx="53">
                  <c:v>14-Jan-16</c:v>
                </c:pt>
                <c:pt idx="54">
                  <c:v>13-Jan-16</c:v>
                </c:pt>
                <c:pt idx="55">
                  <c:v>12-Jan-16</c:v>
                </c:pt>
                <c:pt idx="56">
                  <c:v>11-Jan-16</c:v>
                </c:pt>
                <c:pt idx="57">
                  <c:v>8-Jan-16</c:v>
                </c:pt>
                <c:pt idx="58">
                  <c:v>7-Jan-16</c:v>
                </c:pt>
                <c:pt idx="59">
                  <c:v>6-Jan-16</c:v>
                </c:pt>
                <c:pt idx="60">
                  <c:v>5-Jan-16</c:v>
                </c:pt>
                <c:pt idx="61">
                  <c:v>4-Jan-16</c:v>
                </c:pt>
                <c:pt idx="62">
                  <c:v>31-Dec-15</c:v>
                </c:pt>
                <c:pt idx="63">
                  <c:v>30-Dec-15</c:v>
                </c:pt>
                <c:pt idx="64">
                  <c:v>29-Dec-15</c:v>
                </c:pt>
                <c:pt idx="65">
                  <c:v>28-Dec-15</c:v>
                </c:pt>
                <c:pt idx="66">
                  <c:v>24-Dec-15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32.35</c:v>
                </c:pt>
                <c:pt idx="1">
                  <c:v>32.71</c:v>
                </c:pt>
                <c:pt idx="2">
                  <c:v>32.380000000000003</c:v>
                </c:pt>
                <c:pt idx="3">
                  <c:v>31.9</c:v>
                </c:pt>
                <c:pt idx="4">
                  <c:v>31.88</c:v>
                </c:pt>
                <c:pt idx="5">
                  <c:v>32</c:v>
                </c:pt>
                <c:pt idx="6">
                  <c:v>32.32</c:v>
                </c:pt>
                <c:pt idx="7">
                  <c:v>32.340000000000003</c:v>
                </c:pt>
                <c:pt idx="8">
                  <c:v>32.68</c:v>
                </c:pt>
                <c:pt idx="9">
                  <c:v>31.98</c:v>
                </c:pt>
                <c:pt idx="10">
                  <c:v>31.69</c:v>
                </c:pt>
                <c:pt idx="11">
                  <c:v>31.65</c:v>
                </c:pt>
                <c:pt idx="12">
                  <c:v>31.43</c:v>
                </c:pt>
                <c:pt idx="13">
                  <c:v>31.76</c:v>
                </c:pt>
                <c:pt idx="14">
                  <c:v>31.25</c:v>
                </c:pt>
                <c:pt idx="15">
                  <c:v>30.87</c:v>
                </c:pt>
                <c:pt idx="16">
                  <c:v>30.56</c:v>
                </c:pt>
                <c:pt idx="17">
                  <c:v>30.94</c:v>
                </c:pt>
                <c:pt idx="18">
                  <c:v>30.63</c:v>
                </c:pt>
                <c:pt idx="19">
                  <c:v>30.58</c:v>
                </c:pt>
                <c:pt idx="20">
                  <c:v>30.54</c:v>
                </c:pt>
                <c:pt idx="21">
                  <c:v>30.37</c:v>
                </c:pt>
                <c:pt idx="22">
                  <c:v>29.59</c:v>
                </c:pt>
                <c:pt idx="23">
                  <c:v>29.8</c:v>
                </c:pt>
                <c:pt idx="24">
                  <c:v>29.62</c:v>
                </c:pt>
                <c:pt idx="25">
                  <c:v>29.19</c:v>
                </c:pt>
                <c:pt idx="26">
                  <c:v>28.8</c:v>
                </c:pt>
                <c:pt idx="27">
                  <c:v>29.35</c:v>
                </c:pt>
                <c:pt idx="28">
                  <c:v>28.71</c:v>
                </c:pt>
                <c:pt idx="29">
                  <c:v>29.42</c:v>
                </c:pt>
                <c:pt idx="30">
                  <c:v>29.47</c:v>
                </c:pt>
                <c:pt idx="31">
                  <c:v>28.78</c:v>
                </c:pt>
                <c:pt idx="32">
                  <c:v>28.64</c:v>
                </c:pt>
                <c:pt idx="33">
                  <c:v>28.22</c:v>
                </c:pt>
                <c:pt idx="34">
                  <c:v>28.23</c:v>
                </c:pt>
                <c:pt idx="35">
                  <c:v>28.81</c:v>
                </c:pt>
                <c:pt idx="36">
                  <c:v>28.82</c:v>
                </c:pt>
                <c:pt idx="37">
                  <c:v>29.04</c:v>
                </c:pt>
                <c:pt idx="38">
                  <c:v>29.77</c:v>
                </c:pt>
                <c:pt idx="39">
                  <c:v>29.34</c:v>
                </c:pt>
                <c:pt idx="41">
                  <c:v>29.8</c:v>
                </c:pt>
                <c:pt idx="42">
                  <c:v>30.82</c:v>
                </c:pt>
                <c:pt idx="43">
                  <c:v>31.02</c:v>
                </c:pt>
                <c:pt idx="44">
                  <c:v>29.97</c:v>
                </c:pt>
                <c:pt idx="45">
                  <c:v>29.81</c:v>
                </c:pt>
                <c:pt idx="46">
                  <c:v>29.94</c:v>
                </c:pt>
                <c:pt idx="47">
                  <c:v>29.6</c:v>
                </c:pt>
                <c:pt idx="48">
                  <c:v>29.93</c:v>
                </c:pt>
                <c:pt idx="49">
                  <c:v>29.66</c:v>
                </c:pt>
                <c:pt idx="50">
                  <c:v>29.59</c:v>
                </c:pt>
                <c:pt idx="51">
                  <c:v>29.8</c:v>
                </c:pt>
                <c:pt idx="52">
                  <c:v>29.76</c:v>
                </c:pt>
                <c:pt idx="53">
                  <c:v>32.74</c:v>
                </c:pt>
                <c:pt idx="54">
                  <c:v>31.91</c:v>
                </c:pt>
                <c:pt idx="55">
                  <c:v>32.68</c:v>
                </c:pt>
                <c:pt idx="56">
                  <c:v>32.06</c:v>
                </c:pt>
                <c:pt idx="57">
                  <c:v>31.51</c:v>
                </c:pt>
                <c:pt idx="58">
                  <c:v>31.84</c:v>
                </c:pt>
                <c:pt idx="59">
                  <c:v>33.08</c:v>
                </c:pt>
                <c:pt idx="60">
                  <c:v>33.83</c:v>
                </c:pt>
                <c:pt idx="61">
                  <c:v>33.99</c:v>
                </c:pt>
                <c:pt idx="62">
                  <c:v>34.450000000000003</c:v>
                </c:pt>
                <c:pt idx="63">
                  <c:v>34.99</c:v>
                </c:pt>
                <c:pt idx="64">
                  <c:v>35.44</c:v>
                </c:pt>
                <c:pt idx="65">
                  <c:v>34.93</c:v>
                </c:pt>
                <c:pt idx="66">
                  <c:v>34.979999999999997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984976"/>
        <c:axId val="593452760"/>
      </c:lineChart>
      <c:catAx>
        <c:axId val="507984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52760"/>
        <c:crosses val="autoZero"/>
        <c:auto val="1"/>
        <c:lblAlgn val="ctr"/>
        <c:lblOffset val="100"/>
        <c:noMultiLvlLbl val="0"/>
      </c:catAx>
      <c:valAx>
        <c:axId val="5934527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8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42460</c:v>
                </c:pt>
                <c:pt idx="1">
                  <c:v>42459</c:v>
                </c:pt>
                <c:pt idx="2">
                  <c:v>42458</c:v>
                </c:pt>
                <c:pt idx="3">
                  <c:v>42457</c:v>
                </c:pt>
                <c:pt idx="4">
                  <c:v>42453</c:v>
                </c:pt>
                <c:pt idx="5">
                  <c:v>42452</c:v>
                </c:pt>
                <c:pt idx="6">
                  <c:v>42451</c:v>
                </c:pt>
                <c:pt idx="7">
                  <c:v>42450</c:v>
                </c:pt>
                <c:pt idx="8">
                  <c:v>42447</c:v>
                </c:pt>
                <c:pt idx="9">
                  <c:v>42446</c:v>
                </c:pt>
                <c:pt idx="10">
                  <c:v>42445</c:v>
                </c:pt>
                <c:pt idx="11">
                  <c:v>42444</c:v>
                </c:pt>
                <c:pt idx="12">
                  <c:v>42444</c:v>
                </c:pt>
                <c:pt idx="13">
                  <c:v>42443</c:v>
                </c:pt>
                <c:pt idx="14">
                  <c:v>42440</c:v>
                </c:pt>
                <c:pt idx="15">
                  <c:v>42439</c:v>
                </c:pt>
                <c:pt idx="16">
                  <c:v>42438</c:v>
                </c:pt>
                <c:pt idx="17">
                  <c:v>42437</c:v>
                </c:pt>
                <c:pt idx="18">
                  <c:v>42436</c:v>
                </c:pt>
                <c:pt idx="19">
                  <c:v>42433</c:v>
                </c:pt>
                <c:pt idx="20">
                  <c:v>42432</c:v>
                </c:pt>
                <c:pt idx="21">
                  <c:v>42431</c:v>
                </c:pt>
                <c:pt idx="22">
                  <c:v>42430</c:v>
                </c:pt>
                <c:pt idx="23">
                  <c:v>42429</c:v>
                </c:pt>
                <c:pt idx="24">
                  <c:v>42426</c:v>
                </c:pt>
                <c:pt idx="25">
                  <c:v>42425</c:v>
                </c:pt>
                <c:pt idx="26">
                  <c:v>42424</c:v>
                </c:pt>
                <c:pt idx="27">
                  <c:v>42423</c:v>
                </c:pt>
                <c:pt idx="28">
                  <c:v>42422</c:v>
                </c:pt>
                <c:pt idx="29">
                  <c:v>42419</c:v>
                </c:pt>
                <c:pt idx="30">
                  <c:v>42418</c:v>
                </c:pt>
                <c:pt idx="31">
                  <c:v>42417</c:v>
                </c:pt>
                <c:pt idx="32">
                  <c:v>42416</c:v>
                </c:pt>
                <c:pt idx="33">
                  <c:v>42412</c:v>
                </c:pt>
                <c:pt idx="34">
                  <c:v>42411</c:v>
                </c:pt>
                <c:pt idx="35">
                  <c:v>42410</c:v>
                </c:pt>
                <c:pt idx="36">
                  <c:v>42409</c:v>
                </c:pt>
                <c:pt idx="37">
                  <c:v>42408</c:v>
                </c:pt>
                <c:pt idx="38">
                  <c:v>42405</c:v>
                </c:pt>
                <c:pt idx="39">
                  <c:v>42404</c:v>
                </c:pt>
                <c:pt idx="40">
                  <c:v>42403</c:v>
                </c:pt>
                <c:pt idx="41">
                  <c:v>42402</c:v>
                </c:pt>
                <c:pt idx="42">
                  <c:v>42401</c:v>
                </c:pt>
                <c:pt idx="43">
                  <c:v>42398</c:v>
                </c:pt>
                <c:pt idx="44">
                  <c:v>42397</c:v>
                </c:pt>
                <c:pt idx="45">
                  <c:v>42396</c:v>
                </c:pt>
                <c:pt idx="46">
                  <c:v>42395</c:v>
                </c:pt>
                <c:pt idx="47">
                  <c:v>42394</c:v>
                </c:pt>
                <c:pt idx="48">
                  <c:v>42391</c:v>
                </c:pt>
                <c:pt idx="49">
                  <c:v>42390</c:v>
                </c:pt>
                <c:pt idx="50">
                  <c:v>42389</c:v>
                </c:pt>
                <c:pt idx="51">
                  <c:v>42388</c:v>
                </c:pt>
                <c:pt idx="52">
                  <c:v>42384</c:v>
                </c:pt>
                <c:pt idx="53">
                  <c:v>42383</c:v>
                </c:pt>
                <c:pt idx="54">
                  <c:v>42382</c:v>
                </c:pt>
                <c:pt idx="55">
                  <c:v>42381</c:v>
                </c:pt>
                <c:pt idx="56">
                  <c:v>42380</c:v>
                </c:pt>
                <c:pt idx="57">
                  <c:v>42377</c:v>
                </c:pt>
                <c:pt idx="58">
                  <c:v>42376</c:v>
                </c:pt>
                <c:pt idx="59">
                  <c:v>42375</c:v>
                </c:pt>
                <c:pt idx="60">
                  <c:v>42374</c:v>
                </c:pt>
                <c:pt idx="61">
                  <c:v>42373</c:v>
                </c:pt>
                <c:pt idx="62">
                  <c:v>42369</c:v>
                </c:pt>
                <c:pt idx="63">
                  <c:v>42368</c:v>
                </c:pt>
                <c:pt idx="64">
                  <c:v>42367</c:v>
                </c:pt>
                <c:pt idx="65">
                  <c:v>42366</c:v>
                </c:pt>
                <c:pt idx="66">
                  <c:v>42362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52.65</c:v>
                </c:pt>
                <c:pt idx="1">
                  <c:v>50.97</c:v>
                </c:pt>
                <c:pt idx="2">
                  <c:v>50.4</c:v>
                </c:pt>
                <c:pt idx="3">
                  <c:v>50.84</c:v>
                </c:pt>
                <c:pt idx="4">
                  <c:v>52.1</c:v>
                </c:pt>
                <c:pt idx="5">
                  <c:v>51.6</c:v>
                </c:pt>
                <c:pt idx="6">
                  <c:v>53.7</c:v>
                </c:pt>
                <c:pt idx="7">
                  <c:v>53.84</c:v>
                </c:pt>
                <c:pt idx="8">
                  <c:v>53.9</c:v>
                </c:pt>
                <c:pt idx="9">
                  <c:v>53.19</c:v>
                </c:pt>
                <c:pt idx="10">
                  <c:v>51.83</c:v>
                </c:pt>
                <c:pt idx="11">
                  <c:v>50.17</c:v>
                </c:pt>
                <c:pt idx="13">
                  <c:v>50.2</c:v>
                </c:pt>
                <c:pt idx="14">
                  <c:v>51.26</c:v>
                </c:pt>
                <c:pt idx="15">
                  <c:v>48.27</c:v>
                </c:pt>
                <c:pt idx="16">
                  <c:v>47.08</c:v>
                </c:pt>
                <c:pt idx="17">
                  <c:v>46.76</c:v>
                </c:pt>
                <c:pt idx="18">
                  <c:v>49.28</c:v>
                </c:pt>
                <c:pt idx="19">
                  <c:v>48.39</c:v>
                </c:pt>
                <c:pt idx="20">
                  <c:v>48</c:v>
                </c:pt>
                <c:pt idx="21">
                  <c:v>46.92</c:v>
                </c:pt>
                <c:pt idx="22">
                  <c:v>44.31</c:v>
                </c:pt>
                <c:pt idx="23">
                  <c:v>43.6</c:v>
                </c:pt>
                <c:pt idx="24">
                  <c:v>43.07</c:v>
                </c:pt>
                <c:pt idx="25">
                  <c:v>41.58</c:v>
                </c:pt>
                <c:pt idx="26">
                  <c:v>41.7</c:v>
                </c:pt>
                <c:pt idx="27">
                  <c:v>41.92</c:v>
                </c:pt>
                <c:pt idx="28">
                  <c:v>44.58</c:v>
                </c:pt>
                <c:pt idx="29">
                  <c:v>42.31</c:v>
                </c:pt>
                <c:pt idx="30">
                  <c:v>42.07</c:v>
                </c:pt>
                <c:pt idx="31">
                  <c:v>43.47</c:v>
                </c:pt>
                <c:pt idx="32">
                  <c:v>40.840000000000003</c:v>
                </c:pt>
                <c:pt idx="33">
                  <c:v>40.11</c:v>
                </c:pt>
                <c:pt idx="34">
                  <c:v>38.93</c:v>
                </c:pt>
                <c:pt idx="35">
                  <c:v>39.29</c:v>
                </c:pt>
                <c:pt idx="36">
                  <c:v>38.700000000000003</c:v>
                </c:pt>
                <c:pt idx="37">
                  <c:v>38.99</c:v>
                </c:pt>
                <c:pt idx="38">
                  <c:v>38.020000000000003</c:v>
                </c:pt>
                <c:pt idx="39">
                  <c:v>43.47</c:v>
                </c:pt>
                <c:pt idx="40">
                  <c:v>42.99</c:v>
                </c:pt>
                <c:pt idx="41">
                  <c:v>39.36</c:v>
                </c:pt>
                <c:pt idx="42">
                  <c:v>41.76</c:v>
                </c:pt>
                <c:pt idx="43">
                  <c:v>42.5</c:v>
                </c:pt>
                <c:pt idx="44">
                  <c:v>40.340000000000003</c:v>
                </c:pt>
                <c:pt idx="45">
                  <c:v>36.85</c:v>
                </c:pt>
                <c:pt idx="46">
                  <c:v>34.81</c:v>
                </c:pt>
                <c:pt idx="47">
                  <c:v>34.380000000000003</c:v>
                </c:pt>
                <c:pt idx="48">
                  <c:v>38.33</c:v>
                </c:pt>
                <c:pt idx="49">
                  <c:v>37.619999999999997</c:v>
                </c:pt>
                <c:pt idx="50">
                  <c:v>35.21</c:v>
                </c:pt>
                <c:pt idx="51">
                  <c:v>36.53</c:v>
                </c:pt>
                <c:pt idx="52">
                  <c:v>38.72</c:v>
                </c:pt>
                <c:pt idx="53">
                  <c:v>39.96</c:v>
                </c:pt>
                <c:pt idx="54">
                  <c:v>38.590000000000003</c:v>
                </c:pt>
                <c:pt idx="55">
                  <c:v>39.6</c:v>
                </c:pt>
                <c:pt idx="56">
                  <c:v>41.69</c:v>
                </c:pt>
                <c:pt idx="57">
                  <c:v>43.58</c:v>
                </c:pt>
                <c:pt idx="58">
                  <c:v>43.62</c:v>
                </c:pt>
                <c:pt idx="59">
                  <c:v>45.07</c:v>
                </c:pt>
                <c:pt idx="60">
                  <c:v>48.07</c:v>
                </c:pt>
                <c:pt idx="61">
                  <c:v>48.18</c:v>
                </c:pt>
                <c:pt idx="62">
                  <c:v>48.48</c:v>
                </c:pt>
                <c:pt idx="63">
                  <c:v>48.17</c:v>
                </c:pt>
                <c:pt idx="64">
                  <c:v>49.36</c:v>
                </c:pt>
                <c:pt idx="65">
                  <c:v>48.99</c:v>
                </c:pt>
                <c:pt idx="66">
                  <c:v>50.57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448840"/>
        <c:axId val="593447664"/>
      </c:lineChart>
      <c:dateAx>
        <c:axId val="593448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47664"/>
        <c:crosses val="autoZero"/>
        <c:auto val="1"/>
        <c:lblOffset val="100"/>
        <c:baseTimeUnit val="days"/>
      </c:dateAx>
      <c:valAx>
        <c:axId val="5934476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4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31-Mar-16</c:v>
                </c:pt>
                <c:pt idx="1">
                  <c:v>30-Mar-16</c:v>
                </c:pt>
                <c:pt idx="2">
                  <c:v>29-Mar-16</c:v>
                </c:pt>
                <c:pt idx="3">
                  <c:v>28-Mar-16</c:v>
                </c:pt>
                <c:pt idx="4">
                  <c:v>24-Mar-16</c:v>
                </c:pt>
                <c:pt idx="5">
                  <c:v>23-Mar-16</c:v>
                </c:pt>
                <c:pt idx="6">
                  <c:v>22-Mar-16</c:v>
                </c:pt>
                <c:pt idx="7">
                  <c:v>21-Mar-16</c:v>
                </c:pt>
                <c:pt idx="8">
                  <c:v>18-Mar-16</c:v>
                </c:pt>
                <c:pt idx="9">
                  <c:v>17-Mar-16</c:v>
                </c:pt>
                <c:pt idx="10">
                  <c:v>16-Mar-16</c:v>
                </c:pt>
                <c:pt idx="11">
                  <c:v>15-Mar-16</c:v>
                </c:pt>
                <c:pt idx="12">
                  <c:v>14-Mar-16</c:v>
                </c:pt>
                <c:pt idx="13">
                  <c:v>11-Mar-16</c:v>
                </c:pt>
                <c:pt idx="14">
                  <c:v>10-Mar-16</c:v>
                </c:pt>
                <c:pt idx="15">
                  <c:v>9-Mar-16</c:v>
                </c:pt>
                <c:pt idx="16">
                  <c:v>8-Mar-16</c:v>
                </c:pt>
                <c:pt idx="17">
                  <c:v>7-Mar-16</c:v>
                </c:pt>
                <c:pt idx="18">
                  <c:v>4-Mar-16</c:v>
                </c:pt>
                <c:pt idx="19">
                  <c:v>42432.00</c:v>
                </c:pt>
                <c:pt idx="20">
                  <c:v>2-Mar-16</c:v>
                </c:pt>
                <c:pt idx="21">
                  <c:v>1-Mar-16</c:v>
                </c:pt>
                <c:pt idx="22">
                  <c:v>29-Feb-16</c:v>
                </c:pt>
                <c:pt idx="23">
                  <c:v>26-Feb-16</c:v>
                </c:pt>
                <c:pt idx="24">
                  <c:v>25-Feb-16</c:v>
                </c:pt>
                <c:pt idx="25">
                  <c:v>25-Feb-16</c:v>
                </c:pt>
                <c:pt idx="26">
                  <c:v>24-Feb-16</c:v>
                </c:pt>
                <c:pt idx="27">
                  <c:v>23-Feb-16</c:v>
                </c:pt>
                <c:pt idx="28">
                  <c:v>22-Feb-16</c:v>
                </c:pt>
                <c:pt idx="29">
                  <c:v>19-Feb-16</c:v>
                </c:pt>
                <c:pt idx="30">
                  <c:v>18-Feb-16</c:v>
                </c:pt>
                <c:pt idx="31">
                  <c:v>17-Feb-16</c:v>
                </c:pt>
                <c:pt idx="32">
                  <c:v>16-Feb-16</c:v>
                </c:pt>
                <c:pt idx="33">
                  <c:v>12-Feb-16</c:v>
                </c:pt>
                <c:pt idx="34">
                  <c:v>11-Feb-16</c:v>
                </c:pt>
                <c:pt idx="35">
                  <c:v>10-Feb-16</c:v>
                </c:pt>
                <c:pt idx="36">
                  <c:v>9-Feb-16</c:v>
                </c:pt>
                <c:pt idx="37">
                  <c:v>8-Feb-16</c:v>
                </c:pt>
                <c:pt idx="38">
                  <c:v>5-Feb-16</c:v>
                </c:pt>
                <c:pt idx="39">
                  <c:v>4-Feb-16</c:v>
                </c:pt>
                <c:pt idx="40">
                  <c:v>3-Feb-16</c:v>
                </c:pt>
                <c:pt idx="41">
                  <c:v>2-Feb-16</c:v>
                </c:pt>
                <c:pt idx="42">
                  <c:v>1-Feb-16</c:v>
                </c:pt>
                <c:pt idx="43">
                  <c:v>29-Jan-16</c:v>
                </c:pt>
                <c:pt idx="44">
                  <c:v>28-Jan-16</c:v>
                </c:pt>
                <c:pt idx="45">
                  <c:v>27-Jan-16</c:v>
                </c:pt>
                <c:pt idx="46">
                  <c:v>26-Jan-16</c:v>
                </c:pt>
                <c:pt idx="47">
                  <c:v>25-Jan-16</c:v>
                </c:pt>
                <c:pt idx="48">
                  <c:v>22-Jan-16</c:v>
                </c:pt>
                <c:pt idx="49">
                  <c:v>21-Jan-16</c:v>
                </c:pt>
                <c:pt idx="50">
                  <c:v>20-Jan-16</c:v>
                </c:pt>
                <c:pt idx="51">
                  <c:v>19-Jan-16</c:v>
                </c:pt>
                <c:pt idx="52">
                  <c:v>15-Jan-16</c:v>
                </c:pt>
                <c:pt idx="53">
                  <c:v>14-Jan-16</c:v>
                </c:pt>
                <c:pt idx="54">
                  <c:v>13-Jan-16</c:v>
                </c:pt>
                <c:pt idx="55">
                  <c:v>12-Jan-16</c:v>
                </c:pt>
                <c:pt idx="56">
                  <c:v>11-Jan-16</c:v>
                </c:pt>
                <c:pt idx="57">
                  <c:v>8-Jan-16</c:v>
                </c:pt>
                <c:pt idx="58">
                  <c:v>7-Jan-16</c:v>
                </c:pt>
                <c:pt idx="59">
                  <c:v>6-Jan-16</c:v>
                </c:pt>
                <c:pt idx="60">
                  <c:v>5-Jan-16</c:v>
                </c:pt>
                <c:pt idx="61">
                  <c:v>4-Jan-16</c:v>
                </c:pt>
                <c:pt idx="62">
                  <c:v>31-Dec-15</c:v>
                </c:pt>
                <c:pt idx="63">
                  <c:v>30-Dec-15</c:v>
                </c:pt>
                <c:pt idx="64">
                  <c:v>29-Dec-15</c:v>
                </c:pt>
                <c:pt idx="65">
                  <c:v>28-Dec-15</c:v>
                </c:pt>
                <c:pt idx="66">
                  <c:v>24-Dec-15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79.55</c:v>
                </c:pt>
                <c:pt idx="1">
                  <c:v>80.56</c:v>
                </c:pt>
                <c:pt idx="2">
                  <c:v>79.8</c:v>
                </c:pt>
                <c:pt idx="3">
                  <c:v>78.81</c:v>
                </c:pt>
                <c:pt idx="4">
                  <c:v>80.92</c:v>
                </c:pt>
                <c:pt idx="5">
                  <c:v>81.52</c:v>
                </c:pt>
                <c:pt idx="6">
                  <c:v>82.06</c:v>
                </c:pt>
                <c:pt idx="7">
                  <c:v>83.98</c:v>
                </c:pt>
                <c:pt idx="8">
                  <c:v>84.42</c:v>
                </c:pt>
                <c:pt idx="9">
                  <c:v>83.08</c:v>
                </c:pt>
                <c:pt idx="10">
                  <c:v>80.31</c:v>
                </c:pt>
                <c:pt idx="11">
                  <c:v>80.150000000000006</c:v>
                </c:pt>
                <c:pt idx="12">
                  <c:v>80.349999999999994</c:v>
                </c:pt>
                <c:pt idx="13">
                  <c:v>81.260000000000005</c:v>
                </c:pt>
                <c:pt idx="14">
                  <c:v>79.38</c:v>
                </c:pt>
                <c:pt idx="15">
                  <c:v>80.14</c:v>
                </c:pt>
                <c:pt idx="16">
                  <c:v>78.25</c:v>
                </c:pt>
                <c:pt idx="17">
                  <c:v>81.45</c:v>
                </c:pt>
                <c:pt idx="18">
                  <c:v>80.5</c:v>
                </c:pt>
                <c:pt idx="19">
                  <c:v>80.010000000000005</c:v>
                </c:pt>
                <c:pt idx="20">
                  <c:v>79.5</c:v>
                </c:pt>
                <c:pt idx="21">
                  <c:v>80.12</c:v>
                </c:pt>
                <c:pt idx="22">
                  <c:v>78.86</c:v>
                </c:pt>
                <c:pt idx="23">
                  <c:v>80</c:v>
                </c:pt>
                <c:pt idx="24">
                  <c:v>79.319999999999993</c:v>
                </c:pt>
                <c:pt idx="26">
                  <c:v>80.09</c:v>
                </c:pt>
                <c:pt idx="27">
                  <c:v>78.95</c:v>
                </c:pt>
                <c:pt idx="28">
                  <c:v>81.61</c:v>
                </c:pt>
                <c:pt idx="29">
                  <c:v>79.900000000000006</c:v>
                </c:pt>
                <c:pt idx="30">
                  <c:v>78.66</c:v>
                </c:pt>
                <c:pt idx="31">
                  <c:v>79.959999999999994</c:v>
                </c:pt>
                <c:pt idx="32">
                  <c:v>79.37</c:v>
                </c:pt>
                <c:pt idx="33">
                  <c:v>77.2</c:v>
                </c:pt>
                <c:pt idx="34">
                  <c:v>75.540000000000006</c:v>
                </c:pt>
                <c:pt idx="35">
                  <c:v>76.94</c:v>
                </c:pt>
                <c:pt idx="36">
                  <c:v>77.12</c:v>
                </c:pt>
                <c:pt idx="37">
                  <c:v>76.03</c:v>
                </c:pt>
                <c:pt idx="38">
                  <c:v>75.03</c:v>
                </c:pt>
                <c:pt idx="39">
                  <c:v>75.52</c:v>
                </c:pt>
                <c:pt idx="40">
                  <c:v>72.260000000000005</c:v>
                </c:pt>
                <c:pt idx="41">
                  <c:v>71.709999999999994</c:v>
                </c:pt>
                <c:pt idx="42">
                  <c:v>73.09</c:v>
                </c:pt>
                <c:pt idx="43">
                  <c:v>72</c:v>
                </c:pt>
                <c:pt idx="44">
                  <c:v>70.16</c:v>
                </c:pt>
                <c:pt idx="45">
                  <c:v>69.06</c:v>
                </c:pt>
                <c:pt idx="46">
                  <c:v>70.040000000000006</c:v>
                </c:pt>
                <c:pt idx="47">
                  <c:v>68.790000000000006</c:v>
                </c:pt>
                <c:pt idx="48">
                  <c:v>69.989999999999995</c:v>
                </c:pt>
                <c:pt idx="49">
                  <c:v>71</c:v>
                </c:pt>
                <c:pt idx="50">
                  <c:v>73.61</c:v>
                </c:pt>
                <c:pt idx="51">
                  <c:v>74.099999999999994</c:v>
                </c:pt>
                <c:pt idx="52">
                  <c:v>74.11</c:v>
                </c:pt>
                <c:pt idx="53">
                  <c:v>75.42</c:v>
                </c:pt>
                <c:pt idx="54">
                  <c:v>73.849999999999994</c:v>
                </c:pt>
                <c:pt idx="55">
                  <c:v>76.27</c:v>
                </c:pt>
                <c:pt idx="56">
                  <c:v>74.81</c:v>
                </c:pt>
                <c:pt idx="57">
                  <c:v>73.86</c:v>
                </c:pt>
                <c:pt idx="58">
                  <c:v>73.08</c:v>
                </c:pt>
                <c:pt idx="59">
                  <c:v>74.83</c:v>
                </c:pt>
                <c:pt idx="60">
                  <c:v>78.209999999999994</c:v>
                </c:pt>
                <c:pt idx="61">
                  <c:v>78.97</c:v>
                </c:pt>
                <c:pt idx="62">
                  <c:v>78.2</c:v>
                </c:pt>
                <c:pt idx="63">
                  <c:v>78.510000000000005</c:v>
                </c:pt>
                <c:pt idx="64">
                  <c:v>78.97</c:v>
                </c:pt>
                <c:pt idx="65">
                  <c:v>78.34</c:v>
                </c:pt>
                <c:pt idx="66">
                  <c:v>78.8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457072"/>
        <c:axId val="593449232"/>
      </c:lineChart>
      <c:catAx>
        <c:axId val="593457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49232"/>
        <c:crosses val="autoZero"/>
        <c:auto val="1"/>
        <c:lblAlgn val="ctr"/>
        <c:lblOffset val="100"/>
        <c:noMultiLvlLbl val="0"/>
      </c:catAx>
      <c:valAx>
        <c:axId val="593449232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5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446880"/>
        <c:axId val="593453544"/>
      </c:lineChart>
      <c:catAx>
        <c:axId val="593446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53544"/>
        <c:crosses val="autoZero"/>
        <c:auto val="1"/>
        <c:lblAlgn val="ctr"/>
        <c:lblOffset val="100"/>
        <c:noMultiLvlLbl val="1"/>
      </c:catAx>
      <c:valAx>
        <c:axId val="593453544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4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42460</c:v>
                </c:pt>
                <c:pt idx="1">
                  <c:v>42459</c:v>
                </c:pt>
                <c:pt idx="2">
                  <c:v>42458</c:v>
                </c:pt>
                <c:pt idx="3">
                  <c:v>42457</c:v>
                </c:pt>
                <c:pt idx="4">
                  <c:v>42453</c:v>
                </c:pt>
                <c:pt idx="5">
                  <c:v>42452</c:v>
                </c:pt>
                <c:pt idx="6">
                  <c:v>42451</c:v>
                </c:pt>
                <c:pt idx="7">
                  <c:v>42450</c:v>
                </c:pt>
                <c:pt idx="8">
                  <c:v>42447</c:v>
                </c:pt>
                <c:pt idx="9">
                  <c:v>42446</c:v>
                </c:pt>
                <c:pt idx="10">
                  <c:v>42445</c:v>
                </c:pt>
                <c:pt idx="11">
                  <c:v>42444</c:v>
                </c:pt>
                <c:pt idx="12">
                  <c:v>42443</c:v>
                </c:pt>
                <c:pt idx="13">
                  <c:v>42440</c:v>
                </c:pt>
                <c:pt idx="14">
                  <c:v>42439</c:v>
                </c:pt>
                <c:pt idx="15">
                  <c:v>42438</c:v>
                </c:pt>
                <c:pt idx="16">
                  <c:v>42437</c:v>
                </c:pt>
                <c:pt idx="17">
                  <c:v>42436</c:v>
                </c:pt>
                <c:pt idx="18">
                  <c:v>42433</c:v>
                </c:pt>
                <c:pt idx="19">
                  <c:v>42432</c:v>
                </c:pt>
                <c:pt idx="20">
                  <c:v>42431</c:v>
                </c:pt>
                <c:pt idx="21">
                  <c:v>42430</c:v>
                </c:pt>
                <c:pt idx="22">
                  <c:v>42429</c:v>
                </c:pt>
                <c:pt idx="23">
                  <c:v>42426</c:v>
                </c:pt>
                <c:pt idx="24">
                  <c:v>42425</c:v>
                </c:pt>
                <c:pt idx="25">
                  <c:v>42424</c:v>
                </c:pt>
                <c:pt idx="26">
                  <c:v>42423</c:v>
                </c:pt>
                <c:pt idx="27">
                  <c:v>42422</c:v>
                </c:pt>
                <c:pt idx="28">
                  <c:v>42419</c:v>
                </c:pt>
                <c:pt idx="29">
                  <c:v>42418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42409</c:v>
                </c:pt>
                <c:pt idx="37">
                  <c:v>42408</c:v>
                </c:pt>
                <c:pt idx="38">
                  <c:v>42405</c:v>
                </c:pt>
                <c:pt idx="39">
                  <c:v>42404</c:v>
                </c:pt>
                <c:pt idx="40">
                  <c:v>42403</c:v>
                </c:pt>
                <c:pt idx="41">
                  <c:v>42402</c:v>
                </c:pt>
                <c:pt idx="42">
                  <c:v>42401</c:v>
                </c:pt>
                <c:pt idx="43">
                  <c:v>42398</c:v>
                </c:pt>
                <c:pt idx="44">
                  <c:v>42397</c:v>
                </c:pt>
                <c:pt idx="45">
                  <c:v>42396</c:v>
                </c:pt>
                <c:pt idx="46">
                  <c:v>42395</c:v>
                </c:pt>
                <c:pt idx="47">
                  <c:v>42394</c:v>
                </c:pt>
                <c:pt idx="48">
                  <c:v>42391</c:v>
                </c:pt>
                <c:pt idx="49">
                  <c:v>42390</c:v>
                </c:pt>
                <c:pt idx="50">
                  <c:v>42389</c:v>
                </c:pt>
                <c:pt idx="51">
                  <c:v>42388</c:v>
                </c:pt>
                <c:pt idx="52">
                  <c:v>42384</c:v>
                </c:pt>
                <c:pt idx="53">
                  <c:v>42383</c:v>
                </c:pt>
                <c:pt idx="54">
                  <c:v>42382</c:v>
                </c:pt>
                <c:pt idx="55">
                  <c:v>42381</c:v>
                </c:pt>
                <c:pt idx="56">
                  <c:v>42380</c:v>
                </c:pt>
                <c:pt idx="57">
                  <c:v>42377</c:v>
                </c:pt>
                <c:pt idx="58">
                  <c:v>42376</c:v>
                </c:pt>
                <c:pt idx="59">
                  <c:v>42375</c:v>
                </c:pt>
                <c:pt idx="60">
                  <c:v>42374</c:v>
                </c:pt>
                <c:pt idx="61">
                  <c:v>42373</c:v>
                </c:pt>
                <c:pt idx="62">
                  <c:v>42369</c:v>
                </c:pt>
                <c:pt idx="63">
                  <c:v>42368</c:v>
                </c:pt>
                <c:pt idx="64">
                  <c:v>42367</c:v>
                </c:pt>
                <c:pt idx="65">
                  <c:v>42366</c:v>
                </c:pt>
                <c:pt idx="66">
                  <c:v>42362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77.900000000000006</c:v>
                </c:pt>
                <c:pt idx="1">
                  <c:v>77.849999999999994</c:v>
                </c:pt>
                <c:pt idx="2">
                  <c:v>76.47</c:v>
                </c:pt>
                <c:pt idx="3">
                  <c:v>76.92</c:v>
                </c:pt>
                <c:pt idx="4">
                  <c:v>76.2</c:v>
                </c:pt>
                <c:pt idx="5">
                  <c:v>76.3</c:v>
                </c:pt>
                <c:pt idx="6">
                  <c:v>76.89</c:v>
                </c:pt>
                <c:pt idx="7">
                  <c:v>77.209999999999994</c:v>
                </c:pt>
                <c:pt idx="8">
                  <c:v>77.02</c:v>
                </c:pt>
                <c:pt idx="9">
                  <c:v>74.92</c:v>
                </c:pt>
                <c:pt idx="10">
                  <c:v>75</c:v>
                </c:pt>
                <c:pt idx="11">
                  <c:v>73.61</c:v>
                </c:pt>
                <c:pt idx="12">
                  <c:v>72.790000000000006</c:v>
                </c:pt>
                <c:pt idx="13">
                  <c:v>72.77</c:v>
                </c:pt>
                <c:pt idx="14">
                  <c:v>69.97</c:v>
                </c:pt>
                <c:pt idx="15">
                  <c:v>71.02</c:v>
                </c:pt>
                <c:pt idx="16">
                  <c:v>69.91</c:v>
                </c:pt>
                <c:pt idx="17">
                  <c:v>72.92</c:v>
                </c:pt>
                <c:pt idx="18">
                  <c:v>73.010000000000005</c:v>
                </c:pt>
                <c:pt idx="19">
                  <c:v>70.099999999999994</c:v>
                </c:pt>
                <c:pt idx="20">
                  <c:v>68.98</c:v>
                </c:pt>
                <c:pt idx="21">
                  <c:v>70.400000000000006</c:v>
                </c:pt>
                <c:pt idx="22">
                  <c:v>66.45</c:v>
                </c:pt>
                <c:pt idx="23">
                  <c:v>64.900000000000006</c:v>
                </c:pt>
                <c:pt idx="24">
                  <c:v>64.55</c:v>
                </c:pt>
                <c:pt idx="25">
                  <c:v>63.71</c:v>
                </c:pt>
                <c:pt idx="26">
                  <c:v>62.62</c:v>
                </c:pt>
                <c:pt idx="27">
                  <c:v>64.290000000000006</c:v>
                </c:pt>
                <c:pt idx="28">
                  <c:v>63.03</c:v>
                </c:pt>
                <c:pt idx="29">
                  <c:v>62.07</c:v>
                </c:pt>
                <c:pt idx="30">
                  <c:v>63.71</c:v>
                </c:pt>
                <c:pt idx="31">
                  <c:v>61.44</c:v>
                </c:pt>
                <c:pt idx="32">
                  <c:v>57.63</c:v>
                </c:pt>
                <c:pt idx="33">
                  <c:v>55.85</c:v>
                </c:pt>
                <c:pt idx="34">
                  <c:v>57.2</c:v>
                </c:pt>
                <c:pt idx="35">
                  <c:v>57.7</c:v>
                </c:pt>
                <c:pt idx="37">
                  <c:v>59.3</c:v>
                </c:pt>
                <c:pt idx="38">
                  <c:v>62.16</c:v>
                </c:pt>
                <c:pt idx="39">
                  <c:v>66</c:v>
                </c:pt>
                <c:pt idx="40">
                  <c:v>66.19</c:v>
                </c:pt>
                <c:pt idx="41">
                  <c:v>66.48</c:v>
                </c:pt>
                <c:pt idx="42">
                  <c:v>69.62</c:v>
                </c:pt>
                <c:pt idx="43">
                  <c:v>68.92</c:v>
                </c:pt>
                <c:pt idx="44">
                  <c:v>64.790000000000006</c:v>
                </c:pt>
                <c:pt idx="45">
                  <c:v>62.14</c:v>
                </c:pt>
                <c:pt idx="46">
                  <c:v>65.8</c:v>
                </c:pt>
                <c:pt idx="47">
                  <c:v>65.59</c:v>
                </c:pt>
                <c:pt idx="48">
                  <c:v>67.03</c:v>
                </c:pt>
                <c:pt idx="49">
                  <c:v>63.29</c:v>
                </c:pt>
                <c:pt idx="50">
                  <c:v>61.62</c:v>
                </c:pt>
                <c:pt idx="51">
                  <c:v>60.38</c:v>
                </c:pt>
                <c:pt idx="52">
                  <c:v>60.67</c:v>
                </c:pt>
                <c:pt idx="53">
                  <c:v>64.540000000000006</c:v>
                </c:pt>
                <c:pt idx="54">
                  <c:v>62.16</c:v>
                </c:pt>
                <c:pt idx="55">
                  <c:v>66.63</c:v>
                </c:pt>
                <c:pt idx="56">
                  <c:v>66.05</c:v>
                </c:pt>
                <c:pt idx="57">
                  <c:v>66.89</c:v>
                </c:pt>
                <c:pt idx="58">
                  <c:v>67.16</c:v>
                </c:pt>
                <c:pt idx="59">
                  <c:v>69.150000000000006</c:v>
                </c:pt>
                <c:pt idx="60">
                  <c:v>73.290000000000006</c:v>
                </c:pt>
                <c:pt idx="61">
                  <c:v>77.930000000000007</c:v>
                </c:pt>
                <c:pt idx="62">
                  <c:v>76.83</c:v>
                </c:pt>
                <c:pt idx="63">
                  <c:v>79.19</c:v>
                </c:pt>
                <c:pt idx="64">
                  <c:v>80.430000000000007</c:v>
                </c:pt>
                <c:pt idx="65">
                  <c:v>79.31</c:v>
                </c:pt>
                <c:pt idx="66">
                  <c:v>79.319999999999993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451192"/>
        <c:axId val="593451976"/>
      </c:lineChart>
      <c:dateAx>
        <c:axId val="593451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51976"/>
        <c:crosses val="autoZero"/>
        <c:auto val="1"/>
        <c:lblOffset val="100"/>
        <c:baseTimeUnit val="days"/>
      </c:dateAx>
      <c:valAx>
        <c:axId val="5934519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5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42460</c:v>
                </c:pt>
                <c:pt idx="1">
                  <c:v>42459</c:v>
                </c:pt>
                <c:pt idx="2">
                  <c:v>42458</c:v>
                </c:pt>
                <c:pt idx="3">
                  <c:v>42457</c:v>
                </c:pt>
                <c:pt idx="4">
                  <c:v>42453</c:v>
                </c:pt>
                <c:pt idx="5">
                  <c:v>42452</c:v>
                </c:pt>
                <c:pt idx="6">
                  <c:v>42451</c:v>
                </c:pt>
                <c:pt idx="7">
                  <c:v>42450</c:v>
                </c:pt>
                <c:pt idx="8">
                  <c:v>42447</c:v>
                </c:pt>
                <c:pt idx="9">
                  <c:v>42446</c:v>
                </c:pt>
                <c:pt idx="10">
                  <c:v>42445</c:v>
                </c:pt>
                <c:pt idx="11">
                  <c:v>42444</c:v>
                </c:pt>
                <c:pt idx="12">
                  <c:v>42443</c:v>
                </c:pt>
                <c:pt idx="13">
                  <c:v>42440</c:v>
                </c:pt>
                <c:pt idx="14">
                  <c:v>42439</c:v>
                </c:pt>
                <c:pt idx="15">
                  <c:v>42438</c:v>
                </c:pt>
                <c:pt idx="16">
                  <c:v>42437</c:v>
                </c:pt>
                <c:pt idx="17">
                  <c:v>42437</c:v>
                </c:pt>
                <c:pt idx="18">
                  <c:v>42436</c:v>
                </c:pt>
                <c:pt idx="19">
                  <c:v>42433</c:v>
                </c:pt>
                <c:pt idx="20">
                  <c:v>42432</c:v>
                </c:pt>
                <c:pt idx="21">
                  <c:v>42431</c:v>
                </c:pt>
                <c:pt idx="22">
                  <c:v>42430</c:v>
                </c:pt>
                <c:pt idx="23">
                  <c:v>42429</c:v>
                </c:pt>
                <c:pt idx="24">
                  <c:v>42426</c:v>
                </c:pt>
                <c:pt idx="25">
                  <c:v>42425</c:v>
                </c:pt>
                <c:pt idx="26">
                  <c:v>42424</c:v>
                </c:pt>
                <c:pt idx="27">
                  <c:v>42423</c:v>
                </c:pt>
                <c:pt idx="28">
                  <c:v>42422</c:v>
                </c:pt>
                <c:pt idx="29">
                  <c:v>42419</c:v>
                </c:pt>
                <c:pt idx="30">
                  <c:v>42418</c:v>
                </c:pt>
                <c:pt idx="31">
                  <c:v>42417</c:v>
                </c:pt>
                <c:pt idx="32">
                  <c:v>42416</c:v>
                </c:pt>
                <c:pt idx="33">
                  <c:v>42412</c:v>
                </c:pt>
                <c:pt idx="34">
                  <c:v>42411</c:v>
                </c:pt>
                <c:pt idx="35">
                  <c:v>42410</c:v>
                </c:pt>
                <c:pt idx="36">
                  <c:v>42409</c:v>
                </c:pt>
                <c:pt idx="37">
                  <c:v>42408</c:v>
                </c:pt>
                <c:pt idx="38">
                  <c:v>42405</c:v>
                </c:pt>
                <c:pt idx="39">
                  <c:v>42404</c:v>
                </c:pt>
                <c:pt idx="40">
                  <c:v>42403</c:v>
                </c:pt>
                <c:pt idx="41">
                  <c:v>42402</c:v>
                </c:pt>
                <c:pt idx="42">
                  <c:v>42401</c:v>
                </c:pt>
                <c:pt idx="43">
                  <c:v>42398</c:v>
                </c:pt>
                <c:pt idx="44">
                  <c:v>42397</c:v>
                </c:pt>
                <c:pt idx="45">
                  <c:v>42396</c:v>
                </c:pt>
                <c:pt idx="46">
                  <c:v>42395</c:v>
                </c:pt>
                <c:pt idx="47">
                  <c:v>42394</c:v>
                </c:pt>
                <c:pt idx="48">
                  <c:v>42391</c:v>
                </c:pt>
                <c:pt idx="49">
                  <c:v>42390</c:v>
                </c:pt>
                <c:pt idx="50">
                  <c:v>42389</c:v>
                </c:pt>
                <c:pt idx="51">
                  <c:v>42388</c:v>
                </c:pt>
                <c:pt idx="52">
                  <c:v>42384</c:v>
                </c:pt>
                <c:pt idx="53">
                  <c:v>42383</c:v>
                </c:pt>
                <c:pt idx="54">
                  <c:v>42382</c:v>
                </c:pt>
                <c:pt idx="55">
                  <c:v>42381</c:v>
                </c:pt>
                <c:pt idx="56">
                  <c:v>42380</c:v>
                </c:pt>
                <c:pt idx="57">
                  <c:v>42377</c:v>
                </c:pt>
                <c:pt idx="58">
                  <c:v>42376</c:v>
                </c:pt>
                <c:pt idx="59">
                  <c:v>42375</c:v>
                </c:pt>
                <c:pt idx="60">
                  <c:v>42374</c:v>
                </c:pt>
                <c:pt idx="61">
                  <c:v>42373</c:v>
                </c:pt>
                <c:pt idx="62">
                  <c:v>42369</c:v>
                </c:pt>
                <c:pt idx="63">
                  <c:v>42368</c:v>
                </c:pt>
                <c:pt idx="64">
                  <c:v>42367</c:v>
                </c:pt>
                <c:pt idx="65">
                  <c:v>42366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62.46</c:v>
                </c:pt>
                <c:pt idx="1">
                  <c:v>62.71</c:v>
                </c:pt>
                <c:pt idx="2">
                  <c:v>61.72</c:v>
                </c:pt>
                <c:pt idx="3">
                  <c:v>60.92</c:v>
                </c:pt>
                <c:pt idx="4">
                  <c:v>60.75</c:v>
                </c:pt>
                <c:pt idx="5">
                  <c:v>60.32</c:v>
                </c:pt>
                <c:pt idx="6">
                  <c:v>61.1</c:v>
                </c:pt>
                <c:pt idx="7">
                  <c:v>62.31</c:v>
                </c:pt>
                <c:pt idx="8">
                  <c:v>62.07</c:v>
                </c:pt>
                <c:pt idx="9">
                  <c:v>62.92</c:v>
                </c:pt>
                <c:pt idx="10">
                  <c:v>60.96</c:v>
                </c:pt>
                <c:pt idx="11">
                  <c:v>60.51</c:v>
                </c:pt>
                <c:pt idx="12">
                  <c:v>60.2</c:v>
                </c:pt>
                <c:pt idx="13">
                  <c:v>60.37</c:v>
                </c:pt>
                <c:pt idx="14">
                  <c:v>58.96</c:v>
                </c:pt>
                <c:pt idx="15">
                  <c:v>60.37</c:v>
                </c:pt>
                <c:pt idx="16">
                  <c:v>59.51</c:v>
                </c:pt>
                <c:pt idx="18">
                  <c:v>60.09</c:v>
                </c:pt>
                <c:pt idx="19">
                  <c:v>59.17</c:v>
                </c:pt>
                <c:pt idx="20">
                  <c:v>57.91</c:v>
                </c:pt>
                <c:pt idx="21">
                  <c:v>57.82</c:v>
                </c:pt>
                <c:pt idx="22">
                  <c:v>59.02</c:v>
                </c:pt>
                <c:pt idx="23">
                  <c:v>57.9</c:v>
                </c:pt>
                <c:pt idx="24">
                  <c:v>58.42</c:v>
                </c:pt>
                <c:pt idx="25">
                  <c:v>58.18</c:v>
                </c:pt>
                <c:pt idx="26">
                  <c:v>57.62</c:v>
                </c:pt>
                <c:pt idx="27">
                  <c:v>56.98</c:v>
                </c:pt>
                <c:pt idx="28">
                  <c:v>57.59</c:v>
                </c:pt>
                <c:pt idx="29">
                  <c:v>57.02</c:v>
                </c:pt>
                <c:pt idx="30">
                  <c:v>57.12</c:v>
                </c:pt>
                <c:pt idx="31">
                  <c:v>57.09</c:v>
                </c:pt>
                <c:pt idx="32">
                  <c:v>55.57</c:v>
                </c:pt>
                <c:pt idx="33">
                  <c:v>55.22</c:v>
                </c:pt>
                <c:pt idx="34">
                  <c:v>54.69</c:v>
                </c:pt>
                <c:pt idx="35">
                  <c:v>54.34</c:v>
                </c:pt>
                <c:pt idx="36">
                  <c:v>55.12</c:v>
                </c:pt>
                <c:pt idx="37">
                  <c:v>53.94</c:v>
                </c:pt>
                <c:pt idx="38">
                  <c:v>53.35</c:v>
                </c:pt>
                <c:pt idx="39">
                  <c:v>55.09</c:v>
                </c:pt>
                <c:pt idx="40">
                  <c:v>53.31</c:v>
                </c:pt>
                <c:pt idx="41">
                  <c:v>52</c:v>
                </c:pt>
                <c:pt idx="42">
                  <c:v>53.46</c:v>
                </c:pt>
                <c:pt idx="43">
                  <c:v>53.49</c:v>
                </c:pt>
                <c:pt idx="44">
                  <c:v>52.78</c:v>
                </c:pt>
                <c:pt idx="45">
                  <c:v>50.8</c:v>
                </c:pt>
                <c:pt idx="46">
                  <c:v>50.57</c:v>
                </c:pt>
                <c:pt idx="47">
                  <c:v>49.13</c:v>
                </c:pt>
                <c:pt idx="48">
                  <c:v>49.76</c:v>
                </c:pt>
                <c:pt idx="49">
                  <c:v>48.44</c:v>
                </c:pt>
                <c:pt idx="50">
                  <c:v>47.62</c:v>
                </c:pt>
                <c:pt idx="51">
                  <c:v>49.22</c:v>
                </c:pt>
                <c:pt idx="52">
                  <c:v>49.83</c:v>
                </c:pt>
                <c:pt idx="53">
                  <c:v>51.6</c:v>
                </c:pt>
                <c:pt idx="54">
                  <c:v>50.77</c:v>
                </c:pt>
                <c:pt idx="55">
                  <c:v>52.49</c:v>
                </c:pt>
                <c:pt idx="56">
                  <c:v>51.61</c:v>
                </c:pt>
                <c:pt idx="57">
                  <c:v>51.33</c:v>
                </c:pt>
                <c:pt idx="58">
                  <c:v>51.03</c:v>
                </c:pt>
                <c:pt idx="59">
                  <c:v>52.17</c:v>
                </c:pt>
                <c:pt idx="60">
                  <c:v>53.96</c:v>
                </c:pt>
                <c:pt idx="61">
                  <c:v>54.86</c:v>
                </c:pt>
                <c:pt idx="62">
                  <c:v>55.88</c:v>
                </c:pt>
                <c:pt idx="63">
                  <c:v>56.45</c:v>
                </c:pt>
                <c:pt idx="64">
                  <c:v>56.69</c:v>
                </c:pt>
                <c:pt idx="65">
                  <c:v>56.4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454328"/>
        <c:axId val="593454720"/>
      </c:lineChart>
      <c:dateAx>
        <c:axId val="5934543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54720"/>
        <c:crosses val="autoZero"/>
        <c:auto val="1"/>
        <c:lblOffset val="100"/>
        <c:baseTimeUnit val="days"/>
      </c:dateAx>
      <c:valAx>
        <c:axId val="5934547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5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42460</c:v>
                </c:pt>
                <c:pt idx="1">
                  <c:v>42459</c:v>
                </c:pt>
                <c:pt idx="2">
                  <c:v>42458</c:v>
                </c:pt>
                <c:pt idx="3">
                  <c:v>42457</c:v>
                </c:pt>
                <c:pt idx="4">
                  <c:v>42453</c:v>
                </c:pt>
                <c:pt idx="5">
                  <c:v>42452</c:v>
                </c:pt>
                <c:pt idx="6">
                  <c:v>42451</c:v>
                </c:pt>
                <c:pt idx="7">
                  <c:v>42450</c:v>
                </c:pt>
                <c:pt idx="8">
                  <c:v>42447</c:v>
                </c:pt>
                <c:pt idx="9">
                  <c:v>42446</c:v>
                </c:pt>
                <c:pt idx="10">
                  <c:v>42445</c:v>
                </c:pt>
                <c:pt idx="11">
                  <c:v>42444</c:v>
                </c:pt>
                <c:pt idx="12">
                  <c:v>42443</c:v>
                </c:pt>
                <c:pt idx="13">
                  <c:v>42440</c:v>
                </c:pt>
                <c:pt idx="14">
                  <c:v>42439</c:v>
                </c:pt>
                <c:pt idx="15">
                  <c:v>42438</c:v>
                </c:pt>
                <c:pt idx="16">
                  <c:v>42437</c:v>
                </c:pt>
                <c:pt idx="17">
                  <c:v>42436</c:v>
                </c:pt>
                <c:pt idx="18">
                  <c:v>42433</c:v>
                </c:pt>
                <c:pt idx="19">
                  <c:v>42432</c:v>
                </c:pt>
                <c:pt idx="20">
                  <c:v>42431</c:v>
                </c:pt>
                <c:pt idx="21">
                  <c:v>42430</c:v>
                </c:pt>
                <c:pt idx="22">
                  <c:v>42429</c:v>
                </c:pt>
                <c:pt idx="23">
                  <c:v>42426</c:v>
                </c:pt>
                <c:pt idx="24">
                  <c:v>42425</c:v>
                </c:pt>
                <c:pt idx="25">
                  <c:v>42424</c:v>
                </c:pt>
                <c:pt idx="26">
                  <c:v>42423</c:v>
                </c:pt>
                <c:pt idx="27">
                  <c:v>42422</c:v>
                </c:pt>
                <c:pt idx="28">
                  <c:v>42419</c:v>
                </c:pt>
                <c:pt idx="29">
                  <c:v>42418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42403</c:v>
                </c:pt>
                <c:pt idx="41">
                  <c:v>42402</c:v>
                </c:pt>
                <c:pt idx="42">
                  <c:v>42401</c:v>
                </c:pt>
                <c:pt idx="43">
                  <c:v>42398</c:v>
                </c:pt>
                <c:pt idx="44">
                  <c:v>42397</c:v>
                </c:pt>
                <c:pt idx="45">
                  <c:v>42396</c:v>
                </c:pt>
                <c:pt idx="46">
                  <c:v>42395</c:v>
                </c:pt>
                <c:pt idx="47">
                  <c:v>42394</c:v>
                </c:pt>
                <c:pt idx="48">
                  <c:v>42391</c:v>
                </c:pt>
                <c:pt idx="49">
                  <c:v>42390</c:v>
                </c:pt>
                <c:pt idx="50">
                  <c:v>42389</c:v>
                </c:pt>
                <c:pt idx="51">
                  <c:v>42388</c:v>
                </c:pt>
                <c:pt idx="52">
                  <c:v>42384</c:v>
                </c:pt>
                <c:pt idx="53">
                  <c:v>42383</c:v>
                </c:pt>
                <c:pt idx="54">
                  <c:v>42382</c:v>
                </c:pt>
                <c:pt idx="55">
                  <c:v>42381</c:v>
                </c:pt>
                <c:pt idx="56">
                  <c:v>42380</c:v>
                </c:pt>
                <c:pt idx="57">
                  <c:v>42377</c:v>
                </c:pt>
                <c:pt idx="58">
                  <c:v>42376</c:v>
                </c:pt>
                <c:pt idx="59">
                  <c:v>42375</c:v>
                </c:pt>
                <c:pt idx="60">
                  <c:v>42374</c:v>
                </c:pt>
                <c:pt idx="61">
                  <c:v>42373</c:v>
                </c:pt>
                <c:pt idx="62">
                  <c:v>42369</c:v>
                </c:pt>
                <c:pt idx="63">
                  <c:v>42368</c:v>
                </c:pt>
                <c:pt idx="64">
                  <c:v>42367</c:v>
                </c:pt>
                <c:pt idx="65">
                  <c:v>42366</c:v>
                </c:pt>
                <c:pt idx="66">
                  <c:v>42362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48.36</c:v>
                </c:pt>
                <c:pt idx="1">
                  <c:v>48.65</c:v>
                </c:pt>
                <c:pt idx="2">
                  <c:v>48.05</c:v>
                </c:pt>
                <c:pt idx="3">
                  <c:v>48.7</c:v>
                </c:pt>
                <c:pt idx="4">
                  <c:v>48.9</c:v>
                </c:pt>
                <c:pt idx="5">
                  <c:v>49.76</c:v>
                </c:pt>
                <c:pt idx="6">
                  <c:v>50.37</c:v>
                </c:pt>
                <c:pt idx="7">
                  <c:v>50.67</c:v>
                </c:pt>
                <c:pt idx="8">
                  <c:v>50.54</c:v>
                </c:pt>
                <c:pt idx="9">
                  <c:v>49.73</c:v>
                </c:pt>
                <c:pt idx="10">
                  <c:v>49.54</c:v>
                </c:pt>
                <c:pt idx="11">
                  <c:v>49.98</c:v>
                </c:pt>
                <c:pt idx="12">
                  <c:v>49.88</c:v>
                </c:pt>
                <c:pt idx="13">
                  <c:v>50.07</c:v>
                </c:pt>
                <c:pt idx="14">
                  <c:v>48.51</c:v>
                </c:pt>
                <c:pt idx="15">
                  <c:v>48.79</c:v>
                </c:pt>
                <c:pt idx="16">
                  <c:v>49.05</c:v>
                </c:pt>
                <c:pt idx="17">
                  <c:v>50.07</c:v>
                </c:pt>
                <c:pt idx="18">
                  <c:v>50.11</c:v>
                </c:pt>
                <c:pt idx="19">
                  <c:v>49.77</c:v>
                </c:pt>
                <c:pt idx="20">
                  <c:v>49.57</c:v>
                </c:pt>
                <c:pt idx="21">
                  <c:v>48.72</c:v>
                </c:pt>
                <c:pt idx="22">
                  <c:v>46.92</c:v>
                </c:pt>
                <c:pt idx="23">
                  <c:v>48.07</c:v>
                </c:pt>
                <c:pt idx="24">
                  <c:v>47.75</c:v>
                </c:pt>
                <c:pt idx="25">
                  <c:v>47.61</c:v>
                </c:pt>
                <c:pt idx="26">
                  <c:v>48.1</c:v>
                </c:pt>
                <c:pt idx="27">
                  <c:v>49.19</c:v>
                </c:pt>
                <c:pt idx="28">
                  <c:v>48.09</c:v>
                </c:pt>
                <c:pt idx="29">
                  <c:v>47.73</c:v>
                </c:pt>
                <c:pt idx="30">
                  <c:v>48.13</c:v>
                </c:pt>
                <c:pt idx="31">
                  <c:v>48.24</c:v>
                </c:pt>
                <c:pt idx="32">
                  <c:v>47.31</c:v>
                </c:pt>
                <c:pt idx="33">
                  <c:v>45.16</c:v>
                </c:pt>
                <c:pt idx="34">
                  <c:v>46.17</c:v>
                </c:pt>
                <c:pt idx="35">
                  <c:v>46.45</c:v>
                </c:pt>
                <c:pt idx="36">
                  <c:v>46.5</c:v>
                </c:pt>
                <c:pt idx="37">
                  <c:v>47.86</c:v>
                </c:pt>
                <c:pt idx="38">
                  <c:v>48.25</c:v>
                </c:pt>
                <c:pt idx="39">
                  <c:v>47.6</c:v>
                </c:pt>
                <c:pt idx="41">
                  <c:v>48.83</c:v>
                </c:pt>
                <c:pt idx="42">
                  <c:v>49.94</c:v>
                </c:pt>
                <c:pt idx="43">
                  <c:v>50.23</c:v>
                </c:pt>
                <c:pt idx="44">
                  <c:v>48.92</c:v>
                </c:pt>
                <c:pt idx="45">
                  <c:v>48.57</c:v>
                </c:pt>
                <c:pt idx="46">
                  <c:v>48.26</c:v>
                </c:pt>
                <c:pt idx="47">
                  <c:v>47.66</c:v>
                </c:pt>
                <c:pt idx="48">
                  <c:v>49.02</c:v>
                </c:pt>
                <c:pt idx="49">
                  <c:v>48.01</c:v>
                </c:pt>
                <c:pt idx="50">
                  <c:v>47.87</c:v>
                </c:pt>
                <c:pt idx="51">
                  <c:v>48.21</c:v>
                </c:pt>
                <c:pt idx="52">
                  <c:v>48.82</c:v>
                </c:pt>
                <c:pt idx="53">
                  <c:v>50.64</c:v>
                </c:pt>
                <c:pt idx="54">
                  <c:v>49.73</c:v>
                </c:pt>
                <c:pt idx="55">
                  <c:v>51.36</c:v>
                </c:pt>
                <c:pt idx="56">
                  <c:v>50.09</c:v>
                </c:pt>
                <c:pt idx="57">
                  <c:v>49.56</c:v>
                </c:pt>
                <c:pt idx="58">
                  <c:v>50.4</c:v>
                </c:pt>
                <c:pt idx="59">
                  <c:v>51.88</c:v>
                </c:pt>
                <c:pt idx="60">
                  <c:v>52.89</c:v>
                </c:pt>
                <c:pt idx="61">
                  <c:v>52.91</c:v>
                </c:pt>
                <c:pt idx="62">
                  <c:v>54.36</c:v>
                </c:pt>
                <c:pt idx="63">
                  <c:v>54.89</c:v>
                </c:pt>
                <c:pt idx="64">
                  <c:v>55.29</c:v>
                </c:pt>
                <c:pt idx="65">
                  <c:v>54.68</c:v>
                </c:pt>
                <c:pt idx="66">
                  <c:v>54.82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459424"/>
        <c:axId val="593460600"/>
      </c:lineChart>
      <c:dateAx>
        <c:axId val="593459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60600"/>
        <c:crosses val="autoZero"/>
        <c:auto val="1"/>
        <c:lblOffset val="100"/>
        <c:baseTimeUnit val="days"/>
      </c:dateAx>
      <c:valAx>
        <c:axId val="5934606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5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42460</c:v>
                </c:pt>
                <c:pt idx="1">
                  <c:v>42459</c:v>
                </c:pt>
                <c:pt idx="2">
                  <c:v>42458</c:v>
                </c:pt>
                <c:pt idx="3">
                  <c:v>42457</c:v>
                </c:pt>
                <c:pt idx="4">
                  <c:v>42453</c:v>
                </c:pt>
                <c:pt idx="5">
                  <c:v>42452</c:v>
                </c:pt>
                <c:pt idx="6">
                  <c:v>42451</c:v>
                </c:pt>
                <c:pt idx="7">
                  <c:v>42450</c:v>
                </c:pt>
                <c:pt idx="8">
                  <c:v>42447</c:v>
                </c:pt>
                <c:pt idx="9">
                  <c:v>42446</c:v>
                </c:pt>
                <c:pt idx="10">
                  <c:v>42445</c:v>
                </c:pt>
                <c:pt idx="11">
                  <c:v>42444</c:v>
                </c:pt>
                <c:pt idx="12">
                  <c:v>42443</c:v>
                </c:pt>
                <c:pt idx="13">
                  <c:v>42440</c:v>
                </c:pt>
                <c:pt idx="14">
                  <c:v>42439</c:v>
                </c:pt>
                <c:pt idx="15">
                  <c:v>42438</c:v>
                </c:pt>
                <c:pt idx="16">
                  <c:v>42437</c:v>
                </c:pt>
                <c:pt idx="17">
                  <c:v>42436</c:v>
                </c:pt>
                <c:pt idx="18">
                  <c:v>42433</c:v>
                </c:pt>
                <c:pt idx="19">
                  <c:v>42432</c:v>
                </c:pt>
                <c:pt idx="20">
                  <c:v>42431</c:v>
                </c:pt>
                <c:pt idx="21">
                  <c:v>42430</c:v>
                </c:pt>
                <c:pt idx="22">
                  <c:v>42429</c:v>
                </c:pt>
                <c:pt idx="23">
                  <c:v>42426</c:v>
                </c:pt>
                <c:pt idx="24">
                  <c:v>42425</c:v>
                </c:pt>
                <c:pt idx="25">
                  <c:v>42424</c:v>
                </c:pt>
                <c:pt idx="26">
                  <c:v>42423</c:v>
                </c:pt>
                <c:pt idx="27">
                  <c:v>42422</c:v>
                </c:pt>
                <c:pt idx="28">
                  <c:v>42419</c:v>
                </c:pt>
                <c:pt idx="29">
                  <c:v>42418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42403</c:v>
                </c:pt>
                <c:pt idx="41">
                  <c:v>42402</c:v>
                </c:pt>
                <c:pt idx="42">
                  <c:v>42401</c:v>
                </c:pt>
                <c:pt idx="43">
                  <c:v>42398</c:v>
                </c:pt>
                <c:pt idx="44">
                  <c:v>42397</c:v>
                </c:pt>
                <c:pt idx="45">
                  <c:v>42396</c:v>
                </c:pt>
                <c:pt idx="46">
                  <c:v>42395</c:v>
                </c:pt>
                <c:pt idx="47">
                  <c:v>42394</c:v>
                </c:pt>
                <c:pt idx="48">
                  <c:v>42391</c:v>
                </c:pt>
                <c:pt idx="49">
                  <c:v>42390</c:v>
                </c:pt>
                <c:pt idx="50">
                  <c:v>42389</c:v>
                </c:pt>
                <c:pt idx="51">
                  <c:v>42388</c:v>
                </c:pt>
                <c:pt idx="52">
                  <c:v>42384</c:v>
                </c:pt>
                <c:pt idx="53">
                  <c:v>42383</c:v>
                </c:pt>
                <c:pt idx="54">
                  <c:v>42382</c:v>
                </c:pt>
                <c:pt idx="55">
                  <c:v>42381</c:v>
                </c:pt>
                <c:pt idx="56">
                  <c:v>42380</c:v>
                </c:pt>
                <c:pt idx="57">
                  <c:v>42377</c:v>
                </c:pt>
                <c:pt idx="58">
                  <c:v>42376</c:v>
                </c:pt>
                <c:pt idx="59">
                  <c:v>42375</c:v>
                </c:pt>
                <c:pt idx="60">
                  <c:v>42374</c:v>
                </c:pt>
                <c:pt idx="61">
                  <c:v>42373</c:v>
                </c:pt>
                <c:pt idx="62">
                  <c:v>42369</c:v>
                </c:pt>
                <c:pt idx="63">
                  <c:v>42368</c:v>
                </c:pt>
                <c:pt idx="64">
                  <c:v>42367</c:v>
                </c:pt>
                <c:pt idx="65">
                  <c:v>42366</c:v>
                </c:pt>
                <c:pt idx="66">
                  <c:v>42362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9.58</c:v>
                </c:pt>
                <c:pt idx="1">
                  <c:v>9.68</c:v>
                </c:pt>
                <c:pt idx="2">
                  <c:v>9.7200000000000006</c:v>
                </c:pt>
                <c:pt idx="3">
                  <c:v>9.6999999999999993</c:v>
                </c:pt>
                <c:pt idx="4">
                  <c:v>9.57</c:v>
                </c:pt>
                <c:pt idx="5">
                  <c:v>9.32</c:v>
                </c:pt>
                <c:pt idx="6">
                  <c:v>9.85</c:v>
                </c:pt>
                <c:pt idx="7">
                  <c:v>9.89</c:v>
                </c:pt>
                <c:pt idx="8">
                  <c:v>10.029999999999999</c:v>
                </c:pt>
                <c:pt idx="9">
                  <c:v>9.94</c:v>
                </c:pt>
                <c:pt idx="10">
                  <c:v>9.74</c:v>
                </c:pt>
                <c:pt idx="11">
                  <c:v>9.16</c:v>
                </c:pt>
                <c:pt idx="12">
                  <c:v>9.67</c:v>
                </c:pt>
                <c:pt idx="13">
                  <c:v>9.52</c:v>
                </c:pt>
                <c:pt idx="14">
                  <c:v>9.59</c:v>
                </c:pt>
                <c:pt idx="15">
                  <c:v>9.42</c:v>
                </c:pt>
                <c:pt idx="16">
                  <c:v>9.33</c:v>
                </c:pt>
                <c:pt idx="17">
                  <c:v>10.039999999999999</c:v>
                </c:pt>
                <c:pt idx="18">
                  <c:v>9.57</c:v>
                </c:pt>
                <c:pt idx="19">
                  <c:v>9.4700000000000006</c:v>
                </c:pt>
                <c:pt idx="20">
                  <c:v>9.6199999999999992</c:v>
                </c:pt>
                <c:pt idx="21">
                  <c:v>9.11</c:v>
                </c:pt>
                <c:pt idx="22">
                  <c:v>8.93</c:v>
                </c:pt>
                <c:pt idx="23">
                  <c:v>8.8699999999999992</c:v>
                </c:pt>
                <c:pt idx="24">
                  <c:v>8.8699999999999992</c:v>
                </c:pt>
                <c:pt idx="25">
                  <c:v>8.76</c:v>
                </c:pt>
                <c:pt idx="26">
                  <c:v>8.5299999999999994</c:v>
                </c:pt>
                <c:pt idx="27">
                  <c:v>8.91</c:v>
                </c:pt>
                <c:pt idx="28">
                  <c:v>7.87</c:v>
                </c:pt>
                <c:pt idx="29">
                  <c:v>8.1199999999999992</c:v>
                </c:pt>
                <c:pt idx="30">
                  <c:v>8.52</c:v>
                </c:pt>
                <c:pt idx="31">
                  <c:v>8.1199999999999992</c:v>
                </c:pt>
                <c:pt idx="32">
                  <c:v>7.69</c:v>
                </c:pt>
                <c:pt idx="33">
                  <c:v>7.33</c:v>
                </c:pt>
                <c:pt idx="34">
                  <c:v>7.54</c:v>
                </c:pt>
                <c:pt idx="35">
                  <c:v>7.81</c:v>
                </c:pt>
                <c:pt idx="36">
                  <c:v>7.9</c:v>
                </c:pt>
                <c:pt idx="37">
                  <c:v>8.1199999999999992</c:v>
                </c:pt>
                <c:pt idx="38">
                  <c:v>8.31</c:v>
                </c:pt>
                <c:pt idx="39">
                  <c:v>7.55</c:v>
                </c:pt>
                <c:pt idx="41">
                  <c:v>6.97</c:v>
                </c:pt>
                <c:pt idx="42">
                  <c:v>7.21</c:v>
                </c:pt>
                <c:pt idx="43">
                  <c:v>7.29</c:v>
                </c:pt>
                <c:pt idx="44">
                  <c:v>7</c:v>
                </c:pt>
                <c:pt idx="45">
                  <c:v>6.96</c:v>
                </c:pt>
                <c:pt idx="46">
                  <c:v>7.14</c:v>
                </c:pt>
                <c:pt idx="47">
                  <c:v>6.8</c:v>
                </c:pt>
                <c:pt idx="48">
                  <c:v>6.87</c:v>
                </c:pt>
                <c:pt idx="49">
                  <c:v>7.09</c:v>
                </c:pt>
                <c:pt idx="50">
                  <c:v>6.74</c:v>
                </c:pt>
                <c:pt idx="51">
                  <c:v>6.74</c:v>
                </c:pt>
                <c:pt idx="52">
                  <c:v>6.9</c:v>
                </c:pt>
                <c:pt idx="53">
                  <c:v>7.24</c:v>
                </c:pt>
                <c:pt idx="54">
                  <c:v>7.13</c:v>
                </c:pt>
                <c:pt idx="55">
                  <c:v>7.28</c:v>
                </c:pt>
                <c:pt idx="56">
                  <c:v>8</c:v>
                </c:pt>
                <c:pt idx="57">
                  <c:v>8.07</c:v>
                </c:pt>
                <c:pt idx="58">
                  <c:v>8.27</c:v>
                </c:pt>
                <c:pt idx="59">
                  <c:v>8.61</c:v>
                </c:pt>
                <c:pt idx="60">
                  <c:v>9.27</c:v>
                </c:pt>
                <c:pt idx="61">
                  <c:v>9.7100000000000009</c:v>
                </c:pt>
                <c:pt idx="62">
                  <c:v>9.8699999999999992</c:v>
                </c:pt>
                <c:pt idx="63">
                  <c:v>9.9600000000000009</c:v>
                </c:pt>
                <c:pt idx="64">
                  <c:v>10.130000000000001</c:v>
                </c:pt>
                <c:pt idx="65">
                  <c:v>9.98</c:v>
                </c:pt>
                <c:pt idx="66">
                  <c:v>10.119999999999999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458248"/>
        <c:axId val="593458640"/>
      </c:lineChart>
      <c:dateAx>
        <c:axId val="593458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58640"/>
        <c:crosses val="autoZero"/>
        <c:auto val="1"/>
        <c:lblOffset val="100"/>
        <c:baseTimeUnit val="days"/>
      </c:dateAx>
      <c:valAx>
        <c:axId val="59345864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5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42460</c:v>
                </c:pt>
                <c:pt idx="1">
                  <c:v>42459</c:v>
                </c:pt>
                <c:pt idx="2">
                  <c:v>42458</c:v>
                </c:pt>
                <c:pt idx="3">
                  <c:v>42457</c:v>
                </c:pt>
                <c:pt idx="4">
                  <c:v>42453</c:v>
                </c:pt>
                <c:pt idx="5">
                  <c:v>42452</c:v>
                </c:pt>
                <c:pt idx="6">
                  <c:v>42451</c:v>
                </c:pt>
                <c:pt idx="7">
                  <c:v>42450</c:v>
                </c:pt>
                <c:pt idx="8">
                  <c:v>42447</c:v>
                </c:pt>
                <c:pt idx="9">
                  <c:v>42446</c:v>
                </c:pt>
                <c:pt idx="10">
                  <c:v>42445</c:v>
                </c:pt>
                <c:pt idx="11">
                  <c:v>42444</c:v>
                </c:pt>
                <c:pt idx="12">
                  <c:v>42443</c:v>
                </c:pt>
                <c:pt idx="13">
                  <c:v>42440</c:v>
                </c:pt>
                <c:pt idx="14">
                  <c:v>42439</c:v>
                </c:pt>
                <c:pt idx="15">
                  <c:v>42438</c:v>
                </c:pt>
                <c:pt idx="16">
                  <c:v>42437</c:v>
                </c:pt>
                <c:pt idx="17">
                  <c:v>42436</c:v>
                </c:pt>
                <c:pt idx="18">
                  <c:v>42433</c:v>
                </c:pt>
                <c:pt idx="19">
                  <c:v>42432</c:v>
                </c:pt>
                <c:pt idx="20">
                  <c:v>42431</c:v>
                </c:pt>
                <c:pt idx="21">
                  <c:v>42430</c:v>
                </c:pt>
                <c:pt idx="22">
                  <c:v>42429</c:v>
                </c:pt>
                <c:pt idx="23">
                  <c:v>42426</c:v>
                </c:pt>
                <c:pt idx="24">
                  <c:v>42425</c:v>
                </c:pt>
                <c:pt idx="25">
                  <c:v>42424</c:v>
                </c:pt>
                <c:pt idx="26">
                  <c:v>42423</c:v>
                </c:pt>
                <c:pt idx="27">
                  <c:v>42422</c:v>
                </c:pt>
                <c:pt idx="28">
                  <c:v>42419</c:v>
                </c:pt>
                <c:pt idx="29">
                  <c:v>42418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25.52</c:v>
                </c:pt>
                <c:pt idx="1">
                  <c:v>25.28</c:v>
                </c:pt>
                <c:pt idx="2">
                  <c:v>25.53</c:v>
                </c:pt>
                <c:pt idx="3">
                  <c:v>24.52</c:v>
                </c:pt>
                <c:pt idx="4">
                  <c:v>24.07</c:v>
                </c:pt>
                <c:pt idx="5">
                  <c:v>24.36</c:v>
                </c:pt>
                <c:pt idx="6">
                  <c:v>24.72</c:v>
                </c:pt>
                <c:pt idx="7">
                  <c:v>24.83</c:v>
                </c:pt>
                <c:pt idx="8">
                  <c:v>24.99</c:v>
                </c:pt>
                <c:pt idx="9">
                  <c:v>24.86</c:v>
                </c:pt>
                <c:pt idx="10">
                  <c:v>24.15</c:v>
                </c:pt>
                <c:pt idx="11">
                  <c:v>24.2</c:v>
                </c:pt>
                <c:pt idx="12">
                  <c:v>24.07</c:v>
                </c:pt>
                <c:pt idx="13">
                  <c:v>24.03</c:v>
                </c:pt>
                <c:pt idx="14">
                  <c:v>23.14</c:v>
                </c:pt>
                <c:pt idx="15">
                  <c:v>23.3</c:v>
                </c:pt>
                <c:pt idx="16">
                  <c:v>23.26</c:v>
                </c:pt>
                <c:pt idx="17">
                  <c:v>23.56</c:v>
                </c:pt>
                <c:pt idx="18">
                  <c:v>23.28</c:v>
                </c:pt>
                <c:pt idx="19">
                  <c:v>23.07</c:v>
                </c:pt>
                <c:pt idx="20">
                  <c:v>22.56</c:v>
                </c:pt>
                <c:pt idx="21">
                  <c:v>21.99</c:v>
                </c:pt>
                <c:pt idx="22">
                  <c:v>19.82</c:v>
                </c:pt>
                <c:pt idx="23">
                  <c:v>19.559999999999999</c:v>
                </c:pt>
                <c:pt idx="24">
                  <c:v>19.47</c:v>
                </c:pt>
                <c:pt idx="25">
                  <c:v>19</c:v>
                </c:pt>
                <c:pt idx="26">
                  <c:v>18.25</c:v>
                </c:pt>
                <c:pt idx="27">
                  <c:v>17.690000000000001</c:v>
                </c:pt>
                <c:pt idx="28">
                  <c:v>17.010000000000002</c:v>
                </c:pt>
                <c:pt idx="29">
                  <c:v>17.02</c:v>
                </c:pt>
                <c:pt idx="30">
                  <c:v>17.46</c:v>
                </c:pt>
                <c:pt idx="31">
                  <c:v>16.73</c:v>
                </c:pt>
                <c:pt idx="32">
                  <c:v>16.079999999999998</c:v>
                </c:pt>
                <c:pt idx="33">
                  <c:v>15.5</c:v>
                </c:pt>
                <c:pt idx="34">
                  <c:v>15.88</c:v>
                </c:pt>
                <c:pt idx="35">
                  <c:v>15.64</c:v>
                </c:pt>
                <c:pt idx="36">
                  <c:v>16.21</c:v>
                </c:pt>
                <c:pt idx="37">
                  <c:v>17.420000000000002</c:v>
                </c:pt>
                <c:pt idx="38">
                  <c:v>18.510000000000002</c:v>
                </c:pt>
                <c:pt idx="39">
                  <c:v>18.57</c:v>
                </c:pt>
                <c:pt idx="40">
                  <c:v>18.36</c:v>
                </c:pt>
                <c:pt idx="41">
                  <c:v>17.850000000000001</c:v>
                </c:pt>
                <c:pt idx="42">
                  <c:v>17.809999999999999</c:v>
                </c:pt>
                <c:pt idx="43">
                  <c:v>17.09</c:v>
                </c:pt>
                <c:pt idx="44">
                  <c:v>17</c:v>
                </c:pt>
                <c:pt idx="45">
                  <c:v>17.04</c:v>
                </c:pt>
                <c:pt idx="46">
                  <c:v>16.62</c:v>
                </c:pt>
                <c:pt idx="47">
                  <c:v>16.02</c:v>
                </c:pt>
                <c:pt idx="48">
                  <c:v>15.88</c:v>
                </c:pt>
                <c:pt idx="49">
                  <c:v>15.78</c:v>
                </c:pt>
                <c:pt idx="50">
                  <c:v>15.7</c:v>
                </c:pt>
                <c:pt idx="51">
                  <c:v>16.100000000000001</c:v>
                </c:pt>
                <c:pt idx="52">
                  <c:v>16.41</c:v>
                </c:pt>
                <c:pt idx="53">
                  <c:v>16.239999999999998</c:v>
                </c:pt>
                <c:pt idx="54">
                  <c:v>16.73</c:v>
                </c:pt>
                <c:pt idx="55">
                  <c:v>16.21</c:v>
                </c:pt>
                <c:pt idx="56">
                  <c:v>16.55</c:v>
                </c:pt>
                <c:pt idx="57">
                  <c:v>17.190000000000001</c:v>
                </c:pt>
                <c:pt idx="58">
                  <c:v>17.440000000000001</c:v>
                </c:pt>
                <c:pt idx="59">
                  <c:v>17.829999999999998</c:v>
                </c:pt>
                <c:pt idx="60">
                  <c:v>17.920000000000002</c:v>
                </c:pt>
                <c:pt idx="61">
                  <c:v>17.77</c:v>
                </c:pt>
                <c:pt idx="62">
                  <c:v>17.45</c:v>
                </c:pt>
                <c:pt idx="63">
                  <c:v>17.73</c:v>
                </c:pt>
                <c:pt idx="64">
                  <c:v>17.16</c:v>
                </c:pt>
                <c:pt idx="65">
                  <c:v>17.600000000000001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624992"/>
        <c:axId val="572636360"/>
      </c:lineChart>
      <c:dateAx>
        <c:axId val="572624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636360"/>
        <c:crosses val="autoZero"/>
        <c:auto val="1"/>
        <c:lblOffset val="100"/>
        <c:baseTimeUnit val="days"/>
      </c:dateAx>
      <c:valAx>
        <c:axId val="57263636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62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42460</c:v>
                </c:pt>
                <c:pt idx="1">
                  <c:v>42459</c:v>
                </c:pt>
                <c:pt idx="2">
                  <c:v>42458</c:v>
                </c:pt>
                <c:pt idx="3">
                  <c:v>42457</c:v>
                </c:pt>
                <c:pt idx="4">
                  <c:v>42453</c:v>
                </c:pt>
                <c:pt idx="5">
                  <c:v>42452</c:v>
                </c:pt>
                <c:pt idx="6">
                  <c:v>42451</c:v>
                </c:pt>
                <c:pt idx="7">
                  <c:v>42450</c:v>
                </c:pt>
                <c:pt idx="8">
                  <c:v>42447</c:v>
                </c:pt>
                <c:pt idx="9">
                  <c:v>42446</c:v>
                </c:pt>
                <c:pt idx="10">
                  <c:v>42445</c:v>
                </c:pt>
                <c:pt idx="11">
                  <c:v>42444</c:v>
                </c:pt>
                <c:pt idx="12">
                  <c:v>42443</c:v>
                </c:pt>
                <c:pt idx="13">
                  <c:v>42440</c:v>
                </c:pt>
                <c:pt idx="14">
                  <c:v>42439</c:v>
                </c:pt>
                <c:pt idx="15">
                  <c:v>42438</c:v>
                </c:pt>
                <c:pt idx="16">
                  <c:v>42437</c:v>
                </c:pt>
                <c:pt idx="17">
                  <c:v>42436</c:v>
                </c:pt>
                <c:pt idx="18">
                  <c:v>42433</c:v>
                </c:pt>
                <c:pt idx="19">
                  <c:v>42432</c:v>
                </c:pt>
                <c:pt idx="20">
                  <c:v>42431</c:v>
                </c:pt>
                <c:pt idx="21">
                  <c:v>42430</c:v>
                </c:pt>
                <c:pt idx="22">
                  <c:v>42429</c:v>
                </c:pt>
                <c:pt idx="23">
                  <c:v>42426</c:v>
                </c:pt>
                <c:pt idx="24">
                  <c:v>42425</c:v>
                </c:pt>
                <c:pt idx="25">
                  <c:v>42425</c:v>
                </c:pt>
                <c:pt idx="26">
                  <c:v>42424</c:v>
                </c:pt>
                <c:pt idx="27">
                  <c:v>42423</c:v>
                </c:pt>
                <c:pt idx="28">
                  <c:v>42422</c:v>
                </c:pt>
                <c:pt idx="29">
                  <c:v>42419</c:v>
                </c:pt>
                <c:pt idx="30">
                  <c:v>42418</c:v>
                </c:pt>
                <c:pt idx="31">
                  <c:v>42417</c:v>
                </c:pt>
                <c:pt idx="32">
                  <c:v>42416</c:v>
                </c:pt>
                <c:pt idx="33">
                  <c:v>42412</c:v>
                </c:pt>
                <c:pt idx="34">
                  <c:v>42411</c:v>
                </c:pt>
                <c:pt idx="35">
                  <c:v>42410</c:v>
                </c:pt>
                <c:pt idx="36">
                  <c:v>42409</c:v>
                </c:pt>
                <c:pt idx="37">
                  <c:v>42408</c:v>
                </c:pt>
                <c:pt idx="38">
                  <c:v>42405</c:v>
                </c:pt>
                <c:pt idx="39">
                  <c:v>42404</c:v>
                </c:pt>
                <c:pt idx="40">
                  <c:v>42403</c:v>
                </c:pt>
                <c:pt idx="41">
                  <c:v>42402</c:v>
                </c:pt>
                <c:pt idx="42">
                  <c:v>42401</c:v>
                </c:pt>
                <c:pt idx="43">
                  <c:v>42398</c:v>
                </c:pt>
                <c:pt idx="44">
                  <c:v>42397</c:v>
                </c:pt>
                <c:pt idx="45">
                  <c:v>42396</c:v>
                </c:pt>
                <c:pt idx="46">
                  <c:v>42395</c:v>
                </c:pt>
                <c:pt idx="47">
                  <c:v>42394</c:v>
                </c:pt>
                <c:pt idx="48">
                  <c:v>42391</c:v>
                </c:pt>
                <c:pt idx="49">
                  <c:v>42390</c:v>
                </c:pt>
                <c:pt idx="50">
                  <c:v>42389</c:v>
                </c:pt>
                <c:pt idx="51">
                  <c:v>42388</c:v>
                </c:pt>
                <c:pt idx="52">
                  <c:v>42384</c:v>
                </c:pt>
                <c:pt idx="53">
                  <c:v>42383</c:v>
                </c:pt>
                <c:pt idx="54">
                  <c:v>42382</c:v>
                </c:pt>
                <c:pt idx="55">
                  <c:v>42381</c:v>
                </c:pt>
                <c:pt idx="56">
                  <c:v>42380</c:v>
                </c:pt>
                <c:pt idx="57">
                  <c:v>42377</c:v>
                </c:pt>
                <c:pt idx="58">
                  <c:v>42376</c:v>
                </c:pt>
                <c:pt idx="59">
                  <c:v>42375</c:v>
                </c:pt>
                <c:pt idx="60">
                  <c:v>42374</c:v>
                </c:pt>
                <c:pt idx="61">
                  <c:v>42373</c:v>
                </c:pt>
                <c:pt idx="62">
                  <c:v>42369</c:v>
                </c:pt>
                <c:pt idx="63">
                  <c:v>42368</c:v>
                </c:pt>
                <c:pt idx="64">
                  <c:v>42367</c:v>
                </c:pt>
                <c:pt idx="65">
                  <c:v>42366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44.29</c:v>
                </c:pt>
                <c:pt idx="1">
                  <c:v>44.37</c:v>
                </c:pt>
                <c:pt idx="2">
                  <c:v>44.95</c:v>
                </c:pt>
                <c:pt idx="3">
                  <c:v>43.81</c:v>
                </c:pt>
                <c:pt idx="4">
                  <c:v>42.98</c:v>
                </c:pt>
                <c:pt idx="5">
                  <c:v>43.09</c:v>
                </c:pt>
                <c:pt idx="6">
                  <c:v>43.27</c:v>
                </c:pt>
                <c:pt idx="7">
                  <c:v>43.17</c:v>
                </c:pt>
                <c:pt idx="8">
                  <c:v>42.98</c:v>
                </c:pt>
                <c:pt idx="9">
                  <c:v>42.63</c:v>
                </c:pt>
                <c:pt idx="10">
                  <c:v>42.16</c:v>
                </c:pt>
                <c:pt idx="11">
                  <c:v>41.37</c:v>
                </c:pt>
                <c:pt idx="12">
                  <c:v>41.27</c:v>
                </c:pt>
                <c:pt idx="13">
                  <c:v>41.16</c:v>
                </c:pt>
                <c:pt idx="14">
                  <c:v>39.799999999999997</c:v>
                </c:pt>
                <c:pt idx="15">
                  <c:v>39.85</c:v>
                </c:pt>
                <c:pt idx="16">
                  <c:v>38.700000000000003</c:v>
                </c:pt>
                <c:pt idx="17">
                  <c:v>39.590000000000003</c:v>
                </c:pt>
                <c:pt idx="18">
                  <c:v>40.98</c:v>
                </c:pt>
                <c:pt idx="19">
                  <c:v>41.28</c:v>
                </c:pt>
                <c:pt idx="20">
                  <c:v>40.31</c:v>
                </c:pt>
                <c:pt idx="21">
                  <c:v>39.51</c:v>
                </c:pt>
                <c:pt idx="22">
                  <c:v>38.01</c:v>
                </c:pt>
                <c:pt idx="23">
                  <c:v>38.67</c:v>
                </c:pt>
                <c:pt idx="24">
                  <c:v>37.869999999999997</c:v>
                </c:pt>
                <c:pt idx="26">
                  <c:v>37.74</c:v>
                </c:pt>
                <c:pt idx="27">
                  <c:v>37.869999999999997</c:v>
                </c:pt>
                <c:pt idx="28">
                  <c:v>38.11</c:v>
                </c:pt>
                <c:pt idx="29">
                  <c:v>37.46</c:v>
                </c:pt>
                <c:pt idx="30">
                  <c:v>37.5</c:v>
                </c:pt>
                <c:pt idx="31">
                  <c:v>37.43</c:v>
                </c:pt>
                <c:pt idx="32">
                  <c:v>36</c:v>
                </c:pt>
                <c:pt idx="33">
                  <c:v>34.79</c:v>
                </c:pt>
                <c:pt idx="34">
                  <c:v>33.76</c:v>
                </c:pt>
                <c:pt idx="35">
                  <c:v>34.869999999999997</c:v>
                </c:pt>
                <c:pt idx="36">
                  <c:v>34.270000000000003</c:v>
                </c:pt>
                <c:pt idx="37">
                  <c:v>34.26</c:v>
                </c:pt>
                <c:pt idx="38">
                  <c:v>36.43</c:v>
                </c:pt>
                <c:pt idx="39">
                  <c:v>37.520000000000003</c:v>
                </c:pt>
                <c:pt idx="40">
                  <c:v>36.229999999999997</c:v>
                </c:pt>
                <c:pt idx="41">
                  <c:v>37.25</c:v>
                </c:pt>
                <c:pt idx="42">
                  <c:v>39.01</c:v>
                </c:pt>
                <c:pt idx="43">
                  <c:v>38.78</c:v>
                </c:pt>
                <c:pt idx="44">
                  <c:v>37.51</c:v>
                </c:pt>
                <c:pt idx="45">
                  <c:v>37.15</c:v>
                </c:pt>
                <c:pt idx="46">
                  <c:v>38.18</c:v>
                </c:pt>
                <c:pt idx="47">
                  <c:v>37.130000000000003</c:v>
                </c:pt>
                <c:pt idx="48">
                  <c:v>36.97</c:v>
                </c:pt>
                <c:pt idx="49">
                  <c:v>36.85</c:v>
                </c:pt>
                <c:pt idx="50">
                  <c:v>36.07</c:v>
                </c:pt>
                <c:pt idx="51">
                  <c:v>36.200000000000003</c:v>
                </c:pt>
                <c:pt idx="52">
                  <c:v>37.130000000000003</c:v>
                </c:pt>
                <c:pt idx="53">
                  <c:v>37.479999999999997</c:v>
                </c:pt>
                <c:pt idx="54">
                  <c:v>37.97</c:v>
                </c:pt>
                <c:pt idx="55">
                  <c:v>39.97</c:v>
                </c:pt>
                <c:pt idx="56">
                  <c:v>39.35</c:v>
                </c:pt>
                <c:pt idx="57">
                  <c:v>39.380000000000003</c:v>
                </c:pt>
                <c:pt idx="58">
                  <c:v>40.33</c:v>
                </c:pt>
                <c:pt idx="59">
                  <c:v>42.22</c:v>
                </c:pt>
                <c:pt idx="60">
                  <c:v>43.42</c:v>
                </c:pt>
                <c:pt idx="61">
                  <c:v>43.44</c:v>
                </c:pt>
                <c:pt idx="62">
                  <c:v>44.08</c:v>
                </c:pt>
                <c:pt idx="63">
                  <c:v>43.75</c:v>
                </c:pt>
                <c:pt idx="64">
                  <c:v>44.24</c:v>
                </c:pt>
                <c:pt idx="65">
                  <c:v>44.37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630088"/>
        <c:axId val="572628520"/>
      </c:lineChart>
      <c:dateAx>
        <c:axId val="572630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628520"/>
        <c:crosses val="autoZero"/>
        <c:auto val="1"/>
        <c:lblOffset val="100"/>
        <c:baseTimeUnit val="days"/>
      </c:dateAx>
      <c:valAx>
        <c:axId val="57262852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630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42460</c:v>
                </c:pt>
                <c:pt idx="1">
                  <c:v>42459</c:v>
                </c:pt>
                <c:pt idx="2">
                  <c:v>42458</c:v>
                </c:pt>
                <c:pt idx="3">
                  <c:v>42457</c:v>
                </c:pt>
                <c:pt idx="4">
                  <c:v>42453</c:v>
                </c:pt>
                <c:pt idx="5">
                  <c:v>42452</c:v>
                </c:pt>
                <c:pt idx="6">
                  <c:v>42451</c:v>
                </c:pt>
                <c:pt idx="7">
                  <c:v>42450</c:v>
                </c:pt>
                <c:pt idx="8">
                  <c:v>42447</c:v>
                </c:pt>
                <c:pt idx="9">
                  <c:v>42446</c:v>
                </c:pt>
                <c:pt idx="10">
                  <c:v>42445</c:v>
                </c:pt>
                <c:pt idx="11">
                  <c:v>42444</c:v>
                </c:pt>
                <c:pt idx="12">
                  <c:v>42443</c:v>
                </c:pt>
                <c:pt idx="13">
                  <c:v>42440</c:v>
                </c:pt>
                <c:pt idx="14">
                  <c:v>42439</c:v>
                </c:pt>
                <c:pt idx="15">
                  <c:v>42438</c:v>
                </c:pt>
                <c:pt idx="16">
                  <c:v>42437</c:v>
                </c:pt>
                <c:pt idx="17">
                  <c:v>42436</c:v>
                </c:pt>
                <c:pt idx="18">
                  <c:v>42433</c:v>
                </c:pt>
                <c:pt idx="19">
                  <c:v>42432</c:v>
                </c:pt>
                <c:pt idx="20">
                  <c:v>42431</c:v>
                </c:pt>
                <c:pt idx="21">
                  <c:v>42430</c:v>
                </c:pt>
                <c:pt idx="22">
                  <c:v>42429</c:v>
                </c:pt>
                <c:pt idx="23">
                  <c:v>42426</c:v>
                </c:pt>
                <c:pt idx="24">
                  <c:v>42425</c:v>
                </c:pt>
                <c:pt idx="25">
                  <c:v>42424</c:v>
                </c:pt>
                <c:pt idx="26">
                  <c:v>42423</c:v>
                </c:pt>
                <c:pt idx="27">
                  <c:v>42422</c:v>
                </c:pt>
                <c:pt idx="28">
                  <c:v>42419</c:v>
                </c:pt>
                <c:pt idx="29">
                  <c:v>42418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56.96</c:v>
                </c:pt>
                <c:pt idx="1">
                  <c:v>56.87</c:v>
                </c:pt>
                <c:pt idx="2">
                  <c:v>56.37</c:v>
                </c:pt>
                <c:pt idx="3">
                  <c:v>56.27</c:v>
                </c:pt>
                <c:pt idx="4">
                  <c:v>55.53</c:v>
                </c:pt>
                <c:pt idx="5">
                  <c:v>55.93</c:v>
                </c:pt>
                <c:pt idx="6">
                  <c:v>56.04</c:v>
                </c:pt>
                <c:pt idx="7">
                  <c:v>56.92</c:v>
                </c:pt>
                <c:pt idx="8">
                  <c:v>56.97</c:v>
                </c:pt>
                <c:pt idx="9">
                  <c:v>56.79</c:v>
                </c:pt>
                <c:pt idx="10">
                  <c:v>56.06</c:v>
                </c:pt>
                <c:pt idx="11">
                  <c:v>57.29</c:v>
                </c:pt>
                <c:pt idx="12">
                  <c:v>58.54</c:v>
                </c:pt>
                <c:pt idx="13">
                  <c:v>58.5</c:v>
                </c:pt>
                <c:pt idx="14">
                  <c:v>57.37</c:v>
                </c:pt>
                <c:pt idx="15">
                  <c:v>58.14</c:v>
                </c:pt>
                <c:pt idx="16">
                  <c:v>56.75</c:v>
                </c:pt>
                <c:pt idx="17">
                  <c:v>57.43</c:v>
                </c:pt>
                <c:pt idx="18">
                  <c:v>57.16</c:v>
                </c:pt>
                <c:pt idx="19">
                  <c:v>57.19</c:v>
                </c:pt>
                <c:pt idx="20">
                  <c:v>57.84</c:v>
                </c:pt>
                <c:pt idx="21">
                  <c:v>57.29</c:v>
                </c:pt>
                <c:pt idx="22">
                  <c:v>56.65</c:v>
                </c:pt>
                <c:pt idx="23">
                  <c:v>56.58</c:v>
                </c:pt>
                <c:pt idx="24">
                  <c:v>56.47</c:v>
                </c:pt>
                <c:pt idx="25">
                  <c:v>55.44</c:v>
                </c:pt>
                <c:pt idx="26">
                  <c:v>54.77</c:v>
                </c:pt>
                <c:pt idx="27">
                  <c:v>54.82</c:v>
                </c:pt>
                <c:pt idx="28">
                  <c:v>52.73</c:v>
                </c:pt>
                <c:pt idx="29">
                  <c:v>53.24</c:v>
                </c:pt>
                <c:pt idx="30">
                  <c:v>52.49</c:v>
                </c:pt>
                <c:pt idx="31">
                  <c:v>50.76</c:v>
                </c:pt>
                <c:pt idx="32">
                  <c:v>49.57</c:v>
                </c:pt>
                <c:pt idx="33">
                  <c:v>49.14</c:v>
                </c:pt>
                <c:pt idx="34">
                  <c:v>50.16</c:v>
                </c:pt>
                <c:pt idx="35">
                  <c:v>50.23</c:v>
                </c:pt>
                <c:pt idx="36">
                  <c:v>50.2</c:v>
                </c:pt>
                <c:pt idx="37">
                  <c:v>51.84</c:v>
                </c:pt>
                <c:pt idx="38">
                  <c:v>51.72</c:v>
                </c:pt>
                <c:pt idx="39">
                  <c:v>51.72</c:v>
                </c:pt>
                <c:pt idx="40">
                  <c:v>50.11</c:v>
                </c:pt>
                <c:pt idx="41">
                  <c:v>40.44</c:v>
                </c:pt>
                <c:pt idx="42">
                  <c:v>39.9</c:v>
                </c:pt>
                <c:pt idx="43">
                  <c:v>38.729999999999997</c:v>
                </c:pt>
                <c:pt idx="44">
                  <c:v>38.03</c:v>
                </c:pt>
                <c:pt idx="45">
                  <c:v>37.79</c:v>
                </c:pt>
                <c:pt idx="46">
                  <c:v>36.729999999999997</c:v>
                </c:pt>
                <c:pt idx="47">
                  <c:v>38.409999999999997</c:v>
                </c:pt>
                <c:pt idx="48">
                  <c:v>37.51</c:v>
                </c:pt>
                <c:pt idx="49">
                  <c:v>36.49</c:v>
                </c:pt>
                <c:pt idx="50">
                  <c:v>35.76</c:v>
                </c:pt>
                <c:pt idx="51">
                  <c:v>35.57</c:v>
                </c:pt>
                <c:pt idx="52">
                  <c:v>36.11</c:v>
                </c:pt>
                <c:pt idx="53">
                  <c:v>36.15</c:v>
                </c:pt>
                <c:pt idx="54">
                  <c:v>37.520000000000003</c:v>
                </c:pt>
                <c:pt idx="55">
                  <c:v>37.14</c:v>
                </c:pt>
                <c:pt idx="56">
                  <c:v>37.79</c:v>
                </c:pt>
                <c:pt idx="57">
                  <c:v>38.96</c:v>
                </c:pt>
                <c:pt idx="58">
                  <c:v>39.76</c:v>
                </c:pt>
                <c:pt idx="59">
                  <c:v>40.72</c:v>
                </c:pt>
                <c:pt idx="60">
                  <c:v>40.369999999999997</c:v>
                </c:pt>
                <c:pt idx="61">
                  <c:v>40.06</c:v>
                </c:pt>
                <c:pt idx="62">
                  <c:v>40.22</c:v>
                </c:pt>
                <c:pt idx="63">
                  <c:v>41.01</c:v>
                </c:pt>
                <c:pt idx="64">
                  <c:v>40.630000000000003</c:v>
                </c:pt>
                <c:pt idx="65">
                  <c:v>40.86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635968"/>
        <c:axId val="572629696"/>
      </c:lineChart>
      <c:dateAx>
        <c:axId val="572635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629696"/>
        <c:crosses val="autoZero"/>
        <c:auto val="1"/>
        <c:lblOffset val="100"/>
        <c:baseTimeUnit val="days"/>
      </c:dateAx>
      <c:valAx>
        <c:axId val="5726296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63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31-Mar-16</c:v>
                </c:pt>
                <c:pt idx="1">
                  <c:v>30-Mar-16</c:v>
                </c:pt>
                <c:pt idx="2">
                  <c:v>29-Mar-16</c:v>
                </c:pt>
                <c:pt idx="3">
                  <c:v>28-Mar-16</c:v>
                </c:pt>
                <c:pt idx="4">
                  <c:v>24-Mar-16</c:v>
                </c:pt>
                <c:pt idx="5">
                  <c:v>23-Mar-16</c:v>
                </c:pt>
                <c:pt idx="6">
                  <c:v>22-Mar-16</c:v>
                </c:pt>
                <c:pt idx="7">
                  <c:v>21-Mar-16</c:v>
                </c:pt>
                <c:pt idx="8">
                  <c:v>18-Mar-16</c:v>
                </c:pt>
                <c:pt idx="9">
                  <c:v>17-Mar-16</c:v>
                </c:pt>
                <c:pt idx="10">
                  <c:v>16-Mar-16</c:v>
                </c:pt>
                <c:pt idx="11">
                  <c:v>15-Mar-16</c:v>
                </c:pt>
                <c:pt idx="12">
                  <c:v>14-Mar-16</c:v>
                </c:pt>
                <c:pt idx="13">
                  <c:v>11-Mar-16</c:v>
                </c:pt>
                <c:pt idx="14">
                  <c:v>10-Mar-16</c:v>
                </c:pt>
                <c:pt idx="15">
                  <c:v>9-Mar-16</c:v>
                </c:pt>
                <c:pt idx="16">
                  <c:v>8-Mar-16</c:v>
                </c:pt>
                <c:pt idx="17">
                  <c:v>7-Mar-16</c:v>
                </c:pt>
                <c:pt idx="18">
                  <c:v>4-Mar-16</c:v>
                </c:pt>
                <c:pt idx="19">
                  <c:v>3-Mar-16</c:v>
                </c:pt>
                <c:pt idx="20">
                  <c:v>2-Mar-16</c:v>
                </c:pt>
                <c:pt idx="21">
                  <c:v>1-Mar-16</c:v>
                </c:pt>
                <c:pt idx="22">
                  <c:v>29-Feb-16</c:v>
                </c:pt>
                <c:pt idx="23">
                  <c:v>26-Feb-16</c:v>
                </c:pt>
                <c:pt idx="24">
                  <c:v>25-Feb-16</c:v>
                </c:pt>
                <c:pt idx="25">
                  <c:v>25-Feb-16</c:v>
                </c:pt>
                <c:pt idx="26">
                  <c:v>24-Feb-16</c:v>
                </c:pt>
                <c:pt idx="27">
                  <c:v>23-Feb-16</c:v>
                </c:pt>
                <c:pt idx="28">
                  <c:v>22-Feb-16</c:v>
                </c:pt>
                <c:pt idx="29">
                  <c:v>19-Feb-16</c:v>
                </c:pt>
                <c:pt idx="30">
                  <c:v>18-Feb-16</c:v>
                </c:pt>
                <c:pt idx="31">
                  <c:v>17-Feb-16</c:v>
                </c:pt>
                <c:pt idx="32">
                  <c:v>16-Feb-16</c:v>
                </c:pt>
                <c:pt idx="33">
                  <c:v>12-Feb-16</c:v>
                </c:pt>
                <c:pt idx="34">
                  <c:v>11-Feb-16</c:v>
                </c:pt>
                <c:pt idx="35">
                  <c:v>10-Feb-16</c:v>
                </c:pt>
                <c:pt idx="36">
                  <c:v>9-Feb-16</c:v>
                </c:pt>
                <c:pt idx="37">
                  <c:v>8-Feb-16</c:v>
                </c:pt>
                <c:pt idx="38">
                  <c:v>5-Feb-16</c:v>
                </c:pt>
                <c:pt idx="39">
                  <c:v>4-Feb-16</c:v>
                </c:pt>
                <c:pt idx="40">
                  <c:v>3-Feb-16</c:v>
                </c:pt>
                <c:pt idx="41">
                  <c:v>2-Feb-16</c:v>
                </c:pt>
                <c:pt idx="42">
                  <c:v>1-Feb-16</c:v>
                </c:pt>
                <c:pt idx="43">
                  <c:v>29-Jan-16</c:v>
                </c:pt>
                <c:pt idx="44">
                  <c:v>28-Jan-16</c:v>
                </c:pt>
                <c:pt idx="45">
                  <c:v>27-Jan-16</c:v>
                </c:pt>
                <c:pt idx="46">
                  <c:v>26-Jan-16</c:v>
                </c:pt>
                <c:pt idx="47">
                  <c:v>25-Jan-16</c:v>
                </c:pt>
                <c:pt idx="48">
                  <c:v>22-Jan-16</c:v>
                </c:pt>
                <c:pt idx="49">
                  <c:v>21-Jan-16</c:v>
                </c:pt>
                <c:pt idx="50">
                  <c:v>20-Jan-16</c:v>
                </c:pt>
                <c:pt idx="51">
                  <c:v>19-Jan-16</c:v>
                </c:pt>
                <c:pt idx="52">
                  <c:v>15-Jan-16</c:v>
                </c:pt>
                <c:pt idx="53">
                  <c:v>14-Jan-16</c:v>
                </c:pt>
                <c:pt idx="54">
                  <c:v>13-Jan-16</c:v>
                </c:pt>
                <c:pt idx="55">
                  <c:v>12-Jan-16</c:v>
                </c:pt>
                <c:pt idx="56">
                  <c:v>11-Jan-16</c:v>
                </c:pt>
                <c:pt idx="57">
                  <c:v>8-Jan-16</c:v>
                </c:pt>
                <c:pt idx="58">
                  <c:v>7-Jan-16</c:v>
                </c:pt>
                <c:pt idx="59">
                  <c:v>6-Jan-16</c:v>
                </c:pt>
                <c:pt idx="60">
                  <c:v>5-Jan-16</c:v>
                </c:pt>
                <c:pt idx="61">
                  <c:v>4-Jan-16</c:v>
                </c:pt>
                <c:pt idx="62">
                  <c:v>31-Dec-15</c:v>
                </c:pt>
                <c:pt idx="63">
                  <c:v>30-Dec-15</c:v>
                </c:pt>
                <c:pt idx="64">
                  <c:v>29-Dec-15</c:v>
                </c:pt>
                <c:pt idx="65">
                  <c:v>28-Dec-15</c:v>
                </c:pt>
                <c:pt idx="66">
                  <c:v>24-Dec-15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67.37</c:v>
                </c:pt>
                <c:pt idx="1">
                  <c:v>67.72</c:v>
                </c:pt>
                <c:pt idx="2">
                  <c:v>67.16</c:v>
                </c:pt>
                <c:pt idx="3">
                  <c:v>66.819999999999993</c:v>
                </c:pt>
                <c:pt idx="4">
                  <c:v>66.19</c:v>
                </c:pt>
                <c:pt idx="5">
                  <c:v>66.66</c:v>
                </c:pt>
                <c:pt idx="6">
                  <c:v>66.92</c:v>
                </c:pt>
                <c:pt idx="7">
                  <c:v>66.84</c:v>
                </c:pt>
                <c:pt idx="8">
                  <c:v>67.23</c:v>
                </c:pt>
                <c:pt idx="9">
                  <c:v>67.2</c:v>
                </c:pt>
                <c:pt idx="10">
                  <c:v>66.28</c:v>
                </c:pt>
                <c:pt idx="11">
                  <c:v>65.92</c:v>
                </c:pt>
                <c:pt idx="12">
                  <c:v>64.95</c:v>
                </c:pt>
                <c:pt idx="13">
                  <c:v>65.52</c:v>
                </c:pt>
                <c:pt idx="14">
                  <c:v>64.260000000000005</c:v>
                </c:pt>
                <c:pt idx="15">
                  <c:v>64.53</c:v>
                </c:pt>
                <c:pt idx="16">
                  <c:v>64.58</c:v>
                </c:pt>
                <c:pt idx="17">
                  <c:v>65.03</c:v>
                </c:pt>
                <c:pt idx="18">
                  <c:v>65.38</c:v>
                </c:pt>
                <c:pt idx="19">
                  <c:v>65.31</c:v>
                </c:pt>
                <c:pt idx="20">
                  <c:v>65.41</c:v>
                </c:pt>
                <c:pt idx="21">
                  <c:v>64.81</c:v>
                </c:pt>
                <c:pt idx="22">
                  <c:v>63.46</c:v>
                </c:pt>
                <c:pt idx="23">
                  <c:v>64.319999999999993</c:v>
                </c:pt>
                <c:pt idx="24">
                  <c:v>64.41</c:v>
                </c:pt>
                <c:pt idx="26">
                  <c:v>63.95</c:v>
                </c:pt>
                <c:pt idx="27">
                  <c:v>63.73</c:v>
                </c:pt>
                <c:pt idx="28">
                  <c:v>64.44</c:v>
                </c:pt>
                <c:pt idx="29">
                  <c:v>64</c:v>
                </c:pt>
                <c:pt idx="30">
                  <c:v>64.3</c:v>
                </c:pt>
                <c:pt idx="31">
                  <c:v>65.02</c:v>
                </c:pt>
                <c:pt idx="32">
                  <c:v>64.569999999999993</c:v>
                </c:pt>
                <c:pt idx="33">
                  <c:v>63.91</c:v>
                </c:pt>
                <c:pt idx="34">
                  <c:v>62.32</c:v>
                </c:pt>
                <c:pt idx="35">
                  <c:v>62.98</c:v>
                </c:pt>
                <c:pt idx="36">
                  <c:v>63.01</c:v>
                </c:pt>
                <c:pt idx="37">
                  <c:v>63.33</c:v>
                </c:pt>
                <c:pt idx="38">
                  <c:v>63.37</c:v>
                </c:pt>
                <c:pt idx="39">
                  <c:v>62.05</c:v>
                </c:pt>
                <c:pt idx="40">
                  <c:v>59.64</c:v>
                </c:pt>
                <c:pt idx="41">
                  <c:v>59.97</c:v>
                </c:pt>
                <c:pt idx="42">
                  <c:v>60.53</c:v>
                </c:pt>
                <c:pt idx="43">
                  <c:v>60.6</c:v>
                </c:pt>
                <c:pt idx="44">
                  <c:v>59.22</c:v>
                </c:pt>
                <c:pt idx="45">
                  <c:v>58.41</c:v>
                </c:pt>
                <c:pt idx="46">
                  <c:v>58.18</c:v>
                </c:pt>
                <c:pt idx="47">
                  <c:v>57.7</c:v>
                </c:pt>
                <c:pt idx="48">
                  <c:v>58.53</c:v>
                </c:pt>
                <c:pt idx="49">
                  <c:v>58.15</c:v>
                </c:pt>
                <c:pt idx="50">
                  <c:v>57.99</c:v>
                </c:pt>
                <c:pt idx="51">
                  <c:v>58.44</c:v>
                </c:pt>
                <c:pt idx="52">
                  <c:v>58.13</c:v>
                </c:pt>
                <c:pt idx="53">
                  <c:v>58.42</c:v>
                </c:pt>
                <c:pt idx="54">
                  <c:v>57.91</c:v>
                </c:pt>
                <c:pt idx="55">
                  <c:v>58.65</c:v>
                </c:pt>
                <c:pt idx="56">
                  <c:v>58.02</c:v>
                </c:pt>
                <c:pt idx="57">
                  <c:v>58.23</c:v>
                </c:pt>
                <c:pt idx="58">
                  <c:v>58.44</c:v>
                </c:pt>
                <c:pt idx="59">
                  <c:v>59.85</c:v>
                </c:pt>
                <c:pt idx="60">
                  <c:v>60.53</c:v>
                </c:pt>
                <c:pt idx="61">
                  <c:v>60.67</c:v>
                </c:pt>
                <c:pt idx="62">
                  <c:v>62.09</c:v>
                </c:pt>
                <c:pt idx="63">
                  <c:v>62.81</c:v>
                </c:pt>
                <c:pt idx="64">
                  <c:v>63.19</c:v>
                </c:pt>
                <c:pt idx="65">
                  <c:v>62.64</c:v>
                </c:pt>
                <c:pt idx="66">
                  <c:v>63.14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626168"/>
        <c:axId val="572633224"/>
      </c:lineChart>
      <c:catAx>
        <c:axId val="572626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633224"/>
        <c:crosses val="autoZero"/>
        <c:auto val="1"/>
        <c:lblAlgn val="ctr"/>
        <c:lblOffset val="100"/>
        <c:noMultiLvlLbl val="0"/>
      </c:catAx>
      <c:valAx>
        <c:axId val="57263322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626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3/31/2016</c:v>
                </c:pt>
                <c:pt idx="1">
                  <c:v>3/30/2016</c:v>
                </c:pt>
                <c:pt idx="2">
                  <c:v>3/29/2016</c:v>
                </c:pt>
                <c:pt idx="3">
                  <c:v>3/28/2016</c:v>
                </c:pt>
                <c:pt idx="4">
                  <c:v>3/24/2016</c:v>
                </c:pt>
                <c:pt idx="5">
                  <c:v>3/23/2016</c:v>
                </c:pt>
                <c:pt idx="6">
                  <c:v>3/22/2016</c:v>
                </c:pt>
                <c:pt idx="7">
                  <c:v>3/21/2016</c:v>
                </c:pt>
                <c:pt idx="8">
                  <c:v>3/18/2016</c:v>
                </c:pt>
                <c:pt idx="9">
                  <c:v>3/17/2016</c:v>
                </c:pt>
                <c:pt idx="10">
                  <c:v>3/16/2016</c:v>
                </c:pt>
                <c:pt idx="11">
                  <c:v>3/15/2016</c:v>
                </c:pt>
                <c:pt idx="12">
                  <c:v>3/14/2016</c:v>
                </c:pt>
                <c:pt idx="13">
                  <c:v>3/11/2016</c:v>
                </c:pt>
                <c:pt idx="14">
                  <c:v>3/10/2016</c:v>
                </c:pt>
                <c:pt idx="15">
                  <c:v>3/9/2016</c:v>
                </c:pt>
                <c:pt idx="16">
                  <c:v>3/8/2016</c:v>
                </c:pt>
                <c:pt idx="17">
                  <c:v>3/7/2016</c:v>
                </c:pt>
                <c:pt idx="18">
                  <c:v>3/4/2016</c:v>
                </c:pt>
                <c:pt idx="19">
                  <c:v>3/3/2016</c:v>
                </c:pt>
                <c:pt idx="20">
                  <c:v>3/2/2016</c:v>
                </c:pt>
                <c:pt idx="21">
                  <c:v>3/1/2016</c:v>
                </c:pt>
                <c:pt idx="22">
                  <c:v>2/29/2016</c:v>
                </c:pt>
                <c:pt idx="23">
                  <c:v>2/26/2016</c:v>
                </c:pt>
                <c:pt idx="24">
                  <c:v>2/25/2016</c:v>
                </c:pt>
                <c:pt idx="25">
                  <c:v>2/24/2016</c:v>
                </c:pt>
                <c:pt idx="26">
                  <c:v>2/23/2016</c:v>
                </c:pt>
                <c:pt idx="27">
                  <c:v>2/22/2016</c:v>
                </c:pt>
                <c:pt idx="28">
                  <c:v>2/19/2016</c:v>
                </c:pt>
                <c:pt idx="29">
                  <c:v>2/18/2016</c:v>
                </c:pt>
                <c:pt idx="30">
                  <c:v>2/17/2016</c:v>
                </c:pt>
                <c:pt idx="31">
                  <c:v>2/16/2016</c:v>
                </c:pt>
                <c:pt idx="32">
                  <c:v>2/12/2016</c:v>
                </c:pt>
                <c:pt idx="33">
                  <c:v>2/11/2016</c:v>
                </c:pt>
                <c:pt idx="34">
                  <c:v>2/10/2016</c:v>
                </c:pt>
                <c:pt idx="35">
                  <c:v>2/9/2016</c:v>
                </c:pt>
                <c:pt idx="36">
                  <c:v>2/8/2016</c:v>
                </c:pt>
                <c:pt idx="37">
                  <c:v>2/5/2016</c:v>
                </c:pt>
                <c:pt idx="38">
                  <c:v>2/4/2016</c:v>
                </c:pt>
                <c:pt idx="39">
                  <c:v>2/3/2016</c:v>
                </c:pt>
                <c:pt idx="40">
                  <c:v>2/3/2016</c:v>
                </c:pt>
                <c:pt idx="41">
                  <c:v>2/2/2016</c:v>
                </c:pt>
                <c:pt idx="42">
                  <c:v>2/1/2016</c:v>
                </c:pt>
                <c:pt idx="43">
                  <c:v>1/29/2016</c:v>
                </c:pt>
                <c:pt idx="44">
                  <c:v>1/28/2016</c:v>
                </c:pt>
                <c:pt idx="45">
                  <c:v>1/27/2016</c:v>
                </c:pt>
                <c:pt idx="46">
                  <c:v>1/26/2016</c:v>
                </c:pt>
                <c:pt idx="47">
                  <c:v>1/25/2016</c:v>
                </c:pt>
                <c:pt idx="48">
                  <c:v>1/22/2016</c:v>
                </c:pt>
                <c:pt idx="49">
                  <c:v>1/21/2016</c:v>
                </c:pt>
                <c:pt idx="50">
                  <c:v>1/20/2016</c:v>
                </c:pt>
                <c:pt idx="51">
                  <c:v>1/19/2016</c:v>
                </c:pt>
                <c:pt idx="52">
                  <c:v>1/15/2016</c:v>
                </c:pt>
                <c:pt idx="53">
                  <c:v>1/14/2016</c:v>
                </c:pt>
                <c:pt idx="54">
                  <c:v>1/13/2016</c:v>
                </c:pt>
                <c:pt idx="55">
                  <c:v>1/12/2016</c:v>
                </c:pt>
                <c:pt idx="56">
                  <c:v>1/11/2016</c:v>
                </c:pt>
                <c:pt idx="57">
                  <c:v>1/8/2016</c:v>
                </c:pt>
                <c:pt idx="58">
                  <c:v>1/7/2016</c:v>
                </c:pt>
                <c:pt idx="59">
                  <c:v>1/6/2016</c:v>
                </c:pt>
                <c:pt idx="60">
                  <c:v>1/5/2016</c:v>
                </c:pt>
                <c:pt idx="61">
                  <c:v>1/4/2016</c:v>
                </c:pt>
                <c:pt idx="62">
                  <c:v>12/31/2015</c:v>
                </c:pt>
                <c:pt idx="63">
                  <c:v>12/30/2015</c:v>
                </c:pt>
                <c:pt idx="64">
                  <c:v>12/29/2015</c:v>
                </c:pt>
                <c:pt idx="65">
                  <c:v>12/28/2015</c:v>
                </c:pt>
                <c:pt idx="66">
                  <c:v>12/24/2015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83.25</c:v>
                </c:pt>
                <c:pt idx="1">
                  <c:v>84.75</c:v>
                </c:pt>
                <c:pt idx="2">
                  <c:v>82.8</c:v>
                </c:pt>
                <c:pt idx="3">
                  <c:v>81.75</c:v>
                </c:pt>
                <c:pt idx="4">
                  <c:v>83.87</c:v>
                </c:pt>
                <c:pt idx="5">
                  <c:v>82.86</c:v>
                </c:pt>
                <c:pt idx="6">
                  <c:v>84.3</c:v>
                </c:pt>
                <c:pt idx="7">
                  <c:v>84.04</c:v>
                </c:pt>
                <c:pt idx="8">
                  <c:v>84.02</c:v>
                </c:pt>
                <c:pt idx="9">
                  <c:v>82.8</c:v>
                </c:pt>
                <c:pt idx="10">
                  <c:v>80.989999999999995</c:v>
                </c:pt>
                <c:pt idx="11">
                  <c:v>79</c:v>
                </c:pt>
                <c:pt idx="12">
                  <c:v>78.97</c:v>
                </c:pt>
                <c:pt idx="13">
                  <c:v>79.010000000000005</c:v>
                </c:pt>
                <c:pt idx="14">
                  <c:v>75.760000000000005</c:v>
                </c:pt>
                <c:pt idx="15">
                  <c:v>75.75</c:v>
                </c:pt>
                <c:pt idx="16">
                  <c:v>76.36</c:v>
                </c:pt>
                <c:pt idx="17">
                  <c:v>79.72</c:v>
                </c:pt>
                <c:pt idx="18">
                  <c:v>77.400000000000006</c:v>
                </c:pt>
                <c:pt idx="19">
                  <c:v>77</c:v>
                </c:pt>
                <c:pt idx="20">
                  <c:v>76.400000000000006</c:v>
                </c:pt>
                <c:pt idx="21">
                  <c:v>75.31</c:v>
                </c:pt>
                <c:pt idx="22">
                  <c:v>73.17</c:v>
                </c:pt>
                <c:pt idx="23">
                  <c:v>74.7</c:v>
                </c:pt>
                <c:pt idx="24">
                  <c:v>73.67</c:v>
                </c:pt>
                <c:pt idx="25">
                  <c:v>73.94</c:v>
                </c:pt>
                <c:pt idx="26">
                  <c:v>73.87</c:v>
                </c:pt>
                <c:pt idx="27">
                  <c:v>75.959999999999994</c:v>
                </c:pt>
                <c:pt idx="28">
                  <c:v>75</c:v>
                </c:pt>
                <c:pt idx="29">
                  <c:v>74.83</c:v>
                </c:pt>
                <c:pt idx="30">
                  <c:v>75.77</c:v>
                </c:pt>
                <c:pt idx="31">
                  <c:v>73.989999999999995</c:v>
                </c:pt>
                <c:pt idx="32">
                  <c:v>72.56</c:v>
                </c:pt>
                <c:pt idx="33">
                  <c:v>71.67</c:v>
                </c:pt>
                <c:pt idx="34">
                  <c:v>73.02</c:v>
                </c:pt>
                <c:pt idx="35">
                  <c:v>71.42</c:v>
                </c:pt>
                <c:pt idx="36">
                  <c:v>70.489999999999995</c:v>
                </c:pt>
                <c:pt idx="37">
                  <c:v>70.14</c:v>
                </c:pt>
                <c:pt idx="38">
                  <c:v>69.37</c:v>
                </c:pt>
                <c:pt idx="39">
                  <c:v>67.319999999999993</c:v>
                </c:pt>
                <c:pt idx="41">
                  <c:v>66.599999999999994</c:v>
                </c:pt>
                <c:pt idx="42">
                  <c:v>70.19</c:v>
                </c:pt>
                <c:pt idx="43">
                  <c:v>70.5</c:v>
                </c:pt>
                <c:pt idx="44">
                  <c:v>70.11</c:v>
                </c:pt>
                <c:pt idx="45">
                  <c:v>69.89</c:v>
                </c:pt>
                <c:pt idx="46">
                  <c:v>68.900000000000006</c:v>
                </c:pt>
                <c:pt idx="47">
                  <c:v>67.73</c:v>
                </c:pt>
                <c:pt idx="48">
                  <c:v>68.59</c:v>
                </c:pt>
                <c:pt idx="49">
                  <c:v>70.069999999999993</c:v>
                </c:pt>
                <c:pt idx="50">
                  <c:v>71.180000000000007</c:v>
                </c:pt>
                <c:pt idx="51">
                  <c:v>71.849999999999994</c:v>
                </c:pt>
                <c:pt idx="52">
                  <c:v>71.77</c:v>
                </c:pt>
                <c:pt idx="53">
                  <c:v>72.150000000000006</c:v>
                </c:pt>
                <c:pt idx="54">
                  <c:v>71.44</c:v>
                </c:pt>
                <c:pt idx="55">
                  <c:v>75.930000000000007</c:v>
                </c:pt>
                <c:pt idx="56">
                  <c:v>75.97</c:v>
                </c:pt>
                <c:pt idx="57">
                  <c:v>77.790000000000006</c:v>
                </c:pt>
                <c:pt idx="58">
                  <c:v>78</c:v>
                </c:pt>
                <c:pt idx="59">
                  <c:v>79.48</c:v>
                </c:pt>
                <c:pt idx="60">
                  <c:v>82.27</c:v>
                </c:pt>
                <c:pt idx="61">
                  <c:v>81.81</c:v>
                </c:pt>
                <c:pt idx="62">
                  <c:v>84.59</c:v>
                </c:pt>
                <c:pt idx="63">
                  <c:v>84.86</c:v>
                </c:pt>
                <c:pt idx="64">
                  <c:v>85.56</c:v>
                </c:pt>
                <c:pt idx="65">
                  <c:v>85.59</c:v>
                </c:pt>
                <c:pt idx="66">
                  <c:v>86.78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634792"/>
        <c:axId val="572636752"/>
      </c:lineChart>
      <c:catAx>
        <c:axId val="572634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636752"/>
        <c:crosses val="autoZero"/>
        <c:auto val="1"/>
        <c:lblAlgn val="ctr"/>
        <c:lblOffset val="100"/>
        <c:noMultiLvlLbl val="0"/>
      </c:catAx>
      <c:valAx>
        <c:axId val="57263675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634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42460</c:v>
                </c:pt>
                <c:pt idx="1">
                  <c:v>42459</c:v>
                </c:pt>
                <c:pt idx="2">
                  <c:v>42458</c:v>
                </c:pt>
                <c:pt idx="3">
                  <c:v>42457</c:v>
                </c:pt>
                <c:pt idx="4">
                  <c:v>42453</c:v>
                </c:pt>
                <c:pt idx="5">
                  <c:v>42452</c:v>
                </c:pt>
                <c:pt idx="6">
                  <c:v>42451</c:v>
                </c:pt>
                <c:pt idx="7">
                  <c:v>42450</c:v>
                </c:pt>
                <c:pt idx="8">
                  <c:v>42447</c:v>
                </c:pt>
                <c:pt idx="9">
                  <c:v>42446</c:v>
                </c:pt>
                <c:pt idx="10">
                  <c:v>42445</c:v>
                </c:pt>
                <c:pt idx="11">
                  <c:v>42444</c:v>
                </c:pt>
                <c:pt idx="12">
                  <c:v>42443</c:v>
                </c:pt>
                <c:pt idx="13">
                  <c:v>42440</c:v>
                </c:pt>
                <c:pt idx="14">
                  <c:v>42439</c:v>
                </c:pt>
                <c:pt idx="15">
                  <c:v>42438</c:v>
                </c:pt>
                <c:pt idx="16">
                  <c:v>42437</c:v>
                </c:pt>
                <c:pt idx="17">
                  <c:v>42436</c:v>
                </c:pt>
                <c:pt idx="18">
                  <c:v>42433</c:v>
                </c:pt>
                <c:pt idx="19">
                  <c:v>42432</c:v>
                </c:pt>
                <c:pt idx="20">
                  <c:v>42431</c:v>
                </c:pt>
                <c:pt idx="21">
                  <c:v>42430</c:v>
                </c:pt>
                <c:pt idx="22">
                  <c:v>42429</c:v>
                </c:pt>
                <c:pt idx="23">
                  <c:v>42426</c:v>
                </c:pt>
                <c:pt idx="24">
                  <c:v>42425</c:v>
                </c:pt>
                <c:pt idx="25">
                  <c:v>42424</c:v>
                </c:pt>
                <c:pt idx="26">
                  <c:v>42423</c:v>
                </c:pt>
                <c:pt idx="27">
                  <c:v>42422</c:v>
                </c:pt>
                <c:pt idx="28">
                  <c:v>42419</c:v>
                </c:pt>
                <c:pt idx="29">
                  <c:v>42418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24.58</c:v>
                </c:pt>
                <c:pt idx="1">
                  <c:v>23.31</c:v>
                </c:pt>
                <c:pt idx="2">
                  <c:v>22.47</c:v>
                </c:pt>
                <c:pt idx="3">
                  <c:v>21.69</c:v>
                </c:pt>
                <c:pt idx="4">
                  <c:v>22.22</c:v>
                </c:pt>
                <c:pt idx="5">
                  <c:v>22.36</c:v>
                </c:pt>
                <c:pt idx="6">
                  <c:v>24.77</c:v>
                </c:pt>
                <c:pt idx="7">
                  <c:v>26.56</c:v>
                </c:pt>
                <c:pt idx="8">
                  <c:v>27.06</c:v>
                </c:pt>
                <c:pt idx="9">
                  <c:v>26.76</c:v>
                </c:pt>
                <c:pt idx="10">
                  <c:v>26.81</c:v>
                </c:pt>
                <c:pt idx="11">
                  <c:v>27.37</c:v>
                </c:pt>
                <c:pt idx="12">
                  <c:v>26.93</c:v>
                </c:pt>
                <c:pt idx="13">
                  <c:v>25.69</c:v>
                </c:pt>
                <c:pt idx="14">
                  <c:v>26.15</c:v>
                </c:pt>
                <c:pt idx="15">
                  <c:v>26.2</c:v>
                </c:pt>
                <c:pt idx="16">
                  <c:v>25.08</c:v>
                </c:pt>
                <c:pt idx="17">
                  <c:v>24.19</c:v>
                </c:pt>
                <c:pt idx="18">
                  <c:v>22.39</c:v>
                </c:pt>
                <c:pt idx="19">
                  <c:v>22.49</c:v>
                </c:pt>
                <c:pt idx="20">
                  <c:v>19.46</c:v>
                </c:pt>
                <c:pt idx="21">
                  <c:v>18.010000000000002</c:v>
                </c:pt>
                <c:pt idx="22">
                  <c:v>18.43</c:v>
                </c:pt>
                <c:pt idx="23">
                  <c:v>18.8</c:v>
                </c:pt>
                <c:pt idx="24">
                  <c:v>18.64</c:v>
                </c:pt>
                <c:pt idx="25">
                  <c:v>18.899999999999999</c:v>
                </c:pt>
                <c:pt idx="26">
                  <c:v>17.95</c:v>
                </c:pt>
                <c:pt idx="27">
                  <c:v>19.079999999999998</c:v>
                </c:pt>
                <c:pt idx="28">
                  <c:v>18.82</c:v>
                </c:pt>
                <c:pt idx="29">
                  <c:v>20.05</c:v>
                </c:pt>
                <c:pt idx="30">
                  <c:v>20.79</c:v>
                </c:pt>
                <c:pt idx="31">
                  <c:v>18.37</c:v>
                </c:pt>
                <c:pt idx="32">
                  <c:v>17.38</c:v>
                </c:pt>
                <c:pt idx="33">
                  <c:v>16.670000000000002</c:v>
                </c:pt>
                <c:pt idx="34">
                  <c:v>18.63</c:v>
                </c:pt>
                <c:pt idx="35">
                  <c:v>26.35</c:v>
                </c:pt>
                <c:pt idx="36">
                  <c:v>27.94</c:v>
                </c:pt>
                <c:pt idx="37">
                  <c:v>29.57</c:v>
                </c:pt>
                <c:pt idx="38">
                  <c:v>29.49</c:v>
                </c:pt>
                <c:pt idx="39">
                  <c:v>31.36</c:v>
                </c:pt>
                <c:pt idx="40">
                  <c:v>32.04</c:v>
                </c:pt>
                <c:pt idx="41">
                  <c:v>33.76</c:v>
                </c:pt>
                <c:pt idx="42">
                  <c:v>35.65</c:v>
                </c:pt>
                <c:pt idx="43">
                  <c:v>35.619999999999997</c:v>
                </c:pt>
                <c:pt idx="44">
                  <c:v>32.840000000000003</c:v>
                </c:pt>
                <c:pt idx="45">
                  <c:v>34.24</c:v>
                </c:pt>
                <c:pt idx="46">
                  <c:v>30.62</c:v>
                </c:pt>
                <c:pt idx="47">
                  <c:v>32.04</c:v>
                </c:pt>
                <c:pt idx="48">
                  <c:v>31.77</c:v>
                </c:pt>
                <c:pt idx="49">
                  <c:v>33.82</c:v>
                </c:pt>
                <c:pt idx="50">
                  <c:v>31.09</c:v>
                </c:pt>
                <c:pt idx="51">
                  <c:v>35.200000000000003</c:v>
                </c:pt>
                <c:pt idx="52">
                  <c:v>37.119999999999997</c:v>
                </c:pt>
                <c:pt idx="53">
                  <c:v>42.76</c:v>
                </c:pt>
                <c:pt idx="54">
                  <c:v>44.72</c:v>
                </c:pt>
                <c:pt idx="55">
                  <c:v>47.69</c:v>
                </c:pt>
                <c:pt idx="56">
                  <c:v>48.81</c:v>
                </c:pt>
                <c:pt idx="57">
                  <c:v>47.07</c:v>
                </c:pt>
                <c:pt idx="58">
                  <c:v>50.2</c:v>
                </c:pt>
                <c:pt idx="59">
                  <c:v>50.44</c:v>
                </c:pt>
                <c:pt idx="60">
                  <c:v>52.79</c:v>
                </c:pt>
                <c:pt idx="61">
                  <c:v>51.02</c:v>
                </c:pt>
                <c:pt idx="62">
                  <c:v>50.8</c:v>
                </c:pt>
                <c:pt idx="63">
                  <c:v>49.74</c:v>
                </c:pt>
                <c:pt idx="64">
                  <c:v>51.31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640672"/>
        <c:axId val="572639888"/>
      </c:lineChart>
      <c:dateAx>
        <c:axId val="572640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639888"/>
        <c:crosses val="autoZero"/>
        <c:auto val="1"/>
        <c:lblOffset val="100"/>
        <c:baseTimeUnit val="days"/>
      </c:dateAx>
      <c:valAx>
        <c:axId val="5726398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64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42460</c:v>
                </c:pt>
                <c:pt idx="1">
                  <c:v>42459</c:v>
                </c:pt>
                <c:pt idx="2">
                  <c:v>42458</c:v>
                </c:pt>
                <c:pt idx="3">
                  <c:v>42457</c:v>
                </c:pt>
                <c:pt idx="4">
                  <c:v>42453</c:v>
                </c:pt>
                <c:pt idx="5">
                  <c:v>42452</c:v>
                </c:pt>
                <c:pt idx="6">
                  <c:v>42451</c:v>
                </c:pt>
                <c:pt idx="7">
                  <c:v>42450</c:v>
                </c:pt>
                <c:pt idx="8">
                  <c:v>42447</c:v>
                </c:pt>
                <c:pt idx="9">
                  <c:v>42446</c:v>
                </c:pt>
                <c:pt idx="10">
                  <c:v>42445</c:v>
                </c:pt>
                <c:pt idx="11">
                  <c:v>42444</c:v>
                </c:pt>
                <c:pt idx="12">
                  <c:v>42443</c:v>
                </c:pt>
                <c:pt idx="13">
                  <c:v>42440</c:v>
                </c:pt>
                <c:pt idx="14">
                  <c:v>42439</c:v>
                </c:pt>
                <c:pt idx="15">
                  <c:v>42438</c:v>
                </c:pt>
                <c:pt idx="16">
                  <c:v>42437</c:v>
                </c:pt>
                <c:pt idx="17">
                  <c:v>42436</c:v>
                </c:pt>
                <c:pt idx="18">
                  <c:v>42433</c:v>
                </c:pt>
                <c:pt idx="19">
                  <c:v>42432</c:v>
                </c:pt>
                <c:pt idx="20">
                  <c:v>42431</c:v>
                </c:pt>
                <c:pt idx="21">
                  <c:v>42430</c:v>
                </c:pt>
                <c:pt idx="22">
                  <c:v>42429</c:v>
                </c:pt>
                <c:pt idx="23">
                  <c:v>42426</c:v>
                </c:pt>
                <c:pt idx="24">
                  <c:v>42425</c:v>
                </c:pt>
                <c:pt idx="25">
                  <c:v>42424</c:v>
                </c:pt>
                <c:pt idx="26">
                  <c:v>42423</c:v>
                </c:pt>
                <c:pt idx="27">
                  <c:v>42422</c:v>
                </c:pt>
                <c:pt idx="28">
                  <c:v>42419</c:v>
                </c:pt>
                <c:pt idx="29">
                  <c:v>42418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9.2799999999999994</c:v>
                </c:pt>
                <c:pt idx="1">
                  <c:v>9.32</c:v>
                </c:pt>
                <c:pt idx="2">
                  <c:v>9.26</c:v>
                </c:pt>
                <c:pt idx="3">
                  <c:v>9.17</c:v>
                </c:pt>
                <c:pt idx="4">
                  <c:v>9.52</c:v>
                </c:pt>
                <c:pt idx="5">
                  <c:v>9.85</c:v>
                </c:pt>
                <c:pt idx="6">
                  <c:v>10.06</c:v>
                </c:pt>
                <c:pt idx="7">
                  <c:v>10.050000000000001</c:v>
                </c:pt>
                <c:pt idx="8">
                  <c:v>10.02</c:v>
                </c:pt>
                <c:pt idx="9">
                  <c:v>10.199999999999999</c:v>
                </c:pt>
                <c:pt idx="10">
                  <c:v>9.73</c:v>
                </c:pt>
                <c:pt idx="11">
                  <c:v>9.58</c:v>
                </c:pt>
                <c:pt idx="12">
                  <c:v>9.7100000000000009</c:v>
                </c:pt>
                <c:pt idx="13">
                  <c:v>9.49</c:v>
                </c:pt>
                <c:pt idx="14">
                  <c:v>9.3000000000000007</c:v>
                </c:pt>
                <c:pt idx="15">
                  <c:v>9.3000000000000007</c:v>
                </c:pt>
                <c:pt idx="16">
                  <c:v>9.4</c:v>
                </c:pt>
                <c:pt idx="17">
                  <c:v>9.41</c:v>
                </c:pt>
                <c:pt idx="18">
                  <c:v>9.5500000000000007</c:v>
                </c:pt>
                <c:pt idx="19">
                  <c:v>9.4</c:v>
                </c:pt>
                <c:pt idx="20">
                  <c:v>9.2799999999999994</c:v>
                </c:pt>
                <c:pt idx="21">
                  <c:v>9.19</c:v>
                </c:pt>
                <c:pt idx="22">
                  <c:v>9.09</c:v>
                </c:pt>
                <c:pt idx="23">
                  <c:v>9.2899999999999991</c:v>
                </c:pt>
                <c:pt idx="24">
                  <c:v>9.3000000000000007</c:v>
                </c:pt>
                <c:pt idx="25">
                  <c:v>9.25</c:v>
                </c:pt>
                <c:pt idx="26">
                  <c:v>9.15</c:v>
                </c:pt>
                <c:pt idx="27">
                  <c:v>9.08</c:v>
                </c:pt>
                <c:pt idx="28">
                  <c:v>8.8000000000000007</c:v>
                </c:pt>
                <c:pt idx="29">
                  <c:v>8.99</c:v>
                </c:pt>
                <c:pt idx="30">
                  <c:v>8.9499999999999993</c:v>
                </c:pt>
                <c:pt idx="31">
                  <c:v>9</c:v>
                </c:pt>
                <c:pt idx="32">
                  <c:v>8.89</c:v>
                </c:pt>
                <c:pt idx="33">
                  <c:v>8.67</c:v>
                </c:pt>
                <c:pt idx="34">
                  <c:v>8.89</c:v>
                </c:pt>
                <c:pt idx="35">
                  <c:v>8.89</c:v>
                </c:pt>
                <c:pt idx="36">
                  <c:v>9.06</c:v>
                </c:pt>
                <c:pt idx="37">
                  <c:v>8.81</c:v>
                </c:pt>
                <c:pt idx="38">
                  <c:v>9.0399999999999991</c:v>
                </c:pt>
                <c:pt idx="39">
                  <c:v>8.82</c:v>
                </c:pt>
                <c:pt idx="40">
                  <c:v>9.1</c:v>
                </c:pt>
                <c:pt idx="41">
                  <c:v>9.2899999999999991</c:v>
                </c:pt>
                <c:pt idx="42">
                  <c:v>9.1999999999999993</c:v>
                </c:pt>
                <c:pt idx="43">
                  <c:v>9.1300000000000008</c:v>
                </c:pt>
                <c:pt idx="44">
                  <c:v>8.3000000000000007</c:v>
                </c:pt>
                <c:pt idx="45">
                  <c:v>8.1300000000000008</c:v>
                </c:pt>
                <c:pt idx="46">
                  <c:v>8.11</c:v>
                </c:pt>
                <c:pt idx="47">
                  <c:v>8.3000000000000007</c:v>
                </c:pt>
                <c:pt idx="48">
                  <c:v>8.0399999999999991</c:v>
                </c:pt>
                <c:pt idx="49">
                  <c:v>7.9</c:v>
                </c:pt>
                <c:pt idx="50">
                  <c:v>8.23</c:v>
                </c:pt>
                <c:pt idx="51">
                  <c:v>7.93</c:v>
                </c:pt>
                <c:pt idx="52">
                  <c:v>8.2799999999999994</c:v>
                </c:pt>
                <c:pt idx="53">
                  <c:v>8.08</c:v>
                </c:pt>
                <c:pt idx="54">
                  <c:v>8.14</c:v>
                </c:pt>
                <c:pt idx="55">
                  <c:v>7.94</c:v>
                </c:pt>
                <c:pt idx="56">
                  <c:v>7.85</c:v>
                </c:pt>
                <c:pt idx="57">
                  <c:v>7.8</c:v>
                </c:pt>
                <c:pt idx="58">
                  <c:v>8</c:v>
                </c:pt>
                <c:pt idx="59">
                  <c:v>8.2799999999999994</c:v>
                </c:pt>
                <c:pt idx="60">
                  <c:v>7.92</c:v>
                </c:pt>
                <c:pt idx="61">
                  <c:v>8.3000000000000007</c:v>
                </c:pt>
                <c:pt idx="62">
                  <c:v>8.35</c:v>
                </c:pt>
                <c:pt idx="63">
                  <c:v>8.56</c:v>
                </c:pt>
                <c:pt idx="64">
                  <c:v>8.43</c:v>
                </c:pt>
                <c:pt idx="65">
                  <c:v>8.4600000000000009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640280"/>
        <c:axId val="636896744"/>
      </c:lineChart>
      <c:dateAx>
        <c:axId val="572640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896744"/>
        <c:crosses val="autoZero"/>
        <c:auto val="1"/>
        <c:lblOffset val="100"/>
        <c:baseTimeUnit val="days"/>
      </c:dateAx>
      <c:valAx>
        <c:axId val="636896744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64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31-Mar-16</c:v>
                </c:pt>
                <c:pt idx="1">
                  <c:v>30-Mar-16</c:v>
                </c:pt>
                <c:pt idx="2">
                  <c:v>29-Mar-16</c:v>
                </c:pt>
                <c:pt idx="3">
                  <c:v>28-Mar-16</c:v>
                </c:pt>
                <c:pt idx="4">
                  <c:v>24-Mar-16</c:v>
                </c:pt>
                <c:pt idx="5">
                  <c:v>23-Mar-16</c:v>
                </c:pt>
                <c:pt idx="6">
                  <c:v>22-Mar-16</c:v>
                </c:pt>
                <c:pt idx="7">
                  <c:v>21-Mar-16</c:v>
                </c:pt>
                <c:pt idx="8">
                  <c:v>18-Mar-16</c:v>
                </c:pt>
                <c:pt idx="9">
                  <c:v>17-Mar-16</c:v>
                </c:pt>
                <c:pt idx="10">
                  <c:v>16-Mar-16</c:v>
                </c:pt>
                <c:pt idx="11">
                  <c:v>16-Mar-16</c:v>
                </c:pt>
                <c:pt idx="12">
                  <c:v>15-Mar-16</c:v>
                </c:pt>
                <c:pt idx="13">
                  <c:v>14-Mar-16</c:v>
                </c:pt>
                <c:pt idx="14">
                  <c:v>11-Mar-16</c:v>
                </c:pt>
                <c:pt idx="15">
                  <c:v>10-Mar-16</c:v>
                </c:pt>
                <c:pt idx="16">
                  <c:v>9-Mar-16</c:v>
                </c:pt>
                <c:pt idx="17">
                  <c:v>8-Mar-16</c:v>
                </c:pt>
                <c:pt idx="18">
                  <c:v>7-Mar-16</c:v>
                </c:pt>
                <c:pt idx="19">
                  <c:v>4-Mar-16</c:v>
                </c:pt>
                <c:pt idx="20">
                  <c:v>3-Mar-16</c:v>
                </c:pt>
                <c:pt idx="21">
                  <c:v>2-Mar-16</c:v>
                </c:pt>
                <c:pt idx="22">
                  <c:v>1-Mar-16</c:v>
                </c:pt>
                <c:pt idx="23">
                  <c:v>29-Feb-16</c:v>
                </c:pt>
                <c:pt idx="24">
                  <c:v>26-Feb-16</c:v>
                </c:pt>
                <c:pt idx="25">
                  <c:v>25-Feb-16</c:v>
                </c:pt>
                <c:pt idx="26">
                  <c:v>24-Feb-16</c:v>
                </c:pt>
                <c:pt idx="27">
                  <c:v>23-Feb-16</c:v>
                </c:pt>
                <c:pt idx="28">
                  <c:v>22-Feb-16</c:v>
                </c:pt>
                <c:pt idx="29">
                  <c:v>19-Feb-16</c:v>
                </c:pt>
                <c:pt idx="30">
                  <c:v>18-Feb-16</c:v>
                </c:pt>
                <c:pt idx="31">
                  <c:v>17-Feb-16</c:v>
                </c:pt>
                <c:pt idx="32">
                  <c:v>16-Feb-16</c:v>
                </c:pt>
                <c:pt idx="33">
                  <c:v>12-Feb-16</c:v>
                </c:pt>
                <c:pt idx="34">
                  <c:v>11-Feb-16</c:v>
                </c:pt>
                <c:pt idx="35">
                  <c:v>10-Feb-16</c:v>
                </c:pt>
                <c:pt idx="36">
                  <c:v>9-Feb-16</c:v>
                </c:pt>
                <c:pt idx="37">
                  <c:v>8-Feb-16</c:v>
                </c:pt>
                <c:pt idx="38">
                  <c:v>5-Feb-16</c:v>
                </c:pt>
                <c:pt idx="39">
                  <c:v>4-Feb-16</c:v>
                </c:pt>
                <c:pt idx="40">
                  <c:v>3-Feb-16</c:v>
                </c:pt>
                <c:pt idx="41">
                  <c:v>2-Feb-16</c:v>
                </c:pt>
                <c:pt idx="42">
                  <c:v>1-Feb-16</c:v>
                </c:pt>
                <c:pt idx="43">
                  <c:v>29-Jan-16</c:v>
                </c:pt>
                <c:pt idx="44">
                  <c:v>28-Jan-16</c:v>
                </c:pt>
                <c:pt idx="45">
                  <c:v>27-Jan-16</c:v>
                </c:pt>
                <c:pt idx="46">
                  <c:v>26-Jan-16</c:v>
                </c:pt>
                <c:pt idx="47">
                  <c:v>25-Jan-16</c:v>
                </c:pt>
                <c:pt idx="48">
                  <c:v>22-Jan-16</c:v>
                </c:pt>
                <c:pt idx="49">
                  <c:v>21-Jan-16</c:v>
                </c:pt>
                <c:pt idx="50">
                  <c:v>20-Jan-16</c:v>
                </c:pt>
                <c:pt idx="51">
                  <c:v>19-Jan-16</c:v>
                </c:pt>
                <c:pt idx="52">
                  <c:v>15-Jan-16</c:v>
                </c:pt>
                <c:pt idx="53">
                  <c:v>14-Jan-16</c:v>
                </c:pt>
                <c:pt idx="54">
                  <c:v>13-Jan-16</c:v>
                </c:pt>
                <c:pt idx="55">
                  <c:v>12-Jan-16</c:v>
                </c:pt>
                <c:pt idx="56">
                  <c:v>11-Jan-16</c:v>
                </c:pt>
                <c:pt idx="57">
                  <c:v>8-Jan-16</c:v>
                </c:pt>
                <c:pt idx="58">
                  <c:v>7-Jan-16</c:v>
                </c:pt>
                <c:pt idx="59">
                  <c:v>6-Jan-16</c:v>
                </c:pt>
                <c:pt idx="60">
                  <c:v>5-Jan-16</c:v>
                </c:pt>
                <c:pt idx="61">
                  <c:v>4-Jan-16</c:v>
                </c:pt>
                <c:pt idx="62">
                  <c:v>31-Dec-15</c:v>
                </c:pt>
                <c:pt idx="63">
                  <c:v>30-Dec-15</c:v>
                </c:pt>
                <c:pt idx="64">
                  <c:v>29-Dec-15</c:v>
                </c:pt>
                <c:pt idx="65">
                  <c:v>28-Dec-15</c:v>
                </c:pt>
                <c:pt idx="66">
                  <c:v>24-Dec-15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154.5</c:v>
                </c:pt>
                <c:pt idx="1">
                  <c:v>156.93</c:v>
                </c:pt>
                <c:pt idx="2">
                  <c:v>154.13</c:v>
                </c:pt>
                <c:pt idx="3">
                  <c:v>153.1</c:v>
                </c:pt>
                <c:pt idx="4">
                  <c:v>153</c:v>
                </c:pt>
                <c:pt idx="5">
                  <c:v>152.99</c:v>
                </c:pt>
                <c:pt idx="6">
                  <c:v>154.76</c:v>
                </c:pt>
                <c:pt idx="7">
                  <c:v>152.88999999999999</c:v>
                </c:pt>
                <c:pt idx="8">
                  <c:v>152.49</c:v>
                </c:pt>
                <c:pt idx="9">
                  <c:v>151.55000000000001</c:v>
                </c:pt>
                <c:pt idx="10">
                  <c:v>148.63</c:v>
                </c:pt>
                <c:pt idx="12">
                  <c:v>148.47</c:v>
                </c:pt>
                <c:pt idx="13">
                  <c:v>148.13999999999999</c:v>
                </c:pt>
                <c:pt idx="14">
                  <c:v>148.82</c:v>
                </c:pt>
                <c:pt idx="15">
                  <c:v>144.41999999999999</c:v>
                </c:pt>
                <c:pt idx="16">
                  <c:v>141.96</c:v>
                </c:pt>
                <c:pt idx="17">
                  <c:v>139.63</c:v>
                </c:pt>
                <c:pt idx="18">
                  <c:v>143.51</c:v>
                </c:pt>
                <c:pt idx="19">
                  <c:v>146.06</c:v>
                </c:pt>
                <c:pt idx="20">
                  <c:v>137.33000000000001</c:v>
                </c:pt>
                <c:pt idx="21">
                  <c:v>136.97</c:v>
                </c:pt>
                <c:pt idx="22">
                  <c:v>138.43</c:v>
                </c:pt>
                <c:pt idx="23">
                  <c:v>133.97</c:v>
                </c:pt>
                <c:pt idx="24">
                  <c:v>133.11000000000001</c:v>
                </c:pt>
                <c:pt idx="25">
                  <c:v>132.47</c:v>
                </c:pt>
                <c:pt idx="26">
                  <c:v>130.34</c:v>
                </c:pt>
                <c:pt idx="27">
                  <c:v>128.16</c:v>
                </c:pt>
                <c:pt idx="28">
                  <c:v>130.63999999999999</c:v>
                </c:pt>
                <c:pt idx="29">
                  <c:v>128.66999999999999</c:v>
                </c:pt>
                <c:pt idx="30">
                  <c:v>127.07</c:v>
                </c:pt>
                <c:pt idx="31">
                  <c:v>130.68</c:v>
                </c:pt>
                <c:pt idx="32">
                  <c:v>126.24</c:v>
                </c:pt>
                <c:pt idx="33">
                  <c:v>121.66</c:v>
                </c:pt>
                <c:pt idx="34">
                  <c:v>116.31</c:v>
                </c:pt>
                <c:pt idx="35">
                  <c:v>119.2</c:v>
                </c:pt>
                <c:pt idx="36">
                  <c:v>119.71</c:v>
                </c:pt>
                <c:pt idx="37">
                  <c:v>121.86</c:v>
                </c:pt>
                <c:pt idx="38">
                  <c:v>128.36000000000001</c:v>
                </c:pt>
                <c:pt idx="39">
                  <c:v>136.12</c:v>
                </c:pt>
                <c:pt idx="40">
                  <c:v>131.36000000000001</c:v>
                </c:pt>
                <c:pt idx="41">
                  <c:v>133.24</c:v>
                </c:pt>
                <c:pt idx="42">
                  <c:v>137.68</c:v>
                </c:pt>
                <c:pt idx="43">
                  <c:v>133.71</c:v>
                </c:pt>
                <c:pt idx="44">
                  <c:v>126.37</c:v>
                </c:pt>
                <c:pt idx="45">
                  <c:v>122.35</c:v>
                </c:pt>
                <c:pt idx="46">
                  <c:v>124.39</c:v>
                </c:pt>
                <c:pt idx="47">
                  <c:v>124.49</c:v>
                </c:pt>
                <c:pt idx="48">
                  <c:v>124.51</c:v>
                </c:pt>
                <c:pt idx="49">
                  <c:v>124.53</c:v>
                </c:pt>
                <c:pt idx="50">
                  <c:v>123.83</c:v>
                </c:pt>
                <c:pt idx="51">
                  <c:v>120.07</c:v>
                </c:pt>
                <c:pt idx="52">
                  <c:v>119.97</c:v>
                </c:pt>
                <c:pt idx="53">
                  <c:v>125.19</c:v>
                </c:pt>
                <c:pt idx="54">
                  <c:v>123.31</c:v>
                </c:pt>
                <c:pt idx="55">
                  <c:v>129.91999999999999</c:v>
                </c:pt>
                <c:pt idx="56">
                  <c:v>128.04</c:v>
                </c:pt>
                <c:pt idx="57">
                  <c:v>128.19999999999999</c:v>
                </c:pt>
                <c:pt idx="58">
                  <c:v>129.05000000000001</c:v>
                </c:pt>
                <c:pt idx="59">
                  <c:v>133.29</c:v>
                </c:pt>
                <c:pt idx="60">
                  <c:v>137.52000000000001</c:v>
                </c:pt>
                <c:pt idx="61">
                  <c:v>142.28</c:v>
                </c:pt>
                <c:pt idx="62">
                  <c:v>145.15</c:v>
                </c:pt>
                <c:pt idx="63">
                  <c:v>147.37</c:v>
                </c:pt>
                <c:pt idx="64">
                  <c:v>147.94</c:v>
                </c:pt>
                <c:pt idx="65">
                  <c:v>146.35</c:v>
                </c:pt>
                <c:pt idx="66">
                  <c:v>146.32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901056"/>
        <c:axId val="636899488"/>
      </c:lineChart>
      <c:catAx>
        <c:axId val="636901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899488"/>
        <c:crosses val="autoZero"/>
        <c:auto val="1"/>
        <c:lblAlgn val="ctr"/>
        <c:lblOffset val="100"/>
        <c:noMultiLvlLbl val="0"/>
      </c:catAx>
      <c:valAx>
        <c:axId val="63689948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0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31-Mar-16</c:v>
                </c:pt>
                <c:pt idx="1">
                  <c:v>30-Mar-16</c:v>
                </c:pt>
                <c:pt idx="2">
                  <c:v>29-Mar-16</c:v>
                </c:pt>
                <c:pt idx="3">
                  <c:v>28-Mar-16</c:v>
                </c:pt>
                <c:pt idx="4">
                  <c:v>24-Mar-16</c:v>
                </c:pt>
                <c:pt idx="5">
                  <c:v>23-Mar-16</c:v>
                </c:pt>
                <c:pt idx="6">
                  <c:v>22-Mar-16</c:v>
                </c:pt>
                <c:pt idx="7">
                  <c:v>21-Mar-16</c:v>
                </c:pt>
                <c:pt idx="8">
                  <c:v>18-Mar-16</c:v>
                </c:pt>
                <c:pt idx="9">
                  <c:v>17-Mar-16</c:v>
                </c:pt>
                <c:pt idx="10">
                  <c:v>16-Mar-16</c:v>
                </c:pt>
                <c:pt idx="11">
                  <c:v>15-Mar-16</c:v>
                </c:pt>
                <c:pt idx="12">
                  <c:v>14-Mar-16</c:v>
                </c:pt>
                <c:pt idx="13">
                  <c:v>11-Mar-16</c:v>
                </c:pt>
                <c:pt idx="14">
                  <c:v>10-Mar-16</c:v>
                </c:pt>
                <c:pt idx="15">
                  <c:v>9-Mar-16</c:v>
                </c:pt>
                <c:pt idx="16">
                  <c:v>8-Mar-16</c:v>
                </c:pt>
                <c:pt idx="17">
                  <c:v>7-Mar-16</c:v>
                </c:pt>
                <c:pt idx="18">
                  <c:v>4-Mar-16</c:v>
                </c:pt>
                <c:pt idx="19">
                  <c:v>3-Mar-16</c:v>
                </c:pt>
                <c:pt idx="20">
                  <c:v>2-Mar-16</c:v>
                </c:pt>
                <c:pt idx="21">
                  <c:v>1-Mar-16</c:v>
                </c:pt>
                <c:pt idx="22">
                  <c:v>29-Feb-16</c:v>
                </c:pt>
                <c:pt idx="23">
                  <c:v>26-Feb-16</c:v>
                </c:pt>
                <c:pt idx="24">
                  <c:v>25-Feb-16</c:v>
                </c:pt>
                <c:pt idx="25">
                  <c:v>24-Feb-16</c:v>
                </c:pt>
                <c:pt idx="26">
                  <c:v>23-Feb-16</c:v>
                </c:pt>
                <c:pt idx="27">
                  <c:v>22-Feb-16</c:v>
                </c:pt>
                <c:pt idx="28">
                  <c:v>19-Feb-16</c:v>
                </c:pt>
                <c:pt idx="29">
                  <c:v>18-Feb-16</c:v>
                </c:pt>
                <c:pt idx="30">
                  <c:v>17-Feb-16</c:v>
                </c:pt>
                <c:pt idx="31">
                  <c:v>16-Feb-16</c:v>
                </c:pt>
                <c:pt idx="32">
                  <c:v>12-Feb-16</c:v>
                </c:pt>
                <c:pt idx="33">
                  <c:v>12-Feb-16</c:v>
                </c:pt>
                <c:pt idx="34">
                  <c:v>11-Feb-16</c:v>
                </c:pt>
                <c:pt idx="35">
                  <c:v>10-Feb-16</c:v>
                </c:pt>
                <c:pt idx="36">
                  <c:v>9-Feb-16</c:v>
                </c:pt>
                <c:pt idx="37">
                  <c:v>8-Feb-16</c:v>
                </c:pt>
                <c:pt idx="38">
                  <c:v>5-Feb-16</c:v>
                </c:pt>
                <c:pt idx="39">
                  <c:v>4-Feb-16</c:v>
                </c:pt>
                <c:pt idx="40">
                  <c:v>3-Feb-16</c:v>
                </c:pt>
                <c:pt idx="41">
                  <c:v>2-Feb-16</c:v>
                </c:pt>
                <c:pt idx="42">
                  <c:v>1-Feb-16</c:v>
                </c:pt>
                <c:pt idx="43">
                  <c:v>29-Jan-16</c:v>
                </c:pt>
                <c:pt idx="44">
                  <c:v>28-Jan-16</c:v>
                </c:pt>
                <c:pt idx="45">
                  <c:v>27-Jan-16</c:v>
                </c:pt>
                <c:pt idx="46">
                  <c:v>26-Jan-16</c:v>
                </c:pt>
                <c:pt idx="47">
                  <c:v>25-Jan-16</c:v>
                </c:pt>
                <c:pt idx="48">
                  <c:v>22-Jan-16</c:v>
                </c:pt>
                <c:pt idx="49">
                  <c:v>21-Jan-16</c:v>
                </c:pt>
                <c:pt idx="50">
                  <c:v>20-Jan-16</c:v>
                </c:pt>
                <c:pt idx="51">
                  <c:v>19-Jan-16</c:v>
                </c:pt>
                <c:pt idx="52">
                  <c:v>15-Jan-16</c:v>
                </c:pt>
                <c:pt idx="53">
                  <c:v>14-Jan-16</c:v>
                </c:pt>
                <c:pt idx="54">
                  <c:v>13-Jan-16</c:v>
                </c:pt>
                <c:pt idx="55">
                  <c:v>12-Jan-16</c:v>
                </c:pt>
                <c:pt idx="56">
                  <c:v>11-Jan-16</c:v>
                </c:pt>
                <c:pt idx="57">
                  <c:v>8-Jan-16</c:v>
                </c:pt>
                <c:pt idx="58">
                  <c:v>7-Jan-16</c:v>
                </c:pt>
                <c:pt idx="59">
                  <c:v>6-Jan-16</c:v>
                </c:pt>
                <c:pt idx="60">
                  <c:v>5-Jan-16</c:v>
                </c:pt>
                <c:pt idx="61">
                  <c:v>4-Jan-16</c:v>
                </c:pt>
                <c:pt idx="62">
                  <c:v>31-Dec-15</c:v>
                </c:pt>
                <c:pt idx="63">
                  <c:v>30-Dec-15</c:v>
                </c:pt>
                <c:pt idx="64">
                  <c:v>29-Dec-15</c:v>
                </c:pt>
                <c:pt idx="65">
                  <c:v>28-Dec-15</c:v>
                </c:pt>
                <c:pt idx="66">
                  <c:v>24-Dec-15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48.68</c:v>
                </c:pt>
                <c:pt idx="1">
                  <c:v>49.33</c:v>
                </c:pt>
                <c:pt idx="2">
                  <c:v>49.13</c:v>
                </c:pt>
                <c:pt idx="3">
                  <c:v>48.2</c:v>
                </c:pt>
                <c:pt idx="4">
                  <c:v>47.84</c:v>
                </c:pt>
                <c:pt idx="5">
                  <c:v>48.91</c:v>
                </c:pt>
                <c:pt idx="6">
                  <c:v>49.39</c:v>
                </c:pt>
                <c:pt idx="7">
                  <c:v>50.12</c:v>
                </c:pt>
                <c:pt idx="8">
                  <c:v>50.05</c:v>
                </c:pt>
                <c:pt idx="9">
                  <c:v>48.62</c:v>
                </c:pt>
                <c:pt idx="10">
                  <c:v>48.77</c:v>
                </c:pt>
                <c:pt idx="11">
                  <c:v>47.76</c:v>
                </c:pt>
                <c:pt idx="12">
                  <c:v>47.89</c:v>
                </c:pt>
                <c:pt idx="13">
                  <c:v>47.69</c:v>
                </c:pt>
                <c:pt idx="14">
                  <c:v>47</c:v>
                </c:pt>
                <c:pt idx="15">
                  <c:v>46.74</c:v>
                </c:pt>
                <c:pt idx="16">
                  <c:v>46.22</c:v>
                </c:pt>
                <c:pt idx="17">
                  <c:v>48.39</c:v>
                </c:pt>
                <c:pt idx="18">
                  <c:v>48.67</c:v>
                </c:pt>
                <c:pt idx="19">
                  <c:v>48.79</c:v>
                </c:pt>
                <c:pt idx="20">
                  <c:v>48.55</c:v>
                </c:pt>
                <c:pt idx="21">
                  <c:v>48.9</c:v>
                </c:pt>
                <c:pt idx="22">
                  <c:v>48.24</c:v>
                </c:pt>
                <c:pt idx="23">
                  <c:v>47.86</c:v>
                </c:pt>
                <c:pt idx="24">
                  <c:v>49.2</c:v>
                </c:pt>
                <c:pt idx="25">
                  <c:v>48.94</c:v>
                </c:pt>
                <c:pt idx="26">
                  <c:v>48.95</c:v>
                </c:pt>
                <c:pt idx="27">
                  <c:v>48.82</c:v>
                </c:pt>
                <c:pt idx="28">
                  <c:v>46.72</c:v>
                </c:pt>
                <c:pt idx="29">
                  <c:v>46.46</c:v>
                </c:pt>
                <c:pt idx="30">
                  <c:v>46.1</c:v>
                </c:pt>
                <c:pt idx="31">
                  <c:v>44.58</c:v>
                </c:pt>
                <c:pt idx="32">
                  <c:v>42.99</c:v>
                </c:pt>
                <c:pt idx="34">
                  <c:v>42.7</c:v>
                </c:pt>
                <c:pt idx="35">
                  <c:v>43.27</c:v>
                </c:pt>
                <c:pt idx="36">
                  <c:v>41.98</c:v>
                </c:pt>
                <c:pt idx="37">
                  <c:v>40.770000000000003</c:v>
                </c:pt>
                <c:pt idx="38">
                  <c:v>42.01</c:v>
                </c:pt>
                <c:pt idx="39">
                  <c:v>44.04</c:v>
                </c:pt>
                <c:pt idx="40">
                  <c:v>43.8</c:v>
                </c:pt>
                <c:pt idx="41">
                  <c:v>43.61</c:v>
                </c:pt>
                <c:pt idx="42">
                  <c:v>45.21</c:v>
                </c:pt>
                <c:pt idx="43">
                  <c:v>44.29</c:v>
                </c:pt>
                <c:pt idx="44">
                  <c:v>43.2</c:v>
                </c:pt>
                <c:pt idx="45">
                  <c:v>44.72</c:v>
                </c:pt>
                <c:pt idx="46">
                  <c:v>46.11</c:v>
                </c:pt>
                <c:pt idx="47">
                  <c:v>45.94</c:v>
                </c:pt>
                <c:pt idx="48">
                  <c:v>46.76</c:v>
                </c:pt>
                <c:pt idx="49">
                  <c:v>46.52</c:v>
                </c:pt>
                <c:pt idx="50">
                  <c:v>45.69</c:v>
                </c:pt>
                <c:pt idx="51">
                  <c:v>45.96</c:v>
                </c:pt>
                <c:pt idx="52">
                  <c:v>44.5</c:v>
                </c:pt>
                <c:pt idx="53">
                  <c:v>45.34</c:v>
                </c:pt>
                <c:pt idx="54">
                  <c:v>44.94</c:v>
                </c:pt>
                <c:pt idx="55">
                  <c:v>46.96</c:v>
                </c:pt>
                <c:pt idx="56">
                  <c:v>46.74</c:v>
                </c:pt>
                <c:pt idx="57">
                  <c:v>46.61</c:v>
                </c:pt>
                <c:pt idx="58">
                  <c:v>47</c:v>
                </c:pt>
                <c:pt idx="59">
                  <c:v>48.93</c:v>
                </c:pt>
                <c:pt idx="60">
                  <c:v>48.57</c:v>
                </c:pt>
                <c:pt idx="61">
                  <c:v>48.66</c:v>
                </c:pt>
                <c:pt idx="62">
                  <c:v>50.69</c:v>
                </c:pt>
                <c:pt idx="63">
                  <c:v>51.17</c:v>
                </c:pt>
                <c:pt idx="64">
                  <c:v>52.17</c:v>
                </c:pt>
                <c:pt idx="65">
                  <c:v>51.95</c:v>
                </c:pt>
                <c:pt idx="66">
                  <c:v>52.26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901448"/>
        <c:axId val="636900272"/>
      </c:lineChart>
      <c:catAx>
        <c:axId val="636901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00272"/>
        <c:crosses val="autoZero"/>
        <c:auto val="1"/>
        <c:lblAlgn val="ctr"/>
        <c:lblOffset val="100"/>
        <c:noMultiLvlLbl val="0"/>
      </c:catAx>
      <c:valAx>
        <c:axId val="636900272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01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42460</c:v>
                </c:pt>
                <c:pt idx="1">
                  <c:v>42459</c:v>
                </c:pt>
                <c:pt idx="2">
                  <c:v>42458</c:v>
                </c:pt>
                <c:pt idx="3">
                  <c:v>42457</c:v>
                </c:pt>
                <c:pt idx="4">
                  <c:v>42453</c:v>
                </c:pt>
                <c:pt idx="5">
                  <c:v>42452</c:v>
                </c:pt>
                <c:pt idx="6">
                  <c:v>42451</c:v>
                </c:pt>
                <c:pt idx="7">
                  <c:v>42450</c:v>
                </c:pt>
                <c:pt idx="8">
                  <c:v>42447</c:v>
                </c:pt>
                <c:pt idx="9">
                  <c:v>42446</c:v>
                </c:pt>
                <c:pt idx="10">
                  <c:v>42445</c:v>
                </c:pt>
                <c:pt idx="11">
                  <c:v>42444</c:v>
                </c:pt>
                <c:pt idx="12">
                  <c:v>42443</c:v>
                </c:pt>
                <c:pt idx="13">
                  <c:v>42440</c:v>
                </c:pt>
                <c:pt idx="14">
                  <c:v>42439</c:v>
                </c:pt>
                <c:pt idx="15">
                  <c:v>42438</c:v>
                </c:pt>
                <c:pt idx="16">
                  <c:v>42437</c:v>
                </c:pt>
                <c:pt idx="17">
                  <c:v>42436</c:v>
                </c:pt>
                <c:pt idx="18">
                  <c:v>42433</c:v>
                </c:pt>
                <c:pt idx="19">
                  <c:v>42432</c:v>
                </c:pt>
                <c:pt idx="20">
                  <c:v>42431</c:v>
                </c:pt>
                <c:pt idx="21">
                  <c:v>42430</c:v>
                </c:pt>
                <c:pt idx="22">
                  <c:v>42429</c:v>
                </c:pt>
                <c:pt idx="23">
                  <c:v>42426</c:v>
                </c:pt>
                <c:pt idx="24">
                  <c:v>42425</c:v>
                </c:pt>
                <c:pt idx="25">
                  <c:v>42424</c:v>
                </c:pt>
                <c:pt idx="26">
                  <c:v>42423</c:v>
                </c:pt>
                <c:pt idx="27">
                  <c:v>42422</c:v>
                </c:pt>
                <c:pt idx="28">
                  <c:v>42419</c:v>
                </c:pt>
                <c:pt idx="29">
                  <c:v>42418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99.31</c:v>
                </c:pt>
                <c:pt idx="1">
                  <c:v>98.91</c:v>
                </c:pt>
                <c:pt idx="2">
                  <c:v>98.16</c:v>
                </c:pt>
                <c:pt idx="3">
                  <c:v>98.09</c:v>
                </c:pt>
                <c:pt idx="4">
                  <c:v>97.22</c:v>
                </c:pt>
                <c:pt idx="5">
                  <c:v>96.83</c:v>
                </c:pt>
                <c:pt idx="6">
                  <c:v>97.58</c:v>
                </c:pt>
                <c:pt idx="7">
                  <c:v>98.46</c:v>
                </c:pt>
                <c:pt idx="8">
                  <c:v>99.2</c:v>
                </c:pt>
                <c:pt idx="9">
                  <c:v>99.6</c:v>
                </c:pt>
                <c:pt idx="10">
                  <c:v>98.44</c:v>
                </c:pt>
                <c:pt idx="11">
                  <c:v>98.24</c:v>
                </c:pt>
                <c:pt idx="12">
                  <c:v>98.81</c:v>
                </c:pt>
                <c:pt idx="13">
                  <c:v>97.94</c:v>
                </c:pt>
                <c:pt idx="14">
                  <c:v>97.04</c:v>
                </c:pt>
                <c:pt idx="15">
                  <c:v>97.66</c:v>
                </c:pt>
                <c:pt idx="16">
                  <c:v>97.82</c:v>
                </c:pt>
                <c:pt idx="17">
                  <c:v>99.39</c:v>
                </c:pt>
                <c:pt idx="18">
                  <c:v>98.48</c:v>
                </c:pt>
                <c:pt idx="19">
                  <c:v>98.82</c:v>
                </c:pt>
                <c:pt idx="20">
                  <c:v>97</c:v>
                </c:pt>
                <c:pt idx="21">
                  <c:v>97.65</c:v>
                </c:pt>
                <c:pt idx="22">
                  <c:v>95.52</c:v>
                </c:pt>
                <c:pt idx="23">
                  <c:v>95.31</c:v>
                </c:pt>
                <c:pt idx="24">
                  <c:v>95.65</c:v>
                </c:pt>
                <c:pt idx="25">
                  <c:v>95.43</c:v>
                </c:pt>
                <c:pt idx="26">
                  <c:v>95.38</c:v>
                </c:pt>
                <c:pt idx="27">
                  <c:v>96.37</c:v>
                </c:pt>
                <c:pt idx="28">
                  <c:v>95.01</c:v>
                </c:pt>
                <c:pt idx="29">
                  <c:v>95.17</c:v>
                </c:pt>
                <c:pt idx="30">
                  <c:v>95.5</c:v>
                </c:pt>
                <c:pt idx="31">
                  <c:v>92.91</c:v>
                </c:pt>
                <c:pt idx="32">
                  <c:v>91.15</c:v>
                </c:pt>
                <c:pt idx="33">
                  <c:v>90.31</c:v>
                </c:pt>
                <c:pt idx="34">
                  <c:v>88.85</c:v>
                </c:pt>
                <c:pt idx="35">
                  <c:v>92.32</c:v>
                </c:pt>
                <c:pt idx="36">
                  <c:v>92.12</c:v>
                </c:pt>
                <c:pt idx="37">
                  <c:v>93.9</c:v>
                </c:pt>
                <c:pt idx="38">
                  <c:v>95.43</c:v>
                </c:pt>
                <c:pt idx="39">
                  <c:v>95.14</c:v>
                </c:pt>
                <c:pt idx="40">
                  <c:v>93.12</c:v>
                </c:pt>
                <c:pt idx="41">
                  <c:v>95.15</c:v>
                </c:pt>
                <c:pt idx="42">
                  <c:v>95.82</c:v>
                </c:pt>
                <c:pt idx="43">
                  <c:v>93.53</c:v>
                </c:pt>
                <c:pt idx="44">
                  <c:v>94.32</c:v>
                </c:pt>
                <c:pt idx="45">
                  <c:v>96.27</c:v>
                </c:pt>
                <c:pt idx="46">
                  <c:v>95.29</c:v>
                </c:pt>
                <c:pt idx="47">
                  <c:v>96.9</c:v>
                </c:pt>
                <c:pt idx="48">
                  <c:v>94.02</c:v>
                </c:pt>
                <c:pt idx="49">
                  <c:v>92.54</c:v>
                </c:pt>
                <c:pt idx="50">
                  <c:v>93.97</c:v>
                </c:pt>
                <c:pt idx="51">
                  <c:v>93.9</c:v>
                </c:pt>
                <c:pt idx="52">
                  <c:v>99.11</c:v>
                </c:pt>
                <c:pt idx="53">
                  <c:v>98.48</c:v>
                </c:pt>
                <c:pt idx="54">
                  <c:v>101.46</c:v>
                </c:pt>
                <c:pt idx="55">
                  <c:v>99.92</c:v>
                </c:pt>
                <c:pt idx="56">
                  <c:v>99.25</c:v>
                </c:pt>
                <c:pt idx="57">
                  <c:v>99.5</c:v>
                </c:pt>
                <c:pt idx="58">
                  <c:v>100.36</c:v>
                </c:pt>
                <c:pt idx="59">
                  <c:v>100.9</c:v>
                </c:pt>
                <c:pt idx="60">
                  <c:v>102.98</c:v>
                </c:pt>
                <c:pt idx="61">
                  <c:v>105.08</c:v>
                </c:pt>
                <c:pt idx="62">
                  <c:v>106.34</c:v>
                </c:pt>
                <c:pt idx="63">
                  <c:v>107.08</c:v>
                </c:pt>
                <c:pt idx="64">
                  <c:v>107.25</c:v>
                </c:pt>
                <c:pt idx="65">
                  <c:v>105.86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893608"/>
        <c:axId val="636897136"/>
      </c:lineChart>
      <c:dateAx>
        <c:axId val="636893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897136"/>
        <c:crosses val="autoZero"/>
        <c:auto val="1"/>
        <c:lblOffset val="100"/>
        <c:baseTimeUnit val="days"/>
      </c:dateAx>
      <c:valAx>
        <c:axId val="6368971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893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42460</c:v>
                </c:pt>
                <c:pt idx="1">
                  <c:v>42459</c:v>
                </c:pt>
                <c:pt idx="2">
                  <c:v>42458</c:v>
                </c:pt>
                <c:pt idx="3">
                  <c:v>42457</c:v>
                </c:pt>
                <c:pt idx="4">
                  <c:v>42453</c:v>
                </c:pt>
                <c:pt idx="5">
                  <c:v>42452</c:v>
                </c:pt>
                <c:pt idx="6">
                  <c:v>42451</c:v>
                </c:pt>
                <c:pt idx="7">
                  <c:v>42450</c:v>
                </c:pt>
                <c:pt idx="8">
                  <c:v>42447</c:v>
                </c:pt>
                <c:pt idx="9">
                  <c:v>42446</c:v>
                </c:pt>
                <c:pt idx="10">
                  <c:v>42445</c:v>
                </c:pt>
                <c:pt idx="11">
                  <c:v>42444</c:v>
                </c:pt>
                <c:pt idx="12">
                  <c:v>42443</c:v>
                </c:pt>
                <c:pt idx="13">
                  <c:v>42440</c:v>
                </c:pt>
                <c:pt idx="14">
                  <c:v>42439</c:v>
                </c:pt>
                <c:pt idx="15">
                  <c:v>42438</c:v>
                </c:pt>
                <c:pt idx="16">
                  <c:v>42438</c:v>
                </c:pt>
                <c:pt idx="17">
                  <c:v>42437</c:v>
                </c:pt>
                <c:pt idx="18">
                  <c:v>42436</c:v>
                </c:pt>
                <c:pt idx="19">
                  <c:v>42433</c:v>
                </c:pt>
                <c:pt idx="20">
                  <c:v>42432</c:v>
                </c:pt>
                <c:pt idx="21">
                  <c:v>42431</c:v>
                </c:pt>
                <c:pt idx="22">
                  <c:v>42430</c:v>
                </c:pt>
                <c:pt idx="23">
                  <c:v>42429</c:v>
                </c:pt>
                <c:pt idx="24">
                  <c:v>42426</c:v>
                </c:pt>
                <c:pt idx="25">
                  <c:v>42425</c:v>
                </c:pt>
                <c:pt idx="26">
                  <c:v>42424</c:v>
                </c:pt>
                <c:pt idx="27">
                  <c:v>42423</c:v>
                </c:pt>
                <c:pt idx="28">
                  <c:v>42422</c:v>
                </c:pt>
                <c:pt idx="29">
                  <c:v>42419</c:v>
                </c:pt>
                <c:pt idx="30">
                  <c:v>42418</c:v>
                </c:pt>
                <c:pt idx="31">
                  <c:v>42417</c:v>
                </c:pt>
                <c:pt idx="32">
                  <c:v>42416</c:v>
                </c:pt>
                <c:pt idx="33">
                  <c:v>42412</c:v>
                </c:pt>
                <c:pt idx="34">
                  <c:v>42411</c:v>
                </c:pt>
                <c:pt idx="35">
                  <c:v>42410</c:v>
                </c:pt>
                <c:pt idx="36">
                  <c:v>42409</c:v>
                </c:pt>
                <c:pt idx="37">
                  <c:v>42408</c:v>
                </c:pt>
                <c:pt idx="38">
                  <c:v>42405</c:v>
                </c:pt>
                <c:pt idx="39">
                  <c:v>42404</c:v>
                </c:pt>
                <c:pt idx="40">
                  <c:v>42403</c:v>
                </c:pt>
                <c:pt idx="41">
                  <c:v>42402</c:v>
                </c:pt>
                <c:pt idx="42">
                  <c:v>42401</c:v>
                </c:pt>
                <c:pt idx="43">
                  <c:v>42398</c:v>
                </c:pt>
                <c:pt idx="44">
                  <c:v>42397</c:v>
                </c:pt>
                <c:pt idx="45">
                  <c:v>42396</c:v>
                </c:pt>
                <c:pt idx="46">
                  <c:v>42395</c:v>
                </c:pt>
                <c:pt idx="47">
                  <c:v>42394</c:v>
                </c:pt>
                <c:pt idx="48">
                  <c:v>42391</c:v>
                </c:pt>
                <c:pt idx="49">
                  <c:v>42390</c:v>
                </c:pt>
                <c:pt idx="50">
                  <c:v>42389</c:v>
                </c:pt>
                <c:pt idx="51">
                  <c:v>42388</c:v>
                </c:pt>
                <c:pt idx="52">
                  <c:v>42384</c:v>
                </c:pt>
                <c:pt idx="53">
                  <c:v>42383</c:v>
                </c:pt>
                <c:pt idx="54">
                  <c:v>42382</c:v>
                </c:pt>
                <c:pt idx="55">
                  <c:v>42381</c:v>
                </c:pt>
                <c:pt idx="56">
                  <c:v>42380</c:v>
                </c:pt>
                <c:pt idx="57">
                  <c:v>42377</c:v>
                </c:pt>
                <c:pt idx="58">
                  <c:v>42376</c:v>
                </c:pt>
                <c:pt idx="59">
                  <c:v>42375</c:v>
                </c:pt>
                <c:pt idx="60">
                  <c:v>42374</c:v>
                </c:pt>
                <c:pt idx="61">
                  <c:v>42373</c:v>
                </c:pt>
                <c:pt idx="62">
                  <c:v>42369</c:v>
                </c:pt>
                <c:pt idx="63">
                  <c:v>42368</c:v>
                </c:pt>
                <c:pt idx="64">
                  <c:v>42367</c:v>
                </c:pt>
                <c:pt idx="65">
                  <c:v>42366</c:v>
                </c:pt>
                <c:pt idx="66">
                  <c:v>42362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5.59</c:v>
                </c:pt>
                <c:pt idx="1">
                  <c:v>5.63</c:v>
                </c:pt>
                <c:pt idx="2">
                  <c:v>5.47</c:v>
                </c:pt>
                <c:pt idx="3">
                  <c:v>5.3</c:v>
                </c:pt>
                <c:pt idx="4">
                  <c:v>5.27</c:v>
                </c:pt>
                <c:pt idx="5">
                  <c:v>5.21</c:v>
                </c:pt>
                <c:pt idx="6">
                  <c:v>5.31</c:v>
                </c:pt>
                <c:pt idx="7">
                  <c:v>5.27</c:v>
                </c:pt>
                <c:pt idx="8">
                  <c:v>5.28</c:v>
                </c:pt>
                <c:pt idx="9">
                  <c:v>5.29</c:v>
                </c:pt>
                <c:pt idx="10">
                  <c:v>5.34</c:v>
                </c:pt>
                <c:pt idx="11">
                  <c:v>5.16</c:v>
                </c:pt>
                <c:pt idx="12">
                  <c:v>5.34</c:v>
                </c:pt>
                <c:pt idx="13">
                  <c:v>5.38</c:v>
                </c:pt>
                <c:pt idx="14">
                  <c:v>5.32</c:v>
                </c:pt>
                <c:pt idx="15">
                  <c:v>5.17</c:v>
                </c:pt>
                <c:pt idx="17">
                  <c:v>5.65</c:v>
                </c:pt>
                <c:pt idx="18">
                  <c:v>5.79</c:v>
                </c:pt>
                <c:pt idx="19">
                  <c:v>5.57</c:v>
                </c:pt>
                <c:pt idx="20">
                  <c:v>5.69</c:v>
                </c:pt>
                <c:pt idx="21">
                  <c:v>5.63</c:v>
                </c:pt>
                <c:pt idx="22">
                  <c:v>5.47</c:v>
                </c:pt>
                <c:pt idx="23">
                  <c:v>5.41</c:v>
                </c:pt>
                <c:pt idx="24">
                  <c:v>5.43</c:v>
                </c:pt>
                <c:pt idx="25">
                  <c:v>5.31</c:v>
                </c:pt>
                <c:pt idx="26">
                  <c:v>5.3</c:v>
                </c:pt>
                <c:pt idx="27">
                  <c:v>5.08</c:v>
                </c:pt>
                <c:pt idx="28">
                  <c:v>4.51</c:v>
                </c:pt>
                <c:pt idx="29">
                  <c:v>4.4400000000000004</c:v>
                </c:pt>
                <c:pt idx="30">
                  <c:v>4.54</c:v>
                </c:pt>
                <c:pt idx="31">
                  <c:v>4.42</c:v>
                </c:pt>
                <c:pt idx="32">
                  <c:v>4.25</c:v>
                </c:pt>
                <c:pt idx="33">
                  <c:v>4.24</c:v>
                </c:pt>
                <c:pt idx="34">
                  <c:v>4.17</c:v>
                </c:pt>
                <c:pt idx="35">
                  <c:v>4.17</c:v>
                </c:pt>
                <c:pt idx="36">
                  <c:v>4.32</c:v>
                </c:pt>
                <c:pt idx="37">
                  <c:v>4.32</c:v>
                </c:pt>
                <c:pt idx="38">
                  <c:v>4.68</c:v>
                </c:pt>
                <c:pt idx="39">
                  <c:v>4.7</c:v>
                </c:pt>
                <c:pt idx="40">
                  <c:v>4.5999999999999996</c:v>
                </c:pt>
                <c:pt idx="41">
                  <c:v>4.3499999999999996</c:v>
                </c:pt>
                <c:pt idx="42">
                  <c:v>4.58</c:v>
                </c:pt>
                <c:pt idx="43">
                  <c:v>4.55</c:v>
                </c:pt>
                <c:pt idx="44">
                  <c:v>4.51</c:v>
                </c:pt>
                <c:pt idx="45">
                  <c:v>4.45</c:v>
                </c:pt>
                <c:pt idx="46">
                  <c:v>4.42</c:v>
                </c:pt>
                <c:pt idx="47">
                  <c:v>4.1900000000000004</c:v>
                </c:pt>
                <c:pt idx="48">
                  <c:v>4.3600000000000003</c:v>
                </c:pt>
                <c:pt idx="49">
                  <c:v>4</c:v>
                </c:pt>
                <c:pt idx="50">
                  <c:v>3.94</c:v>
                </c:pt>
                <c:pt idx="51">
                  <c:v>4.18</c:v>
                </c:pt>
                <c:pt idx="52">
                  <c:v>4.24</c:v>
                </c:pt>
                <c:pt idx="53">
                  <c:v>4.37</c:v>
                </c:pt>
                <c:pt idx="54">
                  <c:v>4.17</c:v>
                </c:pt>
                <c:pt idx="55">
                  <c:v>4.38</c:v>
                </c:pt>
                <c:pt idx="56">
                  <c:v>4.51</c:v>
                </c:pt>
                <c:pt idx="57">
                  <c:v>4.67</c:v>
                </c:pt>
                <c:pt idx="58">
                  <c:v>4.6900000000000004</c:v>
                </c:pt>
                <c:pt idx="59">
                  <c:v>4.76</c:v>
                </c:pt>
                <c:pt idx="60">
                  <c:v>4.72</c:v>
                </c:pt>
                <c:pt idx="61">
                  <c:v>4.6500000000000004</c:v>
                </c:pt>
                <c:pt idx="62">
                  <c:v>4.67</c:v>
                </c:pt>
                <c:pt idx="63">
                  <c:v>4.66</c:v>
                </c:pt>
                <c:pt idx="64">
                  <c:v>4.82</c:v>
                </c:pt>
                <c:pt idx="65">
                  <c:v>4.8499999999999996</c:v>
                </c:pt>
                <c:pt idx="66">
                  <c:v>4.8600000000000003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899096"/>
        <c:axId val="636902232"/>
      </c:lineChart>
      <c:dateAx>
        <c:axId val="636899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02232"/>
        <c:crosses val="autoZero"/>
        <c:auto val="1"/>
        <c:lblOffset val="100"/>
        <c:baseTimeUnit val="days"/>
      </c:dateAx>
      <c:valAx>
        <c:axId val="63690223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899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31-Mar-16</c:v>
                </c:pt>
                <c:pt idx="1">
                  <c:v>30-Mar-16</c:v>
                </c:pt>
                <c:pt idx="2">
                  <c:v>29-Mar-16</c:v>
                </c:pt>
                <c:pt idx="3">
                  <c:v>28-Mar-16</c:v>
                </c:pt>
                <c:pt idx="4">
                  <c:v>24-Mar-16</c:v>
                </c:pt>
                <c:pt idx="5">
                  <c:v>23-Mar-16</c:v>
                </c:pt>
                <c:pt idx="6">
                  <c:v>22-Mar-16</c:v>
                </c:pt>
                <c:pt idx="7">
                  <c:v>21-Mar-16</c:v>
                </c:pt>
                <c:pt idx="8">
                  <c:v>18-Mar-16</c:v>
                </c:pt>
                <c:pt idx="9">
                  <c:v>17-Mar-16</c:v>
                </c:pt>
                <c:pt idx="10">
                  <c:v>16-Mar-16</c:v>
                </c:pt>
                <c:pt idx="11">
                  <c:v>15-Mar-16</c:v>
                </c:pt>
                <c:pt idx="12">
                  <c:v>14-Mar-16</c:v>
                </c:pt>
                <c:pt idx="13">
                  <c:v>14-Mar-16</c:v>
                </c:pt>
                <c:pt idx="14">
                  <c:v>11-Mar-16</c:v>
                </c:pt>
                <c:pt idx="15">
                  <c:v>10-Mar-16</c:v>
                </c:pt>
                <c:pt idx="16">
                  <c:v>9-Mar-16</c:v>
                </c:pt>
                <c:pt idx="17">
                  <c:v>8-Mar-16</c:v>
                </c:pt>
                <c:pt idx="18">
                  <c:v>7-Mar-16</c:v>
                </c:pt>
                <c:pt idx="19">
                  <c:v>4-Mar-16</c:v>
                </c:pt>
                <c:pt idx="20">
                  <c:v>3-Mar-16</c:v>
                </c:pt>
                <c:pt idx="21">
                  <c:v>2-Mar-16</c:v>
                </c:pt>
                <c:pt idx="22">
                  <c:v>1-Mar-16</c:v>
                </c:pt>
                <c:pt idx="23">
                  <c:v>29-Feb-16</c:v>
                </c:pt>
                <c:pt idx="24">
                  <c:v>26-Feb-16</c:v>
                </c:pt>
                <c:pt idx="25">
                  <c:v>25-Feb-16</c:v>
                </c:pt>
                <c:pt idx="26">
                  <c:v>24-Feb-16</c:v>
                </c:pt>
                <c:pt idx="27">
                  <c:v>23-Feb-16</c:v>
                </c:pt>
                <c:pt idx="28">
                  <c:v>22-Feb-16</c:v>
                </c:pt>
                <c:pt idx="29">
                  <c:v>19-Feb-16</c:v>
                </c:pt>
                <c:pt idx="30">
                  <c:v>18-Feb-16</c:v>
                </c:pt>
                <c:pt idx="31">
                  <c:v>17-Feb-16</c:v>
                </c:pt>
                <c:pt idx="32">
                  <c:v>16-Feb-16</c:v>
                </c:pt>
                <c:pt idx="33">
                  <c:v>12-Feb-16</c:v>
                </c:pt>
                <c:pt idx="34">
                  <c:v>11-Feb-16</c:v>
                </c:pt>
                <c:pt idx="35">
                  <c:v>10-Feb-16</c:v>
                </c:pt>
                <c:pt idx="36">
                  <c:v>9-Feb-16</c:v>
                </c:pt>
                <c:pt idx="37">
                  <c:v>8-Feb-16</c:v>
                </c:pt>
                <c:pt idx="38">
                  <c:v>5-Feb-16</c:v>
                </c:pt>
                <c:pt idx="39">
                  <c:v>4-Feb-16</c:v>
                </c:pt>
                <c:pt idx="40">
                  <c:v>3-Feb-16</c:v>
                </c:pt>
                <c:pt idx="41">
                  <c:v>2-Feb-16</c:v>
                </c:pt>
                <c:pt idx="42">
                  <c:v>1-Feb-16</c:v>
                </c:pt>
                <c:pt idx="43">
                  <c:v>29-Jan-16</c:v>
                </c:pt>
                <c:pt idx="44">
                  <c:v>28-Jan-16</c:v>
                </c:pt>
                <c:pt idx="45">
                  <c:v>27-Jan-16</c:v>
                </c:pt>
                <c:pt idx="46">
                  <c:v>26-Jan-16</c:v>
                </c:pt>
                <c:pt idx="47">
                  <c:v>25-Jan-16</c:v>
                </c:pt>
                <c:pt idx="48">
                  <c:v>22-Jan-16</c:v>
                </c:pt>
                <c:pt idx="49">
                  <c:v>21-Jan-16</c:v>
                </c:pt>
                <c:pt idx="50">
                  <c:v>20-Jan-16</c:v>
                </c:pt>
                <c:pt idx="51">
                  <c:v>19-Jan-16</c:v>
                </c:pt>
                <c:pt idx="52">
                  <c:v>15-Jan-16</c:v>
                </c:pt>
                <c:pt idx="53">
                  <c:v>14-Jan-16</c:v>
                </c:pt>
                <c:pt idx="54">
                  <c:v>13-Jan-16</c:v>
                </c:pt>
                <c:pt idx="55">
                  <c:v>12-Jan-16</c:v>
                </c:pt>
                <c:pt idx="56">
                  <c:v>11-Jan-16</c:v>
                </c:pt>
                <c:pt idx="57">
                  <c:v>8-Jan-16</c:v>
                </c:pt>
                <c:pt idx="58">
                  <c:v>7-Jan-16</c:v>
                </c:pt>
                <c:pt idx="59">
                  <c:v>6-Jan-16</c:v>
                </c:pt>
                <c:pt idx="60">
                  <c:v>5-Jan-16</c:v>
                </c:pt>
                <c:pt idx="61">
                  <c:v>4-Jan-16</c:v>
                </c:pt>
                <c:pt idx="62">
                  <c:v>31-Dec-15</c:v>
                </c:pt>
                <c:pt idx="63">
                  <c:v>30-Dec-15</c:v>
                </c:pt>
                <c:pt idx="64">
                  <c:v>29-Dec-15</c:v>
                </c:pt>
                <c:pt idx="65">
                  <c:v>28-Dec-15</c:v>
                </c:pt>
                <c:pt idx="66">
                  <c:v>24-Dec-15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91.86</c:v>
                </c:pt>
                <c:pt idx="1">
                  <c:v>91.97</c:v>
                </c:pt>
                <c:pt idx="2">
                  <c:v>92.2</c:v>
                </c:pt>
                <c:pt idx="3">
                  <c:v>92.46</c:v>
                </c:pt>
                <c:pt idx="4">
                  <c:v>91.32</c:v>
                </c:pt>
                <c:pt idx="5">
                  <c:v>90.08</c:v>
                </c:pt>
                <c:pt idx="6">
                  <c:v>93.72</c:v>
                </c:pt>
                <c:pt idx="7">
                  <c:v>92.67</c:v>
                </c:pt>
                <c:pt idx="8">
                  <c:v>90.27</c:v>
                </c:pt>
                <c:pt idx="9">
                  <c:v>89.53</c:v>
                </c:pt>
                <c:pt idx="10">
                  <c:v>90.28</c:v>
                </c:pt>
                <c:pt idx="11">
                  <c:v>89.44</c:v>
                </c:pt>
                <c:pt idx="12">
                  <c:v>90.46</c:v>
                </c:pt>
                <c:pt idx="14">
                  <c:v>89.65</c:v>
                </c:pt>
                <c:pt idx="15">
                  <c:v>88.64</c:v>
                </c:pt>
                <c:pt idx="16">
                  <c:v>87.83</c:v>
                </c:pt>
                <c:pt idx="17">
                  <c:v>88.66</c:v>
                </c:pt>
                <c:pt idx="18">
                  <c:v>89.65</c:v>
                </c:pt>
                <c:pt idx="19">
                  <c:v>87.21</c:v>
                </c:pt>
                <c:pt idx="20">
                  <c:v>87.83</c:v>
                </c:pt>
                <c:pt idx="21">
                  <c:v>88.8</c:v>
                </c:pt>
                <c:pt idx="22">
                  <c:v>89.69</c:v>
                </c:pt>
                <c:pt idx="23">
                  <c:v>87.25</c:v>
                </c:pt>
                <c:pt idx="24">
                  <c:v>88.1</c:v>
                </c:pt>
                <c:pt idx="25">
                  <c:v>90.16</c:v>
                </c:pt>
                <c:pt idx="26">
                  <c:v>89.36</c:v>
                </c:pt>
                <c:pt idx="27">
                  <c:v>88.35</c:v>
                </c:pt>
                <c:pt idx="28">
                  <c:v>89.1</c:v>
                </c:pt>
                <c:pt idx="29">
                  <c:v>87.44</c:v>
                </c:pt>
                <c:pt idx="30">
                  <c:v>88.99</c:v>
                </c:pt>
                <c:pt idx="31">
                  <c:v>89.36</c:v>
                </c:pt>
                <c:pt idx="32">
                  <c:v>91.15</c:v>
                </c:pt>
                <c:pt idx="33">
                  <c:v>89.44</c:v>
                </c:pt>
                <c:pt idx="34">
                  <c:v>87.36</c:v>
                </c:pt>
                <c:pt idx="35">
                  <c:v>87.8</c:v>
                </c:pt>
                <c:pt idx="36">
                  <c:v>87.25</c:v>
                </c:pt>
                <c:pt idx="37">
                  <c:v>85.26</c:v>
                </c:pt>
                <c:pt idx="38">
                  <c:v>85.14</c:v>
                </c:pt>
                <c:pt idx="39">
                  <c:v>86.68</c:v>
                </c:pt>
                <c:pt idx="40">
                  <c:v>86.39</c:v>
                </c:pt>
                <c:pt idx="41">
                  <c:v>82.71</c:v>
                </c:pt>
                <c:pt idx="42">
                  <c:v>84.05</c:v>
                </c:pt>
                <c:pt idx="43">
                  <c:v>83</c:v>
                </c:pt>
                <c:pt idx="44">
                  <c:v>87.53</c:v>
                </c:pt>
                <c:pt idx="45">
                  <c:v>89.63</c:v>
                </c:pt>
                <c:pt idx="46">
                  <c:v>92.21</c:v>
                </c:pt>
                <c:pt idx="47">
                  <c:v>90.61</c:v>
                </c:pt>
                <c:pt idx="48">
                  <c:v>91.83</c:v>
                </c:pt>
                <c:pt idx="49">
                  <c:v>88.87</c:v>
                </c:pt>
                <c:pt idx="50">
                  <c:v>90.55</c:v>
                </c:pt>
                <c:pt idx="51">
                  <c:v>89.9</c:v>
                </c:pt>
                <c:pt idx="52">
                  <c:v>91.84</c:v>
                </c:pt>
                <c:pt idx="53">
                  <c:v>93.02</c:v>
                </c:pt>
                <c:pt idx="54">
                  <c:v>92.54</c:v>
                </c:pt>
                <c:pt idx="55">
                  <c:v>97.1</c:v>
                </c:pt>
                <c:pt idx="56">
                  <c:v>96.5</c:v>
                </c:pt>
                <c:pt idx="57">
                  <c:v>96.45</c:v>
                </c:pt>
                <c:pt idx="58">
                  <c:v>96.25</c:v>
                </c:pt>
                <c:pt idx="59">
                  <c:v>100.3</c:v>
                </c:pt>
                <c:pt idx="60">
                  <c:v>99.26</c:v>
                </c:pt>
                <c:pt idx="61">
                  <c:v>98.01</c:v>
                </c:pt>
                <c:pt idx="62">
                  <c:v>101.19</c:v>
                </c:pt>
                <c:pt idx="63">
                  <c:v>102.16</c:v>
                </c:pt>
                <c:pt idx="64">
                  <c:v>103.36</c:v>
                </c:pt>
                <c:pt idx="65">
                  <c:v>101.68</c:v>
                </c:pt>
                <c:pt idx="66">
                  <c:v>103.58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904192"/>
        <c:axId val="636904584"/>
      </c:lineChart>
      <c:catAx>
        <c:axId val="636904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04584"/>
        <c:crosses val="autoZero"/>
        <c:auto val="1"/>
        <c:lblAlgn val="ctr"/>
        <c:lblOffset val="100"/>
        <c:noMultiLvlLbl val="0"/>
      </c:catAx>
      <c:valAx>
        <c:axId val="636904584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0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31-Mar-16</c:v>
                </c:pt>
                <c:pt idx="1">
                  <c:v>30-Mar-16</c:v>
                </c:pt>
                <c:pt idx="2">
                  <c:v>29-Mar-16</c:v>
                </c:pt>
                <c:pt idx="3">
                  <c:v>28-Mar-16</c:v>
                </c:pt>
                <c:pt idx="4">
                  <c:v>24-Mar-16</c:v>
                </c:pt>
                <c:pt idx="5">
                  <c:v>23-Mar-16</c:v>
                </c:pt>
                <c:pt idx="6">
                  <c:v>22-Mar-16</c:v>
                </c:pt>
                <c:pt idx="7">
                  <c:v>21-Mar-16</c:v>
                </c:pt>
                <c:pt idx="8">
                  <c:v>18-Mar-16</c:v>
                </c:pt>
                <c:pt idx="9">
                  <c:v>17-Mar-16</c:v>
                </c:pt>
                <c:pt idx="10">
                  <c:v>16-Mar-16</c:v>
                </c:pt>
                <c:pt idx="11">
                  <c:v>15-Mar-16</c:v>
                </c:pt>
                <c:pt idx="12">
                  <c:v>14-Mar-16</c:v>
                </c:pt>
                <c:pt idx="13">
                  <c:v>11-Mar-16</c:v>
                </c:pt>
                <c:pt idx="14">
                  <c:v>10-Mar-16</c:v>
                </c:pt>
                <c:pt idx="15">
                  <c:v>9-Mar-16</c:v>
                </c:pt>
                <c:pt idx="16">
                  <c:v>8-Mar-16</c:v>
                </c:pt>
                <c:pt idx="17">
                  <c:v>7-Mar-16</c:v>
                </c:pt>
                <c:pt idx="18">
                  <c:v>4-Mar-16</c:v>
                </c:pt>
                <c:pt idx="19">
                  <c:v>3-Mar-16</c:v>
                </c:pt>
                <c:pt idx="20">
                  <c:v>2-Mar-16</c:v>
                </c:pt>
                <c:pt idx="21">
                  <c:v>1-Mar-16</c:v>
                </c:pt>
                <c:pt idx="22">
                  <c:v>29-Feb-16</c:v>
                </c:pt>
                <c:pt idx="23">
                  <c:v>26-Feb-16</c:v>
                </c:pt>
                <c:pt idx="24">
                  <c:v>25-Feb-16</c:v>
                </c:pt>
                <c:pt idx="25">
                  <c:v>24-Feb-16</c:v>
                </c:pt>
                <c:pt idx="26">
                  <c:v>23-Feb-16</c:v>
                </c:pt>
                <c:pt idx="27">
                  <c:v>22-Feb-16</c:v>
                </c:pt>
                <c:pt idx="28">
                  <c:v>19-Feb-16</c:v>
                </c:pt>
                <c:pt idx="29">
                  <c:v>18-Feb-16</c:v>
                </c:pt>
                <c:pt idx="30">
                  <c:v>18-Feb-16</c:v>
                </c:pt>
                <c:pt idx="31">
                  <c:v>17-Feb-16</c:v>
                </c:pt>
                <c:pt idx="32">
                  <c:v>16-Feb-16</c:v>
                </c:pt>
                <c:pt idx="33">
                  <c:v>12-Feb-16</c:v>
                </c:pt>
                <c:pt idx="34">
                  <c:v>11-Feb-16</c:v>
                </c:pt>
                <c:pt idx="35">
                  <c:v>10-Feb-16</c:v>
                </c:pt>
                <c:pt idx="36">
                  <c:v>9-Feb-16</c:v>
                </c:pt>
                <c:pt idx="37">
                  <c:v>8-Feb-16</c:v>
                </c:pt>
                <c:pt idx="38">
                  <c:v>5-Feb-16</c:v>
                </c:pt>
                <c:pt idx="39">
                  <c:v>4-Feb-16</c:v>
                </c:pt>
                <c:pt idx="40">
                  <c:v>3-Feb-16</c:v>
                </c:pt>
                <c:pt idx="41">
                  <c:v>2-Feb-16</c:v>
                </c:pt>
                <c:pt idx="42">
                  <c:v>1-Feb-16</c:v>
                </c:pt>
                <c:pt idx="43">
                  <c:v>29-Jan-16</c:v>
                </c:pt>
                <c:pt idx="44">
                  <c:v>28-Jan-16</c:v>
                </c:pt>
                <c:pt idx="45">
                  <c:v>27-Jan-16</c:v>
                </c:pt>
                <c:pt idx="46">
                  <c:v>26-Jan-16</c:v>
                </c:pt>
                <c:pt idx="47">
                  <c:v>25-Jan-16</c:v>
                </c:pt>
                <c:pt idx="48">
                  <c:v>22-Jan-16</c:v>
                </c:pt>
                <c:pt idx="49">
                  <c:v>21-Jan-16</c:v>
                </c:pt>
                <c:pt idx="50">
                  <c:v>20-Jan-16</c:v>
                </c:pt>
                <c:pt idx="51">
                  <c:v>19-Jan-16</c:v>
                </c:pt>
                <c:pt idx="52">
                  <c:v>15-Jan-16</c:v>
                </c:pt>
                <c:pt idx="53">
                  <c:v>14-Jan-16</c:v>
                </c:pt>
                <c:pt idx="54">
                  <c:v>13-Jan-16</c:v>
                </c:pt>
                <c:pt idx="55">
                  <c:v>12-Jan-16</c:v>
                </c:pt>
                <c:pt idx="56">
                  <c:v>11-Jan-16</c:v>
                </c:pt>
                <c:pt idx="57">
                  <c:v>8-Jan-16</c:v>
                </c:pt>
                <c:pt idx="58">
                  <c:v>7-Jan-16</c:v>
                </c:pt>
                <c:pt idx="59">
                  <c:v>6-Jan-16</c:v>
                </c:pt>
                <c:pt idx="60">
                  <c:v>5-Jan-16</c:v>
                </c:pt>
                <c:pt idx="61">
                  <c:v>4-Jan-16</c:v>
                </c:pt>
                <c:pt idx="62">
                  <c:v>31-Dec-15</c:v>
                </c:pt>
                <c:pt idx="63">
                  <c:v>30-Dec-15</c:v>
                </c:pt>
                <c:pt idx="64">
                  <c:v>29-Dec-15</c:v>
                </c:pt>
                <c:pt idx="65">
                  <c:v>28-Dec-15</c:v>
                </c:pt>
                <c:pt idx="66">
                  <c:v>24-Dec-15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52.62</c:v>
                </c:pt>
                <c:pt idx="1">
                  <c:v>53.05</c:v>
                </c:pt>
                <c:pt idx="2">
                  <c:v>52.05</c:v>
                </c:pt>
                <c:pt idx="3">
                  <c:v>51.45</c:v>
                </c:pt>
                <c:pt idx="4">
                  <c:v>51.89</c:v>
                </c:pt>
                <c:pt idx="5">
                  <c:v>52.9</c:v>
                </c:pt>
                <c:pt idx="6">
                  <c:v>53.02</c:v>
                </c:pt>
                <c:pt idx="7">
                  <c:v>53.24</c:v>
                </c:pt>
                <c:pt idx="8">
                  <c:v>52.41</c:v>
                </c:pt>
                <c:pt idx="9">
                  <c:v>51.08</c:v>
                </c:pt>
                <c:pt idx="10">
                  <c:v>49.94</c:v>
                </c:pt>
                <c:pt idx="11">
                  <c:v>50.08</c:v>
                </c:pt>
                <c:pt idx="12">
                  <c:v>50.35</c:v>
                </c:pt>
                <c:pt idx="13">
                  <c:v>49.32</c:v>
                </c:pt>
                <c:pt idx="14">
                  <c:v>49.35</c:v>
                </c:pt>
                <c:pt idx="15">
                  <c:v>48.68</c:v>
                </c:pt>
                <c:pt idx="16">
                  <c:v>49.97</c:v>
                </c:pt>
                <c:pt idx="17">
                  <c:v>49.95</c:v>
                </c:pt>
                <c:pt idx="18">
                  <c:v>49.38</c:v>
                </c:pt>
                <c:pt idx="19">
                  <c:v>49.42</c:v>
                </c:pt>
                <c:pt idx="20">
                  <c:v>48.86</c:v>
                </c:pt>
                <c:pt idx="21">
                  <c:v>46.95</c:v>
                </c:pt>
                <c:pt idx="22">
                  <c:v>46.7</c:v>
                </c:pt>
                <c:pt idx="23">
                  <c:v>46.76</c:v>
                </c:pt>
                <c:pt idx="24">
                  <c:v>46.63</c:v>
                </c:pt>
                <c:pt idx="25">
                  <c:v>46.08</c:v>
                </c:pt>
                <c:pt idx="26">
                  <c:v>46.36</c:v>
                </c:pt>
                <c:pt idx="27">
                  <c:v>46.66</c:v>
                </c:pt>
                <c:pt idx="28">
                  <c:v>47.2</c:v>
                </c:pt>
                <c:pt idx="30">
                  <c:v>47.48</c:v>
                </c:pt>
                <c:pt idx="31">
                  <c:v>46.31</c:v>
                </c:pt>
                <c:pt idx="32">
                  <c:v>44.19</c:v>
                </c:pt>
                <c:pt idx="33">
                  <c:v>42.91</c:v>
                </c:pt>
                <c:pt idx="34">
                  <c:v>44</c:v>
                </c:pt>
                <c:pt idx="35">
                  <c:v>43.79</c:v>
                </c:pt>
                <c:pt idx="36">
                  <c:v>44.4</c:v>
                </c:pt>
                <c:pt idx="37">
                  <c:v>45.11</c:v>
                </c:pt>
                <c:pt idx="38">
                  <c:v>45.56</c:v>
                </c:pt>
                <c:pt idx="39">
                  <c:v>45</c:v>
                </c:pt>
                <c:pt idx="40">
                  <c:v>44.45</c:v>
                </c:pt>
                <c:pt idx="41">
                  <c:v>45.81</c:v>
                </c:pt>
                <c:pt idx="42">
                  <c:v>46.19</c:v>
                </c:pt>
                <c:pt idx="43">
                  <c:v>45.37</c:v>
                </c:pt>
                <c:pt idx="44">
                  <c:v>45.45</c:v>
                </c:pt>
                <c:pt idx="45">
                  <c:v>46.3</c:v>
                </c:pt>
                <c:pt idx="46">
                  <c:v>44.75</c:v>
                </c:pt>
                <c:pt idx="47">
                  <c:v>45.67</c:v>
                </c:pt>
                <c:pt idx="48">
                  <c:v>44.03</c:v>
                </c:pt>
                <c:pt idx="49">
                  <c:v>43.48</c:v>
                </c:pt>
                <c:pt idx="50">
                  <c:v>44.95</c:v>
                </c:pt>
                <c:pt idx="51">
                  <c:v>44.94</c:v>
                </c:pt>
                <c:pt idx="52">
                  <c:v>46.31</c:v>
                </c:pt>
                <c:pt idx="53">
                  <c:v>45.93</c:v>
                </c:pt>
                <c:pt idx="54">
                  <c:v>47.14</c:v>
                </c:pt>
                <c:pt idx="55">
                  <c:v>46.61</c:v>
                </c:pt>
                <c:pt idx="56">
                  <c:v>46.1</c:v>
                </c:pt>
                <c:pt idx="57">
                  <c:v>46.89</c:v>
                </c:pt>
                <c:pt idx="58">
                  <c:v>48.86</c:v>
                </c:pt>
                <c:pt idx="59">
                  <c:v>50.23</c:v>
                </c:pt>
                <c:pt idx="60">
                  <c:v>49.76</c:v>
                </c:pt>
                <c:pt idx="61">
                  <c:v>49.66</c:v>
                </c:pt>
                <c:pt idx="62">
                  <c:v>50.84</c:v>
                </c:pt>
                <c:pt idx="63">
                  <c:v>50.99</c:v>
                </c:pt>
                <c:pt idx="64">
                  <c:v>50.55</c:v>
                </c:pt>
                <c:pt idx="65">
                  <c:v>51.13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904976"/>
        <c:axId val="636906544"/>
      </c:lineChart>
      <c:catAx>
        <c:axId val="636904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06544"/>
        <c:crosses val="autoZero"/>
        <c:auto val="1"/>
        <c:lblAlgn val="ctr"/>
        <c:lblOffset val="100"/>
        <c:noMultiLvlLbl val="0"/>
      </c:catAx>
      <c:valAx>
        <c:axId val="63690654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0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906936"/>
        <c:axId val="636907328"/>
      </c:lineChart>
      <c:catAx>
        <c:axId val="636906936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07328"/>
        <c:crosses val="autoZero"/>
        <c:auto val="1"/>
        <c:lblAlgn val="ctr"/>
        <c:lblOffset val="100"/>
        <c:noMultiLvlLbl val="0"/>
      </c:catAx>
      <c:valAx>
        <c:axId val="6369073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06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31-Mar-16</c:v>
                </c:pt>
                <c:pt idx="1">
                  <c:v>30-Mar-16</c:v>
                </c:pt>
                <c:pt idx="2">
                  <c:v>29-Mar-16</c:v>
                </c:pt>
                <c:pt idx="3">
                  <c:v>28-Mar-16</c:v>
                </c:pt>
                <c:pt idx="4">
                  <c:v>24-Mar-16</c:v>
                </c:pt>
                <c:pt idx="5">
                  <c:v>23-Mar-16</c:v>
                </c:pt>
                <c:pt idx="6">
                  <c:v>22-Mar-16</c:v>
                </c:pt>
                <c:pt idx="7">
                  <c:v>21-Mar-16</c:v>
                </c:pt>
                <c:pt idx="8">
                  <c:v>18-Mar-16</c:v>
                </c:pt>
                <c:pt idx="9">
                  <c:v>17-Mar-16</c:v>
                </c:pt>
                <c:pt idx="10">
                  <c:v>16-Mar-16</c:v>
                </c:pt>
                <c:pt idx="11">
                  <c:v>15-Mar-16</c:v>
                </c:pt>
                <c:pt idx="12">
                  <c:v>14-Mar-16</c:v>
                </c:pt>
                <c:pt idx="13">
                  <c:v>11-Mar-16</c:v>
                </c:pt>
                <c:pt idx="14">
                  <c:v>10-Mar-16</c:v>
                </c:pt>
                <c:pt idx="15">
                  <c:v>9-Mar-16</c:v>
                </c:pt>
                <c:pt idx="16">
                  <c:v>9-Mar-16</c:v>
                </c:pt>
                <c:pt idx="17">
                  <c:v>8-Mar-16</c:v>
                </c:pt>
                <c:pt idx="18">
                  <c:v>7-Mar-16</c:v>
                </c:pt>
                <c:pt idx="19">
                  <c:v>4-Mar-16</c:v>
                </c:pt>
                <c:pt idx="20">
                  <c:v>3-Mar-16</c:v>
                </c:pt>
                <c:pt idx="21">
                  <c:v>2-Mar-16</c:v>
                </c:pt>
                <c:pt idx="22">
                  <c:v>1-Mar-16</c:v>
                </c:pt>
                <c:pt idx="23">
                  <c:v>29-Feb-16</c:v>
                </c:pt>
                <c:pt idx="24">
                  <c:v>26-Feb-16</c:v>
                </c:pt>
                <c:pt idx="25">
                  <c:v>25-Feb-16</c:v>
                </c:pt>
                <c:pt idx="26">
                  <c:v>24-Feb-16</c:v>
                </c:pt>
                <c:pt idx="27">
                  <c:v>23-Feb-16</c:v>
                </c:pt>
                <c:pt idx="28">
                  <c:v>22-Feb-16</c:v>
                </c:pt>
                <c:pt idx="29">
                  <c:v>19-Feb-16</c:v>
                </c:pt>
                <c:pt idx="30">
                  <c:v>18-Feb-16</c:v>
                </c:pt>
                <c:pt idx="31">
                  <c:v>17-Feb-16</c:v>
                </c:pt>
                <c:pt idx="32">
                  <c:v>16-Feb-16</c:v>
                </c:pt>
                <c:pt idx="33">
                  <c:v>12-Feb-16</c:v>
                </c:pt>
                <c:pt idx="34">
                  <c:v>11-Feb-16</c:v>
                </c:pt>
                <c:pt idx="35">
                  <c:v>10-Feb-16</c:v>
                </c:pt>
                <c:pt idx="36">
                  <c:v>9-Feb-16</c:v>
                </c:pt>
                <c:pt idx="37">
                  <c:v>8-Feb-16</c:v>
                </c:pt>
                <c:pt idx="38">
                  <c:v>5-Feb-16</c:v>
                </c:pt>
                <c:pt idx="39">
                  <c:v>4-Feb-16</c:v>
                </c:pt>
                <c:pt idx="40">
                  <c:v>3-Feb-16</c:v>
                </c:pt>
                <c:pt idx="41">
                  <c:v>2-Feb-16</c:v>
                </c:pt>
                <c:pt idx="42">
                  <c:v>1-Feb-16</c:v>
                </c:pt>
                <c:pt idx="43">
                  <c:v>29-Jan-16</c:v>
                </c:pt>
                <c:pt idx="44">
                  <c:v>28-Jan-16</c:v>
                </c:pt>
                <c:pt idx="45">
                  <c:v>27-Jan-16</c:v>
                </c:pt>
                <c:pt idx="46">
                  <c:v>26-Jan-16</c:v>
                </c:pt>
                <c:pt idx="47">
                  <c:v>25-Jan-16</c:v>
                </c:pt>
                <c:pt idx="48">
                  <c:v>22-Jan-16</c:v>
                </c:pt>
                <c:pt idx="49">
                  <c:v>21-Jan-16</c:v>
                </c:pt>
                <c:pt idx="50">
                  <c:v>20-Jan-16</c:v>
                </c:pt>
                <c:pt idx="51">
                  <c:v>19-Jan-16</c:v>
                </c:pt>
                <c:pt idx="52">
                  <c:v>15-Jan-16</c:v>
                </c:pt>
                <c:pt idx="53">
                  <c:v>14-Jan-16</c:v>
                </c:pt>
                <c:pt idx="54">
                  <c:v>13-Jan-16</c:v>
                </c:pt>
                <c:pt idx="55">
                  <c:v>12-Jan-16</c:v>
                </c:pt>
                <c:pt idx="56">
                  <c:v>11-Jan-16</c:v>
                </c:pt>
                <c:pt idx="57">
                  <c:v>8-Jan-16</c:v>
                </c:pt>
                <c:pt idx="58">
                  <c:v>7-Jan-16</c:v>
                </c:pt>
                <c:pt idx="59">
                  <c:v>6-Jan-16</c:v>
                </c:pt>
                <c:pt idx="60">
                  <c:v>5-Jan-16</c:v>
                </c:pt>
                <c:pt idx="61">
                  <c:v>4-Jan-16</c:v>
                </c:pt>
                <c:pt idx="62">
                  <c:v>31-Dec-15</c:v>
                </c:pt>
                <c:pt idx="63">
                  <c:v>30-Dec-15</c:v>
                </c:pt>
                <c:pt idx="64">
                  <c:v>29-Dec-15</c:v>
                </c:pt>
                <c:pt idx="65">
                  <c:v>28-Dec-15</c:v>
                </c:pt>
                <c:pt idx="66">
                  <c:v>24-Dec-15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31.43</c:v>
                </c:pt>
                <c:pt idx="1">
                  <c:v>30.99</c:v>
                </c:pt>
                <c:pt idx="2">
                  <c:v>31.19</c:v>
                </c:pt>
                <c:pt idx="3">
                  <c:v>31.02</c:v>
                </c:pt>
                <c:pt idx="4">
                  <c:v>30.96</c:v>
                </c:pt>
                <c:pt idx="5">
                  <c:v>31.31</c:v>
                </c:pt>
                <c:pt idx="6">
                  <c:v>31.9</c:v>
                </c:pt>
                <c:pt idx="7">
                  <c:v>32.08</c:v>
                </c:pt>
                <c:pt idx="8">
                  <c:v>31.96</c:v>
                </c:pt>
                <c:pt idx="9">
                  <c:v>31.96</c:v>
                </c:pt>
                <c:pt idx="10">
                  <c:v>31.69</c:v>
                </c:pt>
                <c:pt idx="11">
                  <c:v>31.05</c:v>
                </c:pt>
                <c:pt idx="12">
                  <c:v>31.18</c:v>
                </c:pt>
                <c:pt idx="13">
                  <c:v>31.26</c:v>
                </c:pt>
                <c:pt idx="14">
                  <c:v>30.82</c:v>
                </c:pt>
                <c:pt idx="15">
                  <c:v>30.54</c:v>
                </c:pt>
                <c:pt idx="17">
                  <c:v>30.68</c:v>
                </c:pt>
                <c:pt idx="18">
                  <c:v>31.59</c:v>
                </c:pt>
                <c:pt idx="19">
                  <c:v>31.37</c:v>
                </c:pt>
                <c:pt idx="20">
                  <c:v>31.07</c:v>
                </c:pt>
                <c:pt idx="21">
                  <c:v>30.15</c:v>
                </c:pt>
                <c:pt idx="22">
                  <c:v>30.01</c:v>
                </c:pt>
                <c:pt idx="23">
                  <c:v>29.44</c:v>
                </c:pt>
                <c:pt idx="24">
                  <c:v>29.63</c:v>
                </c:pt>
                <c:pt idx="25">
                  <c:v>29.5</c:v>
                </c:pt>
                <c:pt idx="26">
                  <c:v>28.84</c:v>
                </c:pt>
                <c:pt idx="27">
                  <c:v>29.38</c:v>
                </c:pt>
                <c:pt idx="28">
                  <c:v>29.63</c:v>
                </c:pt>
                <c:pt idx="29">
                  <c:v>28.78</c:v>
                </c:pt>
                <c:pt idx="30">
                  <c:v>29.03</c:v>
                </c:pt>
                <c:pt idx="31">
                  <c:v>29.27</c:v>
                </c:pt>
                <c:pt idx="32">
                  <c:v>28.58</c:v>
                </c:pt>
                <c:pt idx="33">
                  <c:v>27.71</c:v>
                </c:pt>
                <c:pt idx="34">
                  <c:v>26.9</c:v>
                </c:pt>
                <c:pt idx="35">
                  <c:v>27.71</c:v>
                </c:pt>
                <c:pt idx="36">
                  <c:v>27.87</c:v>
                </c:pt>
                <c:pt idx="37">
                  <c:v>28.68</c:v>
                </c:pt>
                <c:pt idx="38">
                  <c:v>28.54</c:v>
                </c:pt>
                <c:pt idx="39">
                  <c:v>28.64</c:v>
                </c:pt>
                <c:pt idx="40">
                  <c:v>28.92</c:v>
                </c:pt>
                <c:pt idx="41">
                  <c:v>29.65</c:v>
                </c:pt>
                <c:pt idx="42">
                  <c:v>30.11</c:v>
                </c:pt>
                <c:pt idx="43">
                  <c:v>29.64</c:v>
                </c:pt>
                <c:pt idx="44">
                  <c:v>29.02</c:v>
                </c:pt>
                <c:pt idx="45">
                  <c:v>29.21</c:v>
                </c:pt>
                <c:pt idx="46">
                  <c:v>29.65</c:v>
                </c:pt>
                <c:pt idx="47">
                  <c:v>29.23</c:v>
                </c:pt>
                <c:pt idx="48">
                  <c:v>29.28</c:v>
                </c:pt>
                <c:pt idx="49">
                  <c:v>29.55</c:v>
                </c:pt>
                <c:pt idx="50">
                  <c:v>29.42</c:v>
                </c:pt>
                <c:pt idx="51">
                  <c:v>29.4</c:v>
                </c:pt>
                <c:pt idx="52">
                  <c:v>29.57</c:v>
                </c:pt>
                <c:pt idx="53">
                  <c:v>30.3</c:v>
                </c:pt>
                <c:pt idx="54">
                  <c:v>30.49</c:v>
                </c:pt>
                <c:pt idx="55">
                  <c:v>30.3</c:v>
                </c:pt>
                <c:pt idx="56">
                  <c:v>30.25</c:v>
                </c:pt>
                <c:pt idx="57">
                  <c:v>29.53</c:v>
                </c:pt>
                <c:pt idx="58">
                  <c:v>29.99</c:v>
                </c:pt>
                <c:pt idx="59">
                  <c:v>31.27</c:v>
                </c:pt>
                <c:pt idx="60">
                  <c:v>32.43</c:v>
                </c:pt>
                <c:pt idx="61">
                  <c:v>33.31</c:v>
                </c:pt>
                <c:pt idx="62">
                  <c:v>34.01</c:v>
                </c:pt>
                <c:pt idx="63">
                  <c:v>34.33</c:v>
                </c:pt>
                <c:pt idx="64">
                  <c:v>34.5</c:v>
                </c:pt>
                <c:pt idx="65">
                  <c:v>34.51</c:v>
                </c:pt>
                <c:pt idx="66">
                  <c:v>34.6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523936"/>
        <c:axId val="638518448"/>
      </c:lineChart>
      <c:catAx>
        <c:axId val="638523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518448"/>
        <c:crosses val="autoZero"/>
        <c:auto val="1"/>
        <c:lblAlgn val="ctr"/>
        <c:lblOffset val="100"/>
        <c:noMultiLvlLbl val="0"/>
      </c:catAx>
      <c:valAx>
        <c:axId val="6385184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52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31-Mar-16</c:v>
                </c:pt>
                <c:pt idx="1">
                  <c:v>30-Mar-16</c:v>
                </c:pt>
                <c:pt idx="2">
                  <c:v>29-Mar-16</c:v>
                </c:pt>
                <c:pt idx="3">
                  <c:v>28-Mar-16</c:v>
                </c:pt>
                <c:pt idx="4">
                  <c:v>24-Mar-16</c:v>
                </c:pt>
                <c:pt idx="5">
                  <c:v>23-Mar-16</c:v>
                </c:pt>
                <c:pt idx="6">
                  <c:v>22-Mar-16</c:v>
                </c:pt>
                <c:pt idx="7">
                  <c:v>21-Mar-16</c:v>
                </c:pt>
                <c:pt idx="8">
                  <c:v>18-Mar-16</c:v>
                </c:pt>
                <c:pt idx="9">
                  <c:v>17-Mar-16</c:v>
                </c:pt>
                <c:pt idx="10">
                  <c:v>16-Mar-16</c:v>
                </c:pt>
                <c:pt idx="11">
                  <c:v>15-Mar-16</c:v>
                </c:pt>
                <c:pt idx="12">
                  <c:v>14-Mar-16</c:v>
                </c:pt>
                <c:pt idx="13">
                  <c:v>11-Mar-16</c:v>
                </c:pt>
                <c:pt idx="14">
                  <c:v>11-Mar-16</c:v>
                </c:pt>
                <c:pt idx="15">
                  <c:v>10-Mar-16</c:v>
                </c:pt>
                <c:pt idx="16">
                  <c:v>9-Mar-16</c:v>
                </c:pt>
                <c:pt idx="17">
                  <c:v>8-Mar-16</c:v>
                </c:pt>
                <c:pt idx="18">
                  <c:v>7-Mar-16</c:v>
                </c:pt>
                <c:pt idx="19">
                  <c:v>4-Mar-16</c:v>
                </c:pt>
                <c:pt idx="20">
                  <c:v>3-Mar-16</c:v>
                </c:pt>
                <c:pt idx="21">
                  <c:v>2-Mar-16</c:v>
                </c:pt>
                <c:pt idx="22">
                  <c:v>1-Mar-16</c:v>
                </c:pt>
                <c:pt idx="23">
                  <c:v>29-Feb-16</c:v>
                </c:pt>
                <c:pt idx="24">
                  <c:v>26-Feb-16</c:v>
                </c:pt>
                <c:pt idx="25">
                  <c:v>25-Feb-16</c:v>
                </c:pt>
                <c:pt idx="26">
                  <c:v>24-Feb-16</c:v>
                </c:pt>
                <c:pt idx="27">
                  <c:v>23-Feb-16</c:v>
                </c:pt>
                <c:pt idx="28">
                  <c:v>22-Feb-16</c:v>
                </c:pt>
                <c:pt idx="29">
                  <c:v>19-Feb-16</c:v>
                </c:pt>
                <c:pt idx="30">
                  <c:v>18-Feb-16</c:v>
                </c:pt>
                <c:pt idx="31">
                  <c:v>17-Feb-16</c:v>
                </c:pt>
                <c:pt idx="32">
                  <c:v>16-Feb-16</c:v>
                </c:pt>
                <c:pt idx="33">
                  <c:v>12-Feb-16</c:v>
                </c:pt>
                <c:pt idx="34">
                  <c:v>11-Feb-16</c:v>
                </c:pt>
                <c:pt idx="35">
                  <c:v>10-Feb-16</c:v>
                </c:pt>
                <c:pt idx="36">
                  <c:v>9-Feb-16</c:v>
                </c:pt>
                <c:pt idx="37">
                  <c:v>8-Feb-16</c:v>
                </c:pt>
                <c:pt idx="38">
                  <c:v>5-Feb-16</c:v>
                </c:pt>
                <c:pt idx="39">
                  <c:v>4-Feb-16</c:v>
                </c:pt>
                <c:pt idx="40">
                  <c:v>3-Feb-16</c:v>
                </c:pt>
                <c:pt idx="41">
                  <c:v>2-Feb-16</c:v>
                </c:pt>
                <c:pt idx="42">
                  <c:v>1-Feb-16</c:v>
                </c:pt>
                <c:pt idx="43">
                  <c:v>29-Jan-16</c:v>
                </c:pt>
                <c:pt idx="44">
                  <c:v>28-Jan-16</c:v>
                </c:pt>
                <c:pt idx="45">
                  <c:v>27-Jan-16</c:v>
                </c:pt>
                <c:pt idx="46">
                  <c:v>26-Jan-16</c:v>
                </c:pt>
                <c:pt idx="47">
                  <c:v>25-Jan-16</c:v>
                </c:pt>
                <c:pt idx="48">
                  <c:v>22-Jan-16</c:v>
                </c:pt>
                <c:pt idx="49">
                  <c:v>21-Jan-16</c:v>
                </c:pt>
                <c:pt idx="50">
                  <c:v>20-Jan-16</c:v>
                </c:pt>
                <c:pt idx="51">
                  <c:v>19-Jan-16</c:v>
                </c:pt>
                <c:pt idx="52">
                  <c:v>15-Jan-16</c:v>
                </c:pt>
                <c:pt idx="53">
                  <c:v>14-Jan-16</c:v>
                </c:pt>
                <c:pt idx="54">
                  <c:v>13-Jan-16</c:v>
                </c:pt>
                <c:pt idx="55">
                  <c:v>12-Jan-16</c:v>
                </c:pt>
                <c:pt idx="56">
                  <c:v>11-Jan-16</c:v>
                </c:pt>
                <c:pt idx="57">
                  <c:v>8-Jan-16</c:v>
                </c:pt>
                <c:pt idx="58">
                  <c:v>7-Jan-16</c:v>
                </c:pt>
                <c:pt idx="59">
                  <c:v>6-Jan-16</c:v>
                </c:pt>
                <c:pt idx="60">
                  <c:v>5-Jan-16</c:v>
                </c:pt>
                <c:pt idx="61">
                  <c:v>4-Jan-16</c:v>
                </c:pt>
                <c:pt idx="62">
                  <c:v>31-Dec-15</c:v>
                </c:pt>
                <c:pt idx="63">
                  <c:v>30-Dec-15</c:v>
                </c:pt>
                <c:pt idx="64">
                  <c:v>29-Dec-15</c:v>
                </c:pt>
                <c:pt idx="65">
                  <c:v>28-Dec-15</c:v>
                </c:pt>
                <c:pt idx="66">
                  <c:v>24-Dec-15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141.59</c:v>
                </c:pt>
                <c:pt idx="1">
                  <c:v>140.79</c:v>
                </c:pt>
                <c:pt idx="2">
                  <c:v>140.15</c:v>
                </c:pt>
                <c:pt idx="3">
                  <c:v>138.53</c:v>
                </c:pt>
                <c:pt idx="4">
                  <c:v>139.02000000000001</c:v>
                </c:pt>
                <c:pt idx="5">
                  <c:v>138.82</c:v>
                </c:pt>
                <c:pt idx="6">
                  <c:v>138.85</c:v>
                </c:pt>
                <c:pt idx="7">
                  <c:v>139.63</c:v>
                </c:pt>
                <c:pt idx="8">
                  <c:v>140</c:v>
                </c:pt>
                <c:pt idx="9">
                  <c:v>138.25</c:v>
                </c:pt>
                <c:pt idx="10">
                  <c:v>139.08000000000001</c:v>
                </c:pt>
                <c:pt idx="11">
                  <c:v>138.26</c:v>
                </c:pt>
                <c:pt idx="12">
                  <c:v>139.77000000000001</c:v>
                </c:pt>
                <c:pt idx="13">
                  <c:v>140.22</c:v>
                </c:pt>
                <c:pt idx="15">
                  <c:v>137.96</c:v>
                </c:pt>
                <c:pt idx="16">
                  <c:v>138.15</c:v>
                </c:pt>
                <c:pt idx="17">
                  <c:v>139.08000000000001</c:v>
                </c:pt>
                <c:pt idx="18">
                  <c:v>141.55000000000001</c:v>
                </c:pt>
                <c:pt idx="19">
                  <c:v>140.30000000000001</c:v>
                </c:pt>
                <c:pt idx="20">
                  <c:v>138.66999999999999</c:v>
                </c:pt>
                <c:pt idx="21">
                  <c:v>138.12</c:v>
                </c:pt>
                <c:pt idx="22">
                  <c:v>135.28</c:v>
                </c:pt>
                <c:pt idx="23">
                  <c:v>129.19</c:v>
                </c:pt>
                <c:pt idx="24">
                  <c:v>130.71</c:v>
                </c:pt>
                <c:pt idx="25">
                  <c:v>130.57</c:v>
                </c:pt>
                <c:pt idx="26">
                  <c:v>129.77000000000001</c:v>
                </c:pt>
                <c:pt idx="27">
                  <c:v>129.74</c:v>
                </c:pt>
                <c:pt idx="28">
                  <c:v>131.44</c:v>
                </c:pt>
                <c:pt idx="29">
                  <c:v>130.16</c:v>
                </c:pt>
                <c:pt idx="30">
                  <c:v>129.69</c:v>
                </c:pt>
                <c:pt idx="31">
                  <c:v>130.69999999999999</c:v>
                </c:pt>
                <c:pt idx="32">
                  <c:v>127.42</c:v>
                </c:pt>
                <c:pt idx="33">
                  <c:v>126.48</c:v>
                </c:pt>
                <c:pt idx="34">
                  <c:v>123.3</c:v>
                </c:pt>
                <c:pt idx="35">
                  <c:v>125.46</c:v>
                </c:pt>
                <c:pt idx="36">
                  <c:v>124.45</c:v>
                </c:pt>
                <c:pt idx="37">
                  <c:v>121.94</c:v>
                </c:pt>
                <c:pt idx="38">
                  <c:v>123.18</c:v>
                </c:pt>
                <c:pt idx="39">
                  <c:v>127.8</c:v>
                </c:pt>
                <c:pt idx="40">
                  <c:v>126.05</c:v>
                </c:pt>
                <c:pt idx="41">
                  <c:v>126.89</c:v>
                </c:pt>
                <c:pt idx="42">
                  <c:v>130.69</c:v>
                </c:pt>
                <c:pt idx="43">
                  <c:v>132.06</c:v>
                </c:pt>
                <c:pt idx="44">
                  <c:v>128.16999999999999</c:v>
                </c:pt>
                <c:pt idx="45">
                  <c:v>135.83000000000001</c:v>
                </c:pt>
                <c:pt idx="46">
                  <c:v>134.1</c:v>
                </c:pt>
                <c:pt idx="47">
                  <c:v>134.72999999999999</c:v>
                </c:pt>
                <c:pt idx="48">
                  <c:v>135.31</c:v>
                </c:pt>
                <c:pt idx="49">
                  <c:v>131.68</c:v>
                </c:pt>
                <c:pt idx="50">
                  <c:v>133.05000000000001</c:v>
                </c:pt>
                <c:pt idx="51">
                  <c:v>134.91</c:v>
                </c:pt>
                <c:pt idx="52">
                  <c:v>132.76</c:v>
                </c:pt>
                <c:pt idx="53">
                  <c:v>135.79</c:v>
                </c:pt>
                <c:pt idx="54">
                  <c:v>133.77000000000001</c:v>
                </c:pt>
                <c:pt idx="55">
                  <c:v>136.97</c:v>
                </c:pt>
                <c:pt idx="56">
                  <c:v>134.88</c:v>
                </c:pt>
                <c:pt idx="57">
                  <c:v>134.16</c:v>
                </c:pt>
                <c:pt idx="58">
                  <c:v>134.31</c:v>
                </c:pt>
                <c:pt idx="59">
                  <c:v>137.44999999999999</c:v>
                </c:pt>
                <c:pt idx="60">
                  <c:v>138.51</c:v>
                </c:pt>
                <c:pt idx="61">
                  <c:v>138.75</c:v>
                </c:pt>
                <c:pt idx="62">
                  <c:v>141.85</c:v>
                </c:pt>
                <c:pt idx="63">
                  <c:v>142.86000000000001</c:v>
                </c:pt>
                <c:pt idx="64">
                  <c:v>143.03</c:v>
                </c:pt>
                <c:pt idx="65">
                  <c:v>140.69999999999999</c:v>
                </c:pt>
                <c:pt idx="66">
                  <c:v>141.32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521192"/>
        <c:axId val="638518056"/>
      </c:lineChart>
      <c:catAx>
        <c:axId val="638521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518056"/>
        <c:crosses val="autoZero"/>
        <c:auto val="1"/>
        <c:lblAlgn val="ctr"/>
        <c:lblOffset val="100"/>
        <c:noMultiLvlLbl val="0"/>
      </c:catAx>
      <c:valAx>
        <c:axId val="6385180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52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31-Mar-16</c:v>
                </c:pt>
                <c:pt idx="1">
                  <c:v>30-Mar-16</c:v>
                </c:pt>
                <c:pt idx="2">
                  <c:v>29-Mar-16</c:v>
                </c:pt>
                <c:pt idx="3">
                  <c:v>28-Mar-16</c:v>
                </c:pt>
                <c:pt idx="4">
                  <c:v>24-Mar-16</c:v>
                </c:pt>
                <c:pt idx="5">
                  <c:v>23-Mar-16</c:v>
                </c:pt>
                <c:pt idx="6">
                  <c:v>22-Mar-16</c:v>
                </c:pt>
                <c:pt idx="7">
                  <c:v>21-Mar-16</c:v>
                </c:pt>
                <c:pt idx="8">
                  <c:v>18-Mar-16</c:v>
                </c:pt>
                <c:pt idx="9">
                  <c:v>17-Mar-16</c:v>
                </c:pt>
                <c:pt idx="10">
                  <c:v>16-Mar-16</c:v>
                </c:pt>
                <c:pt idx="11">
                  <c:v>15-Mar-16</c:v>
                </c:pt>
                <c:pt idx="12">
                  <c:v>14-Mar-16</c:v>
                </c:pt>
                <c:pt idx="13">
                  <c:v>11-Mar-16</c:v>
                </c:pt>
                <c:pt idx="14">
                  <c:v>10-Mar-16</c:v>
                </c:pt>
                <c:pt idx="15">
                  <c:v>9-Mar-16</c:v>
                </c:pt>
                <c:pt idx="16">
                  <c:v>8-Mar-16</c:v>
                </c:pt>
                <c:pt idx="17">
                  <c:v>7-Mar-16</c:v>
                </c:pt>
                <c:pt idx="18">
                  <c:v>4-Mar-16</c:v>
                </c:pt>
                <c:pt idx="19">
                  <c:v>3-Mar-16</c:v>
                </c:pt>
                <c:pt idx="20">
                  <c:v>2-Mar-16</c:v>
                </c:pt>
                <c:pt idx="21">
                  <c:v>1-Mar-16</c:v>
                </c:pt>
                <c:pt idx="22">
                  <c:v>29-Feb-16</c:v>
                </c:pt>
                <c:pt idx="23">
                  <c:v>26-Feb-16</c:v>
                </c:pt>
                <c:pt idx="24">
                  <c:v>25-Feb-16</c:v>
                </c:pt>
                <c:pt idx="25">
                  <c:v>24-Feb-16</c:v>
                </c:pt>
                <c:pt idx="26">
                  <c:v>23-Feb-16</c:v>
                </c:pt>
                <c:pt idx="27">
                  <c:v>22-Feb-16</c:v>
                </c:pt>
                <c:pt idx="28">
                  <c:v>19-Feb-16</c:v>
                </c:pt>
                <c:pt idx="29">
                  <c:v>19-Feb-16</c:v>
                </c:pt>
                <c:pt idx="30">
                  <c:v>18-Feb-16</c:v>
                </c:pt>
                <c:pt idx="31">
                  <c:v>17-Feb-16</c:v>
                </c:pt>
                <c:pt idx="32">
                  <c:v>16-Feb-16</c:v>
                </c:pt>
                <c:pt idx="33">
                  <c:v>12-Feb-16</c:v>
                </c:pt>
                <c:pt idx="34">
                  <c:v>11-Feb-16</c:v>
                </c:pt>
                <c:pt idx="35">
                  <c:v>10-Feb-16</c:v>
                </c:pt>
                <c:pt idx="36">
                  <c:v>9-Feb-16</c:v>
                </c:pt>
                <c:pt idx="37">
                  <c:v>8-Feb-16</c:v>
                </c:pt>
                <c:pt idx="38">
                  <c:v>5-Feb-16</c:v>
                </c:pt>
                <c:pt idx="39">
                  <c:v>4-Feb-16</c:v>
                </c:pt>
                <c:pt idx="40">
                  <c:v>3-Feb-16</c:v>
                </c:pt>
                <c:pt idx="41">
                  <c:v>2-Feb-16</c:v>
                </c:pt>
                <c:pt idx="42">
                  <c:v>1-Feb-16</c:v>
                </c:pt>
                <c:pt idx="43">
                  <c:v>29-Jan-16</c:v>
                </c:pt>
                <c:pt idx="44">
                  <c:v>28-Jan-16</c:v>
                </c:pt>
                <c:pt idx="45">
                  <c:v>27-Jan-16</c:v>
                </c:pt>
                <c:pt idx="46">
                  <c:v>26-Jan-16</c:v>
                </c:pt>
                <c:pt idx="47">
                  <c:v>25-Jan-16</c:v>
                </c:pt>
                <c:pt idx="48">
                  <c:v>22-Jan-16</c:v>
                </c:pt>
                <c:pt idx="49">
                  <c:v>21-Jan-16</c:v>
                </c:pt>
                <c:pt idx="50">
                  <c:v>20-Jan-16</c:v>
                </c:pt>
                <c:pt idx="51">
                  <c:v>19-Jan-16</c:v>
                </c:pt>
                <c:pt idx="52">
                  <c:v>15-Jan-16</c:v>
                </c:pt>
                <c:pt idx="53">
                  <c:v>14-Jan-16</c:v>
                </c:pt>
                <c:pt idx="54">
                  <c:v>13-Jan-16</c:v>
                </c:pt>
                <c:pt idx="55">
                  <c:v>12-Jan-16</c:v>
                </c:pt>
                <c:pt idx="56">
                  <c:v>11-Jan-16</c:v>
                </c:pt>
                <c:pt idx="57">
                  <c:v>8-Jan-16</c:v>
                </c:pt>
                <c:pt idx="58">
                  <c:v>7-Jan-16</c:v>
                </c:pt>
                <c:pt idx="59">
                  <c:v>6-Jan-16</c:v>
                </c:pt>
                <c:pt idx="60">
                  <c:v>5-Jan-16</c:v>
                </c:pt>
                <c:pt idx="61">
                  <c:v>4-Jan-16</c:v>
                </c:pt>
                <c:pt idx="62">
                  <c:v>31-Dec-15</c:v>
                </c:pt>
                <c:pt idx="63">
                  <c:v>30-Dec-15</c:v>
                </c:pt>
                <c:pt idx="64">
                  <c:v>29-Dec-15</c:v>
                </c:pt>
                <c:pt idx="65">
                  <c:v>28-Dec-15</c:v>
                </c:pt>
                <c:pt idx="66">
                  <c:v>24-Dec-15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33.49</c:v>
                </c:pt>
                <c:pt idx="1">
                  <c:v>33.31</c:v>
                </c:pt>
                <c:pt idx="2">
                  <c:v>32.869999999999997</c:v>
                </c:pt>
                <c:pt idx="3">
                  <c:v>32.270000000000003</c:v>
                </c:pt>
                <c:pt idx="4">
                  <c:v>32.76</c:v>
                </c:pt>
                <c:pt idx="5">
                  <c:v>32.6</c:v>
                </c:pt>
                <c:pt idx="6">
                  <c:v>33.4</c:v>
                </c:pt>
                <c:pt idx="7">
                  <c:v>33.229999999999997</c:v>
                </c:pt>
                <c:pt idx="8">
                  <c:v>33.44</c:v>
                </c:pt>
                <c:pt idx="9">
                  <c:v>33</c:v>
                </c:pt>
                <c:pt idx="10">
                  <c:v>31.38</c:v>
                </c:pt>
                <c:pt idx="11">
                  <c:v>30.5</c:v>
                </c:pt>
                <c:pt idx="12">
                  <c:v>31.21</c:v>
                </c:pt>
                <c:pt idx="13">
                  <c:v>31.32</c:v>
                </c:pt>
                <c:pt idx="14">
                  <c:v>30.44</c:v>
                </c:pt>
                <c:pt idx="15">
                  <c:v>30.45</c:v>
                </c:pt>
                <c:pt idx="16">
                  <c:v>30.65</c:v>
                </c:pt>
                <c:pt idx="17">
                  <c:v>32.06</c:v>
                </c:pt>
                <c:pt idx="18">
                  <c:v>31.6</c:v>
                </c:pt>
                <c:pt idx="19">
                  <c:v>30.88</c:v>
                </c:pt>
                <c:pt idx="20">
                  <c:v>30.83</c:v>
                </c:pt>
                <c:pt idx="21">
                  <c:v>30.89</c:v>
                </c:pt>
                <c:pt idx="22">
                  <c:v>29.83</c:v>
                </c:pt>
                <c:pt idx="23">
                  <c:v>29.82</c:v>
                </c:pt>
                <c:pt idx="24">
                  <c:v>29.77</c:v>
                </c:pt>
                <c:pt idx="25">
                  <c:v>30.08</c:v>
                </c:pt>
                <c:pt idx="26">
                  <c:v>29.66</c:v>
                </c:pt>
                <c:pt idx="27">
                  <c:v>30.69</c:v>
                </c:pt>
                <c:pt idx="28">
                  <c:v>30.14</c:v>
                </c:pt>
                <c:pt idx="30">
                  <c:v>30.81</c:v>
                </c:pt>
                <c:pt idx="31">
                  <c:v>30.71</c:v>
                </c:pt>
                <c:pt idx="32">
                  <c:v>30.36</c:v>
                </c:pt>
                <c:pt idx="33">
                  <c:v>29.89</c:v>
                </c:pt>
                <c:pt idx="34">
                  <c:v>28.1</c:v>
                </c:pt>
                <c:pt idx="35">
                  <c:v>28.21</c:v>
                </c:pt>
                <c:pt idx="36">
                  <c:v>29</c:v>
                </c:pt>
                <c:pt idx="37">
                  <c:v>29.09</c:v>
                </c:pt>
                <c:pt idx="38">
                  <c:v>29.52</c:v>
                </c:pt>
                <c:pt idx="39">
                  <c:v>29.32</c:v>
                </c:pt>
                <c:pt idx="40">
                  <c:v>28.02</c:v>
                </c:pt>
                <c:pt idx="41">
                  <c:v>25.51</c:v>
                </c:pt>
                <c:pt idx="42">
                  <c:v>26.15</c:v>
                </c:pt>
                <c:pt idx="43">
                  <c:v>26.55</c:v>
                </c:pt>
                <c:pt idx="44">
                  <c:v>25.41</c:v>
                </c:pt>
                <c:pt idx="45">
                  <c:v>25.15</c:v>
                </c:pt>
                <c:pt idx="46">
                  <c:v>25.01</c:v>
                </c:pt>
                <c:pt idx="47">
                  <c:v>23.65</c:v>
                </c:pt>
                <c:pt idx="48">
                  <c:v>24.26</c:v>
                </c:pt>
                <c:pt idx="49">
                  <c:v>23.55</c:v>
                </c:pt>
                <c:pt idx="50">
                  <c:v>23.41</c:v>
                </c:pt>
                <c:pt idx="51">
                  <c:v>23.5</c:v>
                </c:pt>
                <c:pt idx="52">
                  <c:v>24.52</c:v>
                </c:pt>
                <c:pt idx="53">
                  <c:v>24.79</c:v>
                </c:pt>
                <c:pt idx="54">
                  <c:v>24.79</c:v>
                </c:pt>
                <c:pt idx="55">
                  <c:v>25.5</c:v>
                </c:pt>
                <c:pt idx="56">
                  <c:v>25.32</c:v>
                </c:pt>
                <c:pt idx="57">
                  <c:v>25.74</c:v>
                </c:pt>
                <c:pt idx="58">
                  <c:v>26.7</c:v>
                </c:pt>
                <c:pt idx="59">
                  <c:v>27.46</c:v>
                </c:pt>
                <c:pt idx="60">
                  <c:v>27.82</c:v>
                </c:pt>
                <c:pt idx="61">
                  <c:v>28.33</c:v>
                </c:pt>
                <c:pt idx="62">
                  <c:v>28.59</c:v>
                </c:pt>
                <c:pt idx="63">
                  <c:v>28.66</c:v>
                </c:pt>
                <c:pt idx="64">
                  <c:v>28.61</c:v>
                </c:pt>
                <c:pt idx="65">
                  <c:v>28.45</c:v>
                </c:pt>
                <c:pt idx="66">
                  <c:v>28.98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521976"/>
        <c:axId val="638514136"/>
      </c:lineChart>
      <c:catAx>
        <c:axId val="638521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514136"/>
        <c:crosses val="autoZero"/>
        <c:auto val="1"/>
        <c:lblAlgn val="ctr"/>
        <c:lblOffset val="100"/>
        <c:noMultiLvlLbl val="0"/>
      </c:catAx>
      <c:valAx>
        <c:axId val="6385141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52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42460</c:v>
                </c:pt>
                <c:pt idx="1">
                  <c:v>42459</c:v>
                </c:pt>
                <c:pt idx="2">
                  <c:v>42458</c:v>
                </c:pt>
                <c:pt idx="3">
                  <c:v>42457</c:v>
                </c:pt>
                <c:pt idx="4">
                  <c:v>42453</c:v>
                </c:pt>
                <c:pt idx="5">
                  <c:v>42452</c:v>
                </c:pt>
                <c:pt idx="6">
                  <c:v>42451</c:v>
                </c:pt>
                <c:pt idx="7">
                  <c:v>42450</c:v>
                </c:pt>
                <c:pt idx="8">
                  <c:v>42447</c:v>
                </c:pt>
                <c:pt idx="9">
                  <c:v>42446</c:v>
                </c:pt>
                <c:pt idx="10">
                  <c:v>42445</c:v>
                </c:pt>
                <c:pt idx="11">
                  <c:v>42444</c:v>
                </c:pt>
                <c:pt idx="12">
                  <c:v>42443</c:v>
                </c:pt>
                <c:pt idx="13">
                  <c:v>42440</c:v>
                </c:pt>
                <c:pt idx="14">
                  <c:v>42439</c:v>
                </c:pt>
                <c:pt idx="15">
                  <c:v>42438</c:v>
                </c:pt>
                <c:pt idx="16">
                  <c:v>42437</c:v>
                </c:pt>
                <c:pt idx="17">
                  <c:v>42436</c:v>
                </c:pt>
                <c:pt idx="18">
                  <c:v>42433</c:v>
                </c:pt>
                <c:pt idx="19">
                  <c:v>42432</c:v>
                </c:pt>
                <c:pt idx="20">
                  <c:v>42431</c:v>
                </c:pt>
                <c:pt idx="21">
                  <c:v>42430</c:v>
                </c:pt>
                <c:pt idx="22">
                  <c:v>42429</c:v>
                </c:pt>
                <c:pt idx="23">
                  <c:v>42426</c:v>
                </c:pt>
                <c:pt idx="24">
                  <c:v>42425</c:v>
                </c:pt>
                <c:pt idx="25">
                  <c:v>42424</c:v>
                </c:pt>
                <c:pt idx="26">
                  <c:v>42423</c:v>
                </c:pt>
                <c:pt idx="27">
                  <c:v>42422</c:v>
                </c:pt>
                <c:pt idx="28">
                  <c:v>42419</c:v>
                </c:pt>
                <c:pt idx="29">
                  <c:v>42418</c:v>
                </c:pt>
                <c:pt idx="30">
                  <c:v>42417</c:v>
                </c:pt>
                <c:pt idx="31">
                  <c:v>42417</c:v>
                </c:pt>
                <c:pt idx="32">
                  <c:v>42416</c:v>
                </c:pt>
                <c:pt idx="33">
                  <c:v>42412</c:v>
                </c:pt>
                <c:pt idx="34">
                  <c:v>42411</c:v>
                </c:pt>
                <c:pt idx="35">
                  <c:v>42410</c:v>
                </c:pt>
                <c:pt idx="36">
                  <c:v>42409</c:v>
                </c:pt>
                <c:pt idx="37">
                  <c:v>42408</c:v>
                </c:pt>
                <c:pt idx="38">
                  <c:v>42405</c:v>
                </c:pt>
                <c:pt idx="39">
                  <c:v>42404</c:v>
                </c:pt>
                <c:pt idx="40">
                  <c:v>42403</c:v>
                </c:pt>
                <c:pt idx="41">
                  <c:v>42402</c:v>
                </c:pt>
                <c:pt idx="42">
                  <c:v>42401</c:v>
                </c:pt>
                <c:pt idx="43">
                  <c:v>42398</c:v>
                </c:pt>
                <c:pt idx="44">
                  <c:v>42397</c:v>
                </c:pt>
                <c:pt idx="45">
                  <c:v>42396</c:v>
                </c:pt>
                <c:pt idx="46">
                  <c:v>42395</c:v>
                </c:pt>
                <c:pt idx="47">
                  <c:v>42394</c:v>
                </c:pt>
                <c:pt idx="48">
                  <c:v>42391</c:v>
                </c:pt>
                <c:pt idx="49">
                  <c:v>42390</c:v>
                </c:pt>
                <c:pt idx="50">
                  <c:v>42389</c:v>
                </c:pt>
                <c:pt idx="51">
                  <c:v>42388</c:v>
                </c:pt>
                <c:pt idx="52">
                  <c:v>42384</c:v>
                </c:pt>
                <c:pt idx="53">
                  <c:v>42383</c:v>
                </c:pt>
                <c:pt idx="54">
                  <c:v>42382</c:v>
                </c:pt>
                <c:pt idx="55">
                  <c:v>42381</c:v>
                </c:pt>
                <c:pt idx="56">
                  <c:v>42380</c:v>
                </c:pt>
                <c:pt idx="57">
                  <c:v>42377</c:v>
                </c:pt>
                <c:pt idx="58">
                  <c:v>42376</c:v>
                </c:pt>
                <c:pt idx="59">
                  <c:v>42375</c:v>
                </c:pt>
                <c:pt idx="60">
                  <c:v>42374</c:v>
                </c:pt>
                <c:pt idx="61">
                  <c:v>42373</c:v>
                </c:pt>
                <c:pt idx="62">
                  <c:v>42369</c:v>
                </c:pt>
                <c:pt idx="63">
                  <c:v>42368</c:v>
                </c:pt>
                <c:pt idx="64">
                  <c:v>42367</c:v>
                </c:pt>
                <c:pt idx="65">
                  <c:v>42366</c:v>
                </c:pt>
                <c:pt idx="66">
                  <c:v>42362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100.1</c:v>
                </c:pt>
                <c:pt idx="1">
                  <c:v>100.25</c:v>
                </c:pt>
                <c:pt idx="2">
                  <c:v>100.12</c:v>
                </c:pt>
                <c:pt idx="3">
                  <c:v>98.91</c:v>
                </c:pt>
                <c:pt idx="4">
                  <c:v>99.06</c:v>
                </c:pt>
                <c:pt idx="5">
                  <c:v>99.11</c:v>
                </c:pt>
                <c:pt idx="6">
                  <c:v>98.66</c:v>
                </c:pt>
                <c:pt idx="7">
                  <c:v>99.17</c:v>
                </c:pt>
                <c:pt idx="8">
                  <c:v>99.05</c:v>
                </c:pt>
                <c:pt idx="9">
                  <c:v>98.84</c:v>
                </c:pt>
                <c:pt idx="10">
                  <c:v>97.49</c:v>
                </c:pt>
                <c:pt idx="11">
                  <c:v>96.29</c:v>
                </c:pt>
                <c:pt idx="12">
                  <c:v>96.83</c:v>
                </c:pt>
                <c:pt idx="13">
                  <c:v>96.75</c:v>
                </c:pt>
                <c:pt idx="14">
                  <c:v>96.18</c:v>
                </c:pt>
                <c:pt idx="15">
                  <c:v>96.6</c:v>
                </c:pt>
                <c:pt idx="16">
                  <c:v>96.9</c:v>
                </c:pt>
                <c:pt idx="17">
                  <c:v>96.92</c:v>
                </c:pt>
                <c:pt idx="18">
                  <c:v>97</c:v>
                </c:pt>
                <c:pt idx="19">
                  <c:v>96.11</c:v>
                </c:pt>
                <c:pt idx="20">
                  <c:v>95.53</c:v>
                </c:pt>
                <c:pt idx="21">
                  <c:v>95.05</c:v>
                </c:pt>
                <c:pt idx="22">
                  <c:v>96.62</c:v>
                </c:pt>
                <c:pt idx="23">
                  <c:v>97.69</c:v>
                </c:pt>
                <c:pt idx="24">
                  <c:v>98.07</c:v>
                </c:pt>
                <c:pt idx="25">
                  <c:v>93.61</c:v>
                </c:pt>
                <c:pt idx="26">
                  <c:v>91.6</c:v>
                </c:pt>
                <c:pt idx="27">
                  <c:v>92.37</c:v>
                </c:pt>
                <c:pt idx="28">
                  <c:v>88.23</c:v>
                </c:pt>
                <c:pt idx="29">
                  <c:v>88.36</c:v>
                </c:pt>
                <c:pt idx="30">
                  <c:v>88.12</c:v>
                </c:pt>
                <c:pt idx="32">
                  <c:v>86.48</c:v>
                </c:pt>
                <c:pt idx="33">
                  <c:v>85.95</c:v>
                </c:pt>
                <c:pt idx="34">
                  <c:v>84.66</c:v>
                </c:pt>
                <c:pt idx="35">
                  <c:v>86.96</c:v>
                </c:pt>
                <c:pt idx="36">
                  <c:v>87.24</c:v>
                </c:pt>
                <c:pt idx="37">
                  <c:v>86.78</c:v>
                </c:pt>
                <c:pt idx="38">
                  <c:v>87.84</c:v>
                </c:pt>
                <c:pt idx="39">
                  <c:v>88.12</c:v>
                </c:pt>
                <c:pt idx="40">
                  <c:v>85.96</c:v>
                </c:pt>
                <c:pt idx="41">
                  <c:v>85.42</c:v>
                </c:pt>
                <c:pt idx="42">
                  <c:v>87.56</c:v>
                </c:pt>
                <c:pt idx="43">
                  <c:v>87.69</c:v>
                </c:pt>
                <c:pt idx="44">
                  <c:v>86.45</c:v>
                </c:pt>
                <c:pt idx="45">
                  <c:v>85.81</c:v>
                </c:pt>
                <c:pt idx="46">
                  <c:v>85.65</c:v>
                </c:pt>
                <c:pt idx="47">
                  <c:v>84.9</c:v>
                </c:pt>
                <c:pt idx="48">
                  <c:v>86.35</c:v>
                </c:pt>
                <c:pt idx="49">
                  <c:v>85.57</c:v>
                </c:pt>
                <c:pt idx="50">
                  <c:v>84.83</c:v>
                </c:pt>
                <c:pt idx="51">
                  <c:v>85.24</c:v>
                </c:pt>
                <c:pt idx="52">
                  <c:v>85.63</c:v>
                </c:pt>
                <c:pt idx="53">
                  <c:v>89.01</c:v>
                </c:pt>
                <c:pt idx="54">
                  <c:v>88.83</c:v>
                </c:pt>
                <c:pt idx="55">
                  <c:v>90.5</c:v>
                </c:pt>
                <c:pt idx="56">
                  <c:v>90.5</c:v>
                </c:pt>
                <c:pt idx="57">
                  <c:v>90.4</c:v>
                </c:pt>
                <c:pt idx="58">
                  <c:v>91.9</c:v>
                </c:pt>
                <c:pt idx="59">
                  <c:v>93.12</c:v>
                </c:pt>
                <c:pt idx="60">
                  <c:v>95.72</c:v>
                </c:pt>
                <c:pt idx="61">
                  <c:v>95.57</c:v>
                </c:pt>
                <c:pt idx="62">
                  <c:v>96.07</c:v>
                </c:pt>
                <c:pt idx="63">
                  <c:v>96.9</c:v>
                </c:pt>
                <c:pt idx="64">
                  <c:v>97.27</c:v>
                </c:pt>
                <c:pt idx="65">
                  <c:v>96.09</c:v>
                </c:pt>
                <c:pt idx="66">
                  <c:v>96.3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519232"/>
        <c:axId val="638517272"/>
      </c:lineChart>
      <c:dateAx>
        <c:axId val="638519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517272"/>
        <c:crosses val="autoZero"/>
        <c:auto val="1"/>
        <c:lblOffset val="100"/>
        <c:baseTimeUnit val="days"/>
      </c:dateAx>
      <c:valAx>
        <c:axId val="6385172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51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42460</c:v>
                </c:pt>
                <c:pt idx="1">
                  <c:v>42459</c:v>
                </c:pt>
                <c:pt idx="2">
                  <c:v>42458</c:v>
                </c:pt>
                <c:pt idx="3">
                  <c:v>42457</c:v>
                </c:pt>
                <c:pt idx="4">
                  <c:v>42453</c:v>
                </c:pt>
                <c:pt idx="5">
                  <c:v>42452</c:v>
                </c:pt>
                <c:pt idx="6">
                  <c:v>42451</c:v>
                </c:pt>
                <c:pt idx="7">
                  <c:v>42450</c:v>
                </c:pt>
                <c:pt idx="8">
                  <c:v>42447</c:v>
                </c:pt>
                <c:pt idx="9">
                  <c:v>42446</c:v>
                </c:pt>
                <c:pt idx="10">
                  <c:v>42445</c:v>
                </c:pt>
                <c:pt idx="11">
                  <c:v>42444</c:v>
                </c:pt>
                <c:pt idx="12">
                  <c:v>42443</c:v>
                </c:pt>
                <c:pt idx="13">
                  <c:v>42440</c:v>
                </c:pt>
                <c:pt idx="14">
                  <c:v>42439</c:v>
                </c:pt>
                <c:pt idx="15">
                  <c:v>42438</c:v>
                </c:pt>
                <c:pt idx="16">
                  <c:v>42438</c:v>
                </c:pt>
                <c:pt idx="17">
                  <c:v>42437</c:v>
                </c:pt>
                <c:pt idx="18">
                  <c:v>42436</c:v>
                </c:pt>
                <c:pt idx="19">
                  <c:v>42433</c:v>
                </c:pt>
                <c:pt idx="20">
                  <c:v>42432</c:v>
                </c:pt>
                <c:pt idx="21">
                  <c:v>42431</c:v>
                </c:pt>
                <c:pt idx="22">
                  <c:v>42430</c:v>
                </c:pt>
                <c:pt idx="23">
                  <c:v>42429</c:v>
                </c:pt>
                <c:pt idx="24">
                  <c:v>42426</c:v>
                </c:pt>
                <c:pt idx="25">
                  <c:v>42425</c:v>
                </c:pt>
                <c:pt idx="26">
                  <c:v>42424</c:v>
                </c:pt>
                <c:pt idx="27">
                  <c:v>42423</c:v>
                </c:pt>
                <c:pt idx="28">
                  <c:v>42422</c:v>
                </c:pt>
                <c:pt idx="29">
                  <c:v>42419</c:v>
                </c:pt>
                <c:pt idx="30">
                  <c:v>42418</c:v>
                </c:pt>
                <c:pt idx="31">
                  <c:v>42417</c:v>
                </c:pt>
                <c:pt idx="32">
                  <c:v>42416</c:v>
                </c:pt>
                <c:pt idx="33">
                  <c:v>42412</c:v>
                </c:pt>
                <c:pt idx="34">
                  <c:v>42411</c:v>
                </c:pt>
                <c:pt idx="35">
                  <c:v>42410</c:v>
                </c:pt>
                <c:pt idx="36">
                  <c:v>42409</c:v>
                </c:pt>
                <c:pt idx="37">
                  <c:v>42408</c:v>
                </c:pt>
                <c:pt idx="38">
                  <c:v>42405</c:v>
                </c:pt>
                <c:pt idx="39">
                  <c:v>42404</c:v>
                </c:pt>
                <c:pt idx="40">
                  <c:v>42403</c:v>
                </c:pt>
                <c:pt idx="41">
                  <c:v>42402</c:v>
                </c:pt>
                <c:pt idx="42">
                  <c:v>42401</c:v>
                </c:pt>
                <c:pt idx="43">
                  <c:v>42398</c:v>
                </c:pt>
                <c:pt idx="44">
                  <c:v>42397</c:v>
                </c:pt>
                <c:pt idx="45">
                  <c:v>42396</c:v>
                </c:pt>
                <c:pt idx="46">
                  <c:v>42395</c:v>
                </c:pt>
                <c:pt idx="47">
                  <c:v>42394</c:v>
                </c:pt>
                <c:pt idx="48">
                  <c:v>42391</c:v>
                </c:pt>
                <c:pt idx="49">
                  <c:v>42390</c:v>
                </c:pt>
                <c:pt idx="50">
                  <c:v>42389</c:v>
                </c:pt>
                <c:pt idx="51">
                  <c:v>42388</c:v>
                </c:pt>
                <c:pt idx="52">
                  <c:v>42384</c:v>
                </c:pt>
                <c:pt idx="53">
                  <c:v>42383</c:v>
                </c:pt>
                <c:pt idx="54">
                  <c:v>42382</c:v>
                </c:pt>
                <c:pt idx="55">
                  <c:v>42381</c:v>
                </c:pt>
                <c:pt idx="56">
                  <c:v>42380</c:v>
                </c:pt>
                <c:pt idx="57">
                  <c:v>42377</c:v>
                </c:pt>
                <c:pt idx="58">
                  <c:v>42376</c:v>
                </c:pt>
                <c:pt idx="59">
                  <c:v>42375</c:v>
                </c:pt>
                <c:pt idx="60">
                  <c:v>42374</c:v>
                </c:pt>
                <c:pt idx="61">
                  <c:v>42373</c:v>
                </c:pt>
                <c:pt idx="62">
                  <c:v>42369</c:v>
                </c:pt>
                <c:pt idx="63">
                  <c:v>42368</c:v>
                </c:pt>
                <c:pt idx="64">
                  <c:v>42367</c:v>
                </c:pt>
                <c:pt idx="65">
                  <c:v>42366</c:v>
                </c:pt>
                <c:pt idx="66">
                  <c:v>42362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128.9</c:v>
                </c:pt>
                <c:pt idx="1">
                  <c:v>129.68</c:v>
                </c:pt>
                <c:pt idx="2">
                  <c:v>129.83000000000001</c:v>
                </c:pt>
                <c:pt idx="3">
                  <c:v>128.91999999999999</c:v>
                </c:pt>
                <c:pt idx="4">
                  <c:v>128.59</c:v>
                </c:pt>
                <c:pt idx="5">
                  <c:v>129.79</c:v>
                </c:pt>
                <c:pt idx="6">
                  <c:v>128.02000000000001</c:v>
                </c:pt>
                <c:pt idx="7">
                  <c:v>126.74</c:v>
                </c:pt>
                <c:pt idx="8">
                  <c:v>126.72</c:v>
                </c:pt>
                <c:pt idx="9">
                  <c:v>124.53</c:v>
                </c:pt>
                <c:pt idx="10">
                  <c:v>124.9</c:v>
                </c:pt>
                <c:pt idx="11">
                  <c:v>124.85</c:v>
                </c:pt>
                <c:pt idx="12">
                  <c:v>125.22</c:v>
                </c:pt>
                <c:pt idx="13">
                  <c:v>125.1</c:v>
                </c:pt>
                <c:pt idx="14">
                  <c:v>122.09</c:v>
                </c:pt>
                <c:pt idx="15">
                  <c:v>121.1</c:v>
                </c:pt>
                <c:pt idx="17">
                  <c:v>121.66</c:v>
                </c:pt>
                <c:pt idx="18">
                  <c:v>121.76</c:v>
                </c:pt>
                <c:pt idx="19">
                  <c:v>121.8</c:v>
                </c:pt>
                <c:pt idx="20">
                  <c:v>121.82</c:v>
                </c:pt>
                <c:pt idx="21">
                  <c:v>121.27</c:v>
                </c:pt>
                <c:pt idx="22">
                  <c:v>121.67</c:v>
                </c:pt>
                <c:pt idx="23">
                  <c:v>119.1</c:v>
                </c:pt>
                <c:pt idx="24">
                  <c:v>121.33</c:v>
                </c:pt>
                <c:pt idx="25">
                  <c:v>121.2</c:v>
                </c:pt>
                <c:pt idx="26">
                  <c:v>120.2</c:v>
                </c:pt>
                <c:pt idx="27">
                  <c:v>121.15</c:v>
                </c:pt>
                <c:pt idx="28">
                  <c:v>121.27</c:v>
                </c:pt>
                <c:pt idx="29">
                  <c:v>117.68</c:v>
                </c:pt>
                <c:pt idx="30">
                  <c:v>117.45</c:v>
                </c:pt>
                <c:pt idx="31">
                  <c:v>118.3</c:v>
                </c:pt>
                <c:pt idx="32">
                  <c:v>115.15</c:v>
                </c:pt>
                <c:pt idx="33">
                  <c:v>111.82</c:v>
                </c:pt>
                <c:pt idx="34">
                  <c:v>110.62</c:v>
                </c:pt>
                <c:pt idx="35">
                  <c:v>112.74</c:v>
                </c:pt>
                <c:pt idx="36">
                  <c:v>111.16</c:v>
                </c:pt>
                <c:pt idx="37">
                  <c:v>110.02</c:v>
                </c:pt>
                <c:pt idx="38">
                  <c:v>111.72</c:v>
                </c:pt>
                <c:pt idx="39">
                  <c:v>114.2</c:v>
                </c:pt>
                <c:pt idx="40">
                  <c:v>112.75</c:v>
                </c:pt>
                <c:pt idx="41">
                  <c:v>113.88</c:v>
                </c:pt>
                <c:pt idx="42">
                  <c:v>115.89</c:v>
                </c:pt>
                <c:pt idx="43">
                  <c:v>115.16</c:v>
                </c:pt>
                <c:pt idx="44">
                  <c:v>111.38</c:v>
                </c:pt>
                <c:pt idx="45">
                  <c:v>112.33</c:v>
                </c:pt>
                <c:pt idx="46">
                  <c:v>113.96</c:v>
                </c:pt>
                <c:pt idx="47">
                  <c:v>113.38</c:v>
                </c:pt>
                <c:pt idx="48">
                  <c:v>114.33</c:v>
                </c:pt>
                <c:pt idx="49">
                  <c:v>113.5</c:v>
                </c:pt>
                <c:pt idx="50">
                  <c:v>114.79</c:v>
                </c:pt>
                <c:pt idx="51">
                  <c:v>112.58</c:v>
                </c:pt>
                <c:pt idx="52">
                  <c:v>109.27</c:v>
                </c:pt>
                <c:pt idx="53">
                  <c:v>110.76</c:v>
                </c:pt>
                <c:pt idx="54">
                  <c:v>109.23</c:v>
                </c:pt>
                <c:pt idx="55">
                  <c:v>112.26</c:v>
                </c:pt>
                <c:pt idx="56">
                  <c:v>109.58</c:v>
                </c:pt>
                <c:pt idx="57">
                  <c:v>110.16</c:v>
                </c:pt>
                <c:pt idx="58">
                  <c:v>112.09</c:v>
                </c:pt>
                <c:pt idx="59">
                  <c:v>115.49</c:v>
                </c:pt>
                <c:pt idx="60">
                  <c:v>116.68</c:v>
                </c:pt>
                <c:pt idx="61">
                  <c:v>116.46</c:v>
                </c:pt>
                <c:pt idx="62">
                  <c:v>117.64</c:v>
                </c:pt>
                <c:pt idx="63">
                  <c:v>118.92</c:v>
                </c:pt>
                <c:pt idx="64">
                  <c:v>119.82</c:v>
                </c:pt>
                <c:pt idx="65">
                  <c:v>118.33</c:v>
                </c:pt>
                <c:pt idx="66">
                  <c:v>118.34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522760"/>
        <c:axId val="638515704"/>
      </c:lineChart>
      <c:dateAx>
        <c:axId val="6385227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515704"/>
        <c:crosses val="autoZero"/>
        <c:auto val="1"/>
        <c:lblOffset val="100"/>
        <c:baseTimeUnit val="days"/>
      </c:dateAx>
      <c:valAx>
        <c:axId val="63851570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52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42460</c:v>
                </c:pt>
                <c:pt idx="1">
                  <c:v>42459</c:v>
                </c:pt>
                <c:pt idx="2">
                  <c:v>42458</c:v>
                </c:pt>
                <c:pt idx="3">
                  <c:v>42457</c:v>
                </c:pt>
                <c:pt idx="4">
                  <c:v>42453</c:v>
                </c:pt>
                <c:pt idx="5">
                  <c:v>42452</c:v>
                </c:pt>
                <c:pt idx="6">
                  <c:v>42451</c:v>
                </c:pt>
                <c:pt idx="7">
                  <c:v>42450</c:v>
                </c:pt>
                <c:pt idx="8">
                  <c:v>42447</c:v>
                </c:pt>
                <c:pt idx="9">
                  <c:v>42446</c:v>
                </c:pt>
                <c:pt idx="10">
                  <c:v>42445</c:v>
                </c:pt>
                <c:pt idx="11">
                  <c:v>42444</c:v>
                </c:pt>
                <c:pt idx="12">
                  <c:v>42443</c:v>
                </c:pt>
                <c:pt idx="13">
                  <c:v>42440</c:v>
                </c:pt>
                <c:pt idx="14">
                  <c:v>42439</c:v>
                </c:pt>
                <c:pt idx="15">
                  <c:v>42438</c:v>
                </c:pt>
                <c:pt idx="16">
                  <c:v>42437</c:v>
                </c:pt>
                <c:pt idx="17">
                  <c:v>42436</c:v>
                </c:pt>
                <c:pt idx="18">
                  <c:v>42433</c:v>
                </c:pt>
                <c:pt idx="19">
                  <c:v>42432</c:v>
                </c:pt>
                <c:pt idx="20">
                  <c:v>42431</c:v>
                </c:pt>
                <c:pt idx="21">
                  <c:v>42430</c:v>
                </c:pt>
                <c:pt idx="22">
                  <c:v>42429</c:v>
                </c:pt>
                <c:pt idx="23">
                  <c:v>42426</c:v>
                </c:pt>
                <c:pt idx="24">
                  <c:v>42425</c:v>
                </c:pt>
                <c:pt idx="25">
                  <c:v>42424</c:v>
                </c:pt>
                <c:pt idx="26">
                  <c:v>42423</c:v>
                </c:pt>
                <c:pt idx="27">
                  <c:v>42422</c:v>
                </c:pt>
                <c:pt idx="28">
                  <c:v>42419</c:v>
                </c:pt>
                <c:pt idx="29">
                  <c:v>42418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260.32</c:v>
                </c:pt>
                <c:pt idx="1">
                  <c:v>254.18</c:v>
                </c:pt>
                <c:pt idx="2">
                  <c:v>254.68</c:v>
                </c:pt>
                <c:pt idx="3">
                  <c:v>251.76</c:v>
                </c:pt>
                <c:pt idx="4">
                  <c:v>254.69</c:v>
                </c:pt>
                <c:pt idx="5">
                  <c:v>255.24</c:v>
                </c:pt>
                <c:pt idx="6">
                  <c:v>259.42</c:v>
                </c:pt>
                <c:pt idx="7">
                  <c:v>256.05</c:v>
                </c:pt>
                <c:pt idx="8">
                  <c:v>250.78</c:v>
                </c:pt>
                <c:pt idx="9">
                  <c:v>246.31</c:v>
                </c:pt>
                <c:pt idx="10">
                  <c:v>250.84</c:v>
                </c:pt>
                <c:pt idx="11">
                  <c:v>250.33</c:v>
                </c:pt>
                <c:pt idx="12">
                  <c:v>257.77</c:v>
                </c:pt>
                <c:pt idx="13">
                  <c:v>259.74</c:v>
                </c:pt>
                <c:pt idx="14">
                  <c:v>251.97</c:v>
                </c:pt>
                <c:pt idx="15">
                  <c:v>255.66</c:v>
                </c:pt>
                <c:pt idx="16">
                  <c:v>261.27999999999997</c:v>
                </c:pt>
                <c:pt idx="17">
                  <c:v>269.52</c:v>
                </c:pt>
                <c:pt idx="18">
                  <c:v>263.94</c:v>
                </c:pt>
                <c:pt idx="19">
                  <c:v>268.64</c:v>
                </c:pt>
                <c:pt idx="20">
                  <c:v>273.66000000000003</c:v>
                </c:pt>
                <c:pt idx="21">
                  <c:v>270.89999999999998</c:v>
                </c:pt>
                <c:pt idx="22">
                  <c:v>259.42</c:v>
                </c:pt>
                <c:pt idx="23">
                  <c:v>264.49</c:v>
                </c:pt>
                <c:pt idx="24">
                  <c:v>262.35000000000002</c:v>
                </c:pt>
                <c:pt idx="25">
                  <c:v>257.22000000000003</c:v>
                </c:pt>
                <c:pt idx="26">
                  <c:v>258.99</c:v>
                </c:pt>
                <c:pt idx="27">
                  <c:v>265.83</c:v>
                </c:pt>
                <c:pt idx="28">
                  <c:v>261.39999999999998</c:v>
                </c:pt>
                <c:pt idx="29">
                  <c:v>259.05</c:v>
                </c:pt>
                <c:pt idx="30">
                  <c:v>265.63</c:v>
                </c:pt>
                <c:pt idx="31">
                  <c:v>256.52</c:v>
                </c:pt>
                <c:pt idx="32">
                  <c:v>247.22</c:v>
                </c:pt>
                <c:pt idx="33">
                  <c:v>245.11</c:v>
                </c:pt>
                <c:pt idx="34">
                  <c:v>252.2</c:v>
                </c:pt>
                <c:pt idx="35">
                  <c:v>249.99</c:v>
                </c:pt>
                <c:pt idx="36">
                  <c:v>250.77</c:v>
                </c:pt>
                <c:pt idx="37">
                  <c:v>263.86</c:v>
                </c:pt>
                <c:pt idx="38">
                  <c:v>273.27</c:v>
                </c:pt>
                <c:pt idx="39">
                  <c:v>270.43</c:v>
                </c:pt>
                <c:pt idx="40">
                  <c:v>266.06</c:v>
                </c:pt>
                <c:pt idx="41">
                  <c:v>273.45</c:v>
                </c:pt>
                <c:pt idx="42">
                  <c:v>273.06</c:v>
                </c:pt>
                <c:pt idx="43">
                  <c:v>265.95999999999998</c:v>
                </c:pt>
                <c:pt idx="44">
                  <c:v>273.26</c:v>
                </c:pt>
                <c:pt idx="45">
                  <c:v>259.87</c:v>
                </c:pt>
                <c:pt idx="46">
                  <c:v>262.10000000000002</c:v>
                </c:pt>
                <c:pt idx="47">
                  <c:v>268.92</c:v>
                </c:pt>
                <c:pt idx="48">
                  <c:v>262.08</c:v>
                </c:pt>
                <c:pt idx="49">
                  <c:v>269.35000000000002</c:v>
                </c:pt>
                <c:pt idx="50">
                  <c:v>269.85000000000002</c:v>
                </c:pt>
                <c:pt idx="51">
                  <c:v>273.33</c:v>
                </c:pt>
                <c:pt idx="52">
                  <c:v>280.57</c:v>
                </c:pt>
                <c:pt idx="53">
                  <c:v>267.25</c:v>
                </c:pt>
                <c:pt idx="54">
                  <c:v>278.67</c:v>
                </c:pt>
                <c:pt idx="55">
                  <c:v>278.54000000000002</c:v>
                </c:pt>
                <c:pt idx="56">
                  <c:v>280.58999999999997</c:v>
                </c:pt>
                <c:pt idx="57">
                  <c:v>284.01</c:v>
                </c:pt>
                <c:pt idx="58">
                  <c:v>293.68</c:v>
                </c:pt>
                <c:pt idx="59">
                  <c:v>296.7</c:v>
                </c:pt>
                <c:pt idx="60">
                  <c:v>294.62</c:v>
                </c:pt>
                <c:pt idx="61">
                  <c:v>306.35000000000002</c:v>
                </c:pt>
                <c:pt idx="62">
                  <c:v>308.33999999999997</c:v>
                </c:pt>
                <c:pt idx="63">
                  <c:v>309.67</c:v>
                </c:pt>
                <c:pt idx="64">
                  <c:v>303.83999999999997</c:v>
                </c:pt>
                <c:pt idx="65">
                  <c:v>302.29000000000002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528640"/>
        <c:axId val="638525504"/>
      </c:lineChart>
      <c:dateAx>
        <c:axId val="638528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525504"/>
        <c:crosses val="autoZero"/>
        <c:auto val="1"/>
        <c:lblOffset val="100"/>
        <c:baseTimeUnit val="days"/>
      </c:dateAx>
      <c:valAx>
        <c:axId val="638525504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52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59"/>
  <sheetViews>
    <sheetView zoomScaleNormal="100" workbookViewId="0">
      <pane ySplit="1" topLeftCell="A140" activePane="bottomLeft" state="frozen"/>
      <selection pane="bottomLeft" activeCell="J164" sqref="J164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3" bestFit="1" customWidth="1"/>
    <col min="17" max="17" width="15" style="393" bestFit="1" customWidth="1"/>
    <col min="18" max="18" width="12" style="393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7"/>
      <c r="B1" s="398" t="s">
        <v>88</v>
      </c>
      <c r="C1" s="397" t="s">
        <v>142</v>
      </c>
      <c r="D1" s="399" t="s">
        <v>144</v>
      </c>
      <c r="E1" s="399" t="s">
        <v>156</v>
      </c>
      <c r="F1" s="399" t="s">
        <v>174</v>
      </c>
      <c r="G1" s="399" t="s">
        <v>175</v>
      </c>
      <c r="H1" s="399" t="s">
        <v>176</v>
      </c>
      <c r="I1" s="397" t="s">
        <v>87</v>
      </c>
      <c r="J1" s="397" t="s">
        <v>89</v>
      </c>
      <c r="K1" s="397" t="s">
        <v>141</v>
      </c>
      <c r="L1" s="397" t="s">
        <v>143</v>
      </c>
      <c r="M1" s="400" t="s">
        <v>99</v>
      </c>
      <c r="N1" s="400" t="s">
        <v>76</v>
      </c>
      <c r="O1" s="397" t="s">
        <v>170</v>
      </c>
      <c r="P1" s="401" t="s">
        <v>260</v>
      </c>
      <c r="Q1" s="401" t="s">
        <v>261</v>
      </c>
      <c r="R1" s="401" t="s">
        <v>262</v>
      </c>
      <c r="S1" s="243" t="s">
        <v>171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4"/>
      <c r="R2" s="394"/>
      <c r="S2" s="392">
        <f>LOOKUP(2,1/(M:M&lt;&gt;""),M:M)</f>
        <v>-106114.51000000001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4"/>
      <c r="R3" s="394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4"/>
      <c r="R4" s="394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4"/>
      <c r="R5" s="394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4"/>
      <c r="R6" s="394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5"/>
      <c r="R7" s="395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5"/>
      <c r="R8" s="395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5"/>
      <c r="R9" s="395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5"/>
      <c r="R10" s="395"/>
      <c r="S10" s="180" t="s">
        <v>128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5"/>
      <c r="R11" s="395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4"/>
      <c r="R12" s="394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4"/>
      <c r="R13" s="394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4"/>
      <c r="R14" s="394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4"/>
      <c r="R15" s="394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4"/>
      <c r="R16" s="394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5"/>
      <c r="R17" s="395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5"/>
      <c r="R18" s="395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5"/>
      <c r="R19" s="395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5"/>
      <c r="R20" s="395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4"/>
      <c r="R21" s="394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4"/>
      <c r="R22" s="394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4"/>
      <c r="R23" s="394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4"/>
      <c r="R24" s="394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4"/>
      <c r="R25" s="394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5"/>
      <c r="R26" s="395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5"/>
      <c r="R27" s="395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5"/>
      <c r="R28" s="395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5"/>
      <c r="R29" s="395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5"/>
      <c r="R30" s="395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4"/>
      <c r="R31" s="394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4"/>
      <c r="R32" s="394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4"/>
      <c r="R33" s="394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4"/>
      <c r="R34" s="394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4"/>
      <c r="R35" s="394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5"/>
      <c r="R36" s="395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5"/>
      <c r="R37" s="395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5"/>
      <c r="R38" s="395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5"/>
      <c r="R39" s="395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80">
        <f t="shared" si="33"/>
        <v>-38308.080000000016</v>
      </c>
      <c r="N40" s="204">
        <f t="shared" si="34"/>
        <v>-9.8225846153846191E-2</v>
      </c>
      <c r="O40" s="280" t="b">
        <f t="shared" si="9"/>
        <v>0</v>
      </c>
      <c r="P40" s="204">
        <f>COUNTIF(O$2:O40, TRUE)/(COUNTIF(O$2:O40,FALSE) + COUNTIF(O$2:O40, TRUE))</f>
        <v>0.46153846153846156</v>
      </c>
      <c r="Q40" s="395"/>
      <c r="R40" s="395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4"/>
      <c r="R41" s="394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4"/>
      <c r="R42" s="394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4"/>
      <c r="R43" s="394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4"/>
      <c r="R44" s="394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4"/>
      <c r="R45" s="394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5"/>
      <c r="R46" s="395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5"/>
      <c r="R47" s="395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5"/>
      <c r="R48" s="395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5"/>
      <c r="R49" s="395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5"/>
      <c r="R50" s="395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4"/>
      <c r="R51" s="394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4"/>
      <c r="R52" s="394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4"/>
      <c r="R53" s="394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4"/>
      <c r="R54" s="394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4"/>
      <c r="R55" s="394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5"/>
      <c r="R56" s="395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5"/>
      <c r="R57" s="395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5"/>
      <c r="R58" s="395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5"/>
      <c r="R59" s="395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5"/>
      <c r="R60" s="395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4"/>
      <c r="R61" s="394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4"/>
      <c r="R62" s="394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4"/>
      <c r="R63" s="394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4"/>
      <c r="R64" s="394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4"/>
      <c r="R65" s="394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5"/>
      <c r="R66" s="395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5"/>
      <c r="R67" s="395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5"/>
      <c r="R68" s="395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5"/>
      <c r="R69" s="395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5"/>
      <c r="R70" s="395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4"/>
      <c r="R71" s="394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4"/>
      <c r="R72" s="394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4"/>
      <c r="R73" s="394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4"/>
      <c r="R74" s="394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5"/>
      <c r="R75" s="395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5"/>
      <c r="R76" s="395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5"/>
      <c r="R77" s="395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5"/>
      <c r="R78" s="395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5"/>
      <c r="R79" s="395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4"/>
      <c r="R80" s="394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4"/>
      <c r="R81" s="394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4"/>
      <c r="R82" s="394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4"/>
      <c r="R83" s="394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4"/>
      <c r="R84" s="394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5"/>
      <c r="R85" s="395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5"/>
      <c r="R86" s="395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5"/>
      <c r="R87" s="395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5"/>
      <c r="R88" s="395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5"/>
      <c r="R89" s="395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4"/>
      <c r="R90" s="394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4"/>
      <c r="R91" s="394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4"/>
      <c r="R92" s="394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4"/>
      <c r="R93" s="394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5"/>
      <c r="R94" s="395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5"/>
      <c r="R95" s="395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5"/>
      <c r="R96" s="395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5"/>
      <c r="R97" s="395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4"/>
      <c r="R98" s="394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4"/>
      <c r="R99" s="394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4"/>
      <c r="R100" s="394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4"/>
      <c r="R101" s="394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4"/>
      <c r="R102" s="394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5"/>
      <c r="R103" s="395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5"/>
      <c r="R104" s="395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5"/>
      <c r="R105" s="395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5"/>
      <c r="R106" s="395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5"/>
      <c r="R107" s="395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4"/>
      <c r="R108" s="394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4"/>
      <c r="R109" s="394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4"/>
      <c r="R110" s="394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4"/>
      <c r="R111" s="394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5"/>
      <c r="R112" s="395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5"/>
      <c r="R113" s="395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5"/>
      <c r="R114" s="395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5"/>
      <c r="R115" s="395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5"/>
      <c r="R116" s="395"/>
    </row>
    <row r="117" spans="2:18" ht="20.100000000000001" customHeight="1" x14ac:dyDescent="0.25">
      <c r="B117" s="284">
        <v>42401</v>
      </c>
      <c r="C117" s="285">
        <v>1939.38</v>
      </c>
      <c r="D117" s="188">
        <f t="shared" si="114"/>
        <v>-4.4324413474616542E-4</v>
      </c>
      <c r="E117" s="286">
        <f t="shared" si="276"/>
        <v>-7.755750461368692E-2</v>
      </c>
      <c r="F117" s="287">
        <v>4620.3599999999997</v>
      </c>
      <c r="G117" s="188">
        <f t="shared" si="108"/>
        <v>1.3892651632548803E-3</v>
      </c>
      <c r="H117" s="288">
        <f t="shared" si="254"/>
        <v>-9.2570261405817339E-2</v>
      </c>
      <c r="I117" s="289">
        <v>271687.27</v>
      </c>
      <c r="J117" s="290">
        <v>400000</v>
      </c>
      <c r="K117" s="290">
        <f t="shared" ref="K117" si="285">I117-I116-J117+J116</f>
        <v>-854.3399999999674</v>
      </c>
      <c r="L117" s="188">
        <f t="shared" si="117"/>
        <v>-3.1347139983504443E-3</v>
      </c>
      <c r="M117" s="291">
        <f t="shared" ref="M117:M118" si="286">I117-J117</f>
        <v>-128312.72999999998</v>
      </c>
      <c r="N117" s="292">
        <f t="shared" ref="N117:N118" si="287">M117/J117</f>
        <v>-0.32078182499999996</v>
      </c>
      <c r="O117" s="291" t="b">
        <f t="shared" ref="O117:O118" si="288">L117&gt;D117</f>
        <v>0</v>
      </c>
      <c r="P117" s="292">
        <f>COUNTIF(O$2:O117, TRUE)/(COUNTIF(O$2:O117,FALSE) + COUNTIF(O$2:O117, TRUE))</f>
        <v>0.44827586206896552</v>
      </c>
      <c r="Q117" s="396"/>
      <c r="R117" s="396"/>
    </row>
    <row r="118" spans="2:18" ht="20.100000000000001" customHeight="1" x14ac:dyDescent="0.25">
      <c r="B118" s="284">
        <v>42402</v>
      </c>
      <c r="C118" s="285">
        <v>1903.03</v>
      </c>
      <c r="D118" s="188">
        <f t="shared" si="114"/>
        <v>-1.8743103466056232E-2</v>
      </c>
      <c r="E118" s="286">
        <f t="shared" si="276"/>
        <v>-9.484693974619969E-2</v>
      </c>
      <c r="F118" s="287">
        <v>4516.9399999999996</v>
      </c>
      <c r="G118" s="188">
        <f t="shared" si="108"/>
        <v>-2.2383537213550478E-2</v>
      </c>
      <c r="H118" s="288">
        <f t="shared" si="254"/>
        <v>-0.11288174872832261</v>
      </c>
      <c r="I118" s="289">
        <v>258167.62</v>
      </c>
      <c r="J118" s="290">
        <v>400000</v>
      </c>
      <c r="K118" s="290">
        <f t="shared" ref="K118" si="289">I118-I117-J118+J117</f>
        <v>-13519.650000000023</v>
      </c>
      <c r="L118" s="188">
        <f t="shared" si="117"/>
        <v>-4.9761808862078899E-2</v>
      </c>
      <c r="M118" s="291">
        <f t="shared" si="286"/>
        <v>-141832.38</v>
      </c>
      <c r="N118" s="292">
        <f t="shared" si="287"/>
        <v>-0.35458095000000001</v>
      </c>
      <c r="O118" s="291" t="b">
        <f t="shared" si="288"/>
        <v>0</v>
      </c>
      <c r="P118" s="292">
        <f>COUNTIF(O$2:O118, TRUE)/(COUNTIF(O$2:O118,FALSE) + COUNTIF(O$2:O118, TRUE))</f>
        <v>0.44444444444444442</v>
      </c>
      <c r="Q118" s="396"/>
      <c r="R118" s="396"/>
    </row>
    <row r="119" spans="2:18" ht="20.100000000000001" customHeight="1" x14ac:dyDescent="0.25">
      <c r="B119" s="284">
        <v>42403</v>
      </c>
      <c r="C119" s="285">
        <v>1912.53</v>
      </c>
      <c r="D119" s="188">
        <f t="shared" si="114"/>
        <v>4.9920390114711801E-3</v>
      </c>
      <c r="E119" s="286">
        <f t="shared" si="276"/>
        <v>-9.0328380358060192E-2</v>
      </c>
      <c r="F119" s="287">
        <v>4504.2299999999996</v>
      </c>
      <c r="G119" s="188">
        <f t="shared" si="108"/>
        <v>-2.8138518554596779E-3</v>
      </c>
      <c r="H119" s="288">
        <f t="shared" si="254"/>
        <v>-0.11537796806567556</v>
      </c>
      <c r="I119" s="289">
        <v>270997.09999999998</v>
      </c>
      <c r="J119" s="290">
        <v>400000</v>
      </c>
      <c r="K119" s="290">
        <f t="shared" ref="K119" si="290">I119-I118-J119+J118</f>
        <v>12829.479999999981</v>
      </c>
      <c r="L119" s="188">
        <f t="shared" si="117"/>
        <v>4.9694380728303504E-2</v>
      </c>
      <c r="M119" s="291">
        <f t="shared" ref="M119" si="291">I119-J119</f>
        <v>-129002.90000000002</v>
      </c>
      <c r="N119" s="292">
        <f t="shared" ref="N119" si="292">M119/J119</f>
        <v>-0.32250725000000008</v>
      </c>
      <c r="O119" s="291" t="b">
        <f t="shared" ref="O119" si="293">L119&gt;D119</f>
        <v>1</v>
      </c>
      <c r="P119" s="292">
        <f>COUNTIF(O$2:O119, TRUE)/(COUNTIF(O$2:O119,FALSE) + COUNTIF(O$2:O119, TRUE))</f>
        <v>0.44915254237288138</v>
      </c>
      <c r="Q119" s="396"/>
      <c r="R119" s="396"/>
    </row>
    <row r="120" spans="2:18" ht="20.100000000000001" customHeight="1" x14ac:dyDescent="0.25">
      <c r="B120" s="284">
        <v>42404</v>
      </c>
      <c r="C120" s="285">
        <v>1915.45</v>
      </c>
      <c r="D120" s="188">
        <f t="shared" si="114"/>
        <v>1.5267734362337181E-3</v>
      </c>
      <c r="E120" s="286">
        <f t="shared" si="276"/>
        <v>-8.8939517893495176E-2</v>
      </c>
      <c r="F120" s="287">
        <v>4509.55</v>
      </c>
      <c r="G120" s="188">
        <f t="shared" si="108"/>
        <v>1.1811119769640137E-3</v>
      </c>
      <c r="H120" s="288">
        <f t="shared" si="254"/>
        <v>-0.1143331303886717</v>
      </c>
      <c r="I120" s="289">
        <v>272162.3</v>
      </c>
      <c r="J120" s="290">
        <v>400000</v>
      </c>
      <c r="K120" s="290">
        <f t="shared" ref="K120" si="294">I120-I119-J120+J119</f>
        <v>1165.2000000000116</v>
      </c>
      <c r="L120" s="188">
        <f t="shared" si="117"/>
        <v>4.2996770076137777E-3</v>
      </c>
      <c r="M120" s="291">
        <f t="shared" ref="M120" si="295">I120-J120</f>
        <v>-127837.70000000001</v>
      </c>
      <c r="N120" s="292">
        <f t="shared" ref="N120" si="296">M120/J120</f>
        <v>-0.31959425000000002</v>
      </c>
      <c r="O120" s="291" t="b">
        <f t="shared" ref="O120" si="297">L120&gt;D120</f>
        <v>1</v>
      </c>
      <c r="P120" s="292">
        <f>COUNTIF(O$2:O120, TRUE)/(COUNTIF(O$2:O120,FALSE) + COUNTIF(O$2:O120, TRUE))</f>
        <v>0.45378151260504201</v>
      </c>
      <c r="Q120" s="396"/>
      <c r="R120" s="396"/>
    </row>
    <row r="121" spans="2:18" ht="20.100000000000001" customHeight="1" x14ac:dyDescent="0.25">
      <c r="B121" s="284">
        <v>42405</v>
      </c>
      <c r="C121" s="285">
        <v>1880.02</v>
      </c>
      <c r="D121" s="188">
        <f t="shared" si="114"/>
        <v>-1.8496958939152711E-2</v>
      </c>
      <c r="E121" s="286">
        <f t="shared" si="276"/>
        <v>-0.10579136622210387</v>
      </c>
      <c r="F121" s="287">
        <v>4363.1400000000003</v>
      </c>
      <c r="G121" s="188">
        <f t="shared" si="108"/>
        <v>-3.2466654100741725E-2</v>
      </c>
      <c r="H121" s="288">
        <f t="shared" si="254"/>
        <v>-0.1430877702928294</v>
      </c>
      <c r="I121" s="289">
        <v>257957.43</v>
      </c>
      <c r="J121" s="290">
        <v>400000</v>
      </c>
      <c r="K121" s="290">
        <f t="shared" ref="K121:K122" si="298">I121-I120-J121+J120</f>
        <v>-14204.869999999995</v>
      </c>
      <c r="L121" s="188">
        <f t="shared" si="117"/>
        <v>-5.2192643874629206E-2</v>
      </c>
      <c r="M121" s="291">
        <f t="shared" ref="M121:M122" si="299">I121-J121</f>
        <v>-142042.57</v>
      </c>
      <c r="N121" s="292">
        <f t="shared" ref="N121:N122" si="300">M121/J121</f>
        <v>-0.355106425</v>
      </c>
      <c r="O121" s="291" t="b">
        <f t="shared" ref="O121:O122" si="301">L121&gt;D121</f>
        <v>0</v>
      </c>
      <c r="P121" s="292">
        <f>COUNTIF(O$2:O121, TRUE)/(COUNTIF(O$2:O121,FALSE) + COUNTIF(O$2:O121, TRUE))</f>
        <v>0.45</v>
      </c>
      <c r="Q121" s="396"/>
      <c r="R121" s="396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5"/>
      <c r="R122" s="395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5"/>
      <c r="R123" s="395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5"/>
      <c r="R124" s="395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5"/>
      <c r="R125" s="395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5"/>
      <c r="R126" s="395"/>
    </row>
    <row r="127" spans="2:18" ht="20.100000000000001" customHeight="1" x14ac:dyDescent="0.25">
      <c r="B127" s="284">
        <v>42416</v>
      </c>
      <c r="C127" s="285">
        <v>1895.58</v>
      </c>
      <c r="D127" s="188">
        <f t="shared" si="114"/>
        <v>1.651669365823312E-2</v>
      </c>
      <c r="E127" s="286">
        <f t="shared" si="307"/>
        <v>-9.8390441582161731E-2</v>
      </c>
      <c r="F127" s="287">
        <v>4435.96</v>
      </c>
      <c r="G127" s="188">
        <f t="shared" si="108"/>
        <v>2.2697354011863905E-2</v>
      </c>
      <c r="H127" s="288">
        <f t="shared" si="302"/>
        <v>-0.12878606359369166</v>
      </c>
      <c r="I127" s="289">
        <v>243663.46</v>
      </c>
      <c r="J127" s="290">
        <v>400000</v>
      </c>
      <c r="K127" s="290">
        <f t="shared" ref="K127:K128" si="312">I127-I126-J127+J126</f>
        <v>6673.6300000000047</v>
      </c>
      <c r="L127" s="188">
        <f t="shared" si="117"/>
        <v>2.8159984755463999E-2</v>
      </c>
      <c r="M127" s="291">
        <f t="shared" ref="M127:M128" si="313">I127-J127</f>
        <v>-156336.54</v>
      </c>
      <c r="N127" s="292">
        <f t="shared" ref="N127:N128" si="314">M127/J127</f>
        <v>-0.39084135000000003</v>
      </c>
      <c r="O127" s="291" t="b">
        <f t="shared" ref="O127:O128" si="315">L127&gt;D127</f>
        <v>1</v>
      </c>
      <c r="P127" s="292">
        <f>COUNTIF(O$2:O127, TRUE)/(COUNTIF(O$2:O127,FALSE) + COUNTIF(O$2:O127, TRUE))</f>
        <v>0.44444444444444442</v>
      </c>
      <c r="Q127" s="396"/>
      <c r="R127" s="396"/>
    </row>
    <row r="128" spans="2:18" ht="20.100000000000001" customHeight="1" x14ac:dyDescent="0.25">
      <c r="B128" s="284">
        <v>42417</v>
      </c>
      <c r="C128" s="285">
        <v>1926.82</v>
      </c>
      <c r="D128" s="188">
        <f t="shared" si="114"/>
        <v>1.648044398020659E-2</v>
      </c>
      <c r="E128" s="286">
        <f t="shared" ref="E128:E133" si="316">(C128-$C$2)/$C$2</f>
        <v>-8.3531515762637745E-2</v>
      </c>
      <c r="F128" s="287">
        <v>4534.0600000000004</v>
      </c>
      <c r="G128" s="188">
        <f t="shared" si="108"/>
        <v>2.2114716994743044E-2</v>
      </c>
      <c r="H128" s="288">
        <f t="shared" ref="H128:H141" si="317">(F128-F$2)/F$2</f>
        <v>-0.10951941394819008</v>
      </c>
      <c r="I128" s="289">
        <v>249365.31</v>
      </c>
      <c r="J128" s="290">
        <v>400000</v>
      </c>
      <c r="K128" s="290">
        <f t="shared" si="312"/>
        <v>5701.8499999999767</v>
      </c>
      <c r="L128" s="188">
        <f t="shared" si="117"/>
        <v>2.3400513150391843E-2</v>
      </c>
      <c r="M128" s="291">
        <f t="shared" si="313"/>
        <v>-150634.69</v>
      </c>
      <c r="N128" s="292">
        <f t="shared" si="314"/>
        <v>-0.37658672500000001</v>
      </c>
      <c r="O128" s="291" t="b">
        <f t="shared" si="315"/>
        <v>1</v>
      </c>
      <c r="P128" s="292">
        <f>COUNTIF(O$2:O128, TRUE)/(COUNTIF(O$2:O128,FALSE) + COUNTIF(O$2:O128, TRUE))</f>
        <v>0.44881889763779526</v>
      </c>
      <c r="Q128" s="396"/>
      <c r="R128" s="396"/>
    </row>
    <row r="129" spans="1:18" ht="20.100000000000001" customHeight="1" x14ac:dyDescent="0.25">
      <c r="B129" s="284">
        <v>42418</v>
      </c>
      <c r="C129" s="285">
        <v>1917.83</v>
      </c>
      <c r="D129" s="188">
        <f t="shared" si="114"/>
        <v>-4.6657186452289312E-3</v>
      </c>
      <c r="E129" s="286">
        <f t="shared" si="316"/>
        <v>-8.7807499857308707E-2</v>
      </c>
      <c r="F129" s="287">
        <v>4487.53</v>
      </c>
      <c r="G129" s="188">
        <f t="shared" si="108"/>
        <v>-1.0262325597808731E-2</v>
      </c>
      <c r="H129" s="288">
        <f t="shared" si="317"/>
        <v>-0.11865781566078129</v>
      </c>
      <c r="I129" s="289">
        <v>241680.12</v>
      </c>
      <c r="J129" s="290">
        <v>400000</v>
      </c>
      <c r="K129" s="290">
        <f t="shared" ref="K129" si="318">I129-I128-J129+J128</f>
        <v>-7685.1900000000023</v>
      </c>
      <c r="L129" s="188">
        <f t="shared" si="117"/>
        <v>-3.0819002049643562E-2</v>
      </c>
      <c r="M129" s="291">
        <f t="shared" ref="M129" si="319">I129-J129</f>
        <v>-158319.88</v>
      </c>
      <c r="N129" s="292">
        <f t="shared" ref="N129" si="320">M129/J129</f>
        <v>-0.39579970000000003</v>
      </c>
      <c r="O129" s="291" t="b">
        <f t="shared" ref="O129" si="321">L129&gt;D129</f>
        <v>0</v>
      </c>
      <c r="P129" s="292">
        <f>COUNTIF(O$2:O129, TRUE)/(COUNTIF(O$2:O129,FALSE) + COUNTIF(O$2:O129, TRUE))</f>
        <v>0.4453125</v>
      </c>
      <c r="Q129" s="396"/>
      <c r="R129" s="396"/>
    </row>
    <row r="130" spans="1:18" ht="20.100000000000001" customHeight="1" x14ac:dyDescent="0.25">
      <c r="B130" s="284">
        <v>42419</v>
      </c>
      <c r="C130" s="285">
        <v>1917.78</v>
      </c>
      <c r="D130" s="188">
        <f t="shared" si="114"/>
        <v>-2.6071132477828863E-5</v>
      </c>
      <c r="E130" s="286">
        <f t="shared" si="316"/>
        <v>-8.7831281748825207E-2</v>
      </c>
      <c r="F130" s="287">
        <v>4504.43</v>
      </c>
      <c r="G130" s="188">
        <f t="shared" si="108"/>
        <v>3.7659915365469529E-3</v>
      </c>
      <c r="H130" s="288">
        <f t="shared" si="317"/>
        <v>-0.11533868845375798</v>
      </c>
      <c r="I130" s="289">
        <v>236145.17</v>
      </c>
      <c r="J130" s="290">
        <v>400000</v>
      </c>
      <c r="K130" s="290">
        <f t="shared" ref="K130:K131" si="322">I130-I129-J130+J129</f>
        <v>-5534.9499999999534</v>
      </c>
      <c r="L130" s="188">
        <f t="shared" si="117"/>
        <v>-2.290196645052954E-2</v>
      </c>
      <c r="M130" s="291">
        <f t="shared" ref="M130:M131" si="323">I130-J130</f>
        <v>-163854.82999999999</v>
      </c>
      <c r="N130" s="292">
        <f t="shared" ref="N130:N131" si="324">M130/J130</f>
        <v>-0.40963707499999996</v>
      </c>
      <c r="O130" s="291" t="b">
        <f t="shared" ref="O130:O131" si="325">L130&gt;D130</f>
        <v>0</v>
      </c>
      <c r="P130" s="292">
        <f>COUNTIF(O$2:O130, TRUE)/(COUNTIF(O$2:O130,FALSE) + COUNTIF(O$2:O130, TRUE))</f>
        <v>0.44186046511627908</v>
      </c>
      <c r="Q130" s="396"/>
      <c r="R130" s="396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5"/>
      <c r="R131" s="395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55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55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5"/>
      <c r="R132" s="395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55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5"/>
      <c r="R133" s="395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5"/>
      <c r="R134" s="395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5"/>
      <c r="R135" s="395"/>
    </row>
    <row r="136" spans="1:18" ht="20.100000000000001" customHeight="1" x14ac:dyDescent="0.25">
      <c r="B136" s="284">
        <v>42429</v>
      </c>
      <c r="C136" s="285">
        <v>1932.23</v>
      </c>
      <c r="D136" s="188">
        <f t="shared" si="332"/>
        <v>-8.1209414542747545E-3</v>
      </c>
      <c r="E136" s="286">
        <f t="shared" si="337"/>
        <v>-8.0958315100549849E-2</v>
      </c>
      <c r="F136" s="287">
        <v>4557.95</v>
      </c>
      <c r="G136" s="188">
        <f t="shared" si="326"/>
        <v>-7.0842419185835953E-3</v>
      </c>
      <c r="H136" s="288">
        <f t="shared" si="317"/>
        <v>-0.10482746430465267</v>
      </c>
      <c r="I136" s="289">
        <v>254134.09</v>
      </c>
      <c r="J136" s="290">
        <v>400000</v>
      </c>
      <c r="K136" s="290">
        <f t="shared" ref="K136" si="342">I136-I135-J136+J135</f>
        <v>2217.4199999999837</v>
      </c>
      <c r="L136" s="188">
        <f t="shared" si="328"/>
        <v>8.8021963770797042E-3</v>
      </c>
      <c r="M136" s="291">
        <f t="shared" ref="M136" si="343">I136-J136</f>
        <v>-145865.91</v>
      </c>
      <c r="N136" s="292">
        <f t="shared" ref="N136" si="344">M136/J136</f>
        <v>-0.364664775</v>
      </c>
      <c r="O136" s="291" t="b">
        <f t="shared" ref="O136" si="345">L136&gt;D136</f>
        <v>1</v>
      </c>
      <c r="P136" s="292">
        <f>COUNTIF(O$2:O136, TRUE)/(COUNTIF(O$2:O136,FALSE) + COUNTIF(O$2:O136, TRUE))</f>
        <v>0.45185185185185184</v>
      </c>
      <c r="Q136" s="396"/>
      <c r="R136" s="396"/>
    </row>
    <row r="137" spans="1:18" ht="20.100000000000001" customHeight="1" x14ac:dyDescent="0.25">
      <c r="B137" s="284">
        <v>42430</v>
      </c>
      <c r="C137" s="285">
        <v>1978.35</v>
      </c>
      <c r="D137" s="188">
        <f t="shared" si="332"/>
        <v>2.3868794087660315E-2</v>
      </c>
      <c r="E137" s="286">
        <f t="shared" si="337"/>
        <v>-5.9021898365708481E-2</v>
      </c>
      <c r="F137" s="287">
        <v>4689.59</v>
      </c>
      <c r="G137" s="188">
        <f t="shared" si="326"/>
        <v>2.8881405017606672E-2</v>
      </c>
      <c r="H137" s="288">
        <f t="shared" si="317"/>
        <v>-7.8973623740597382E-2</v>
      </c>
      <c r="I137" s="289">
        <v>256289.63</v>
      </c>
      <c r="J137" s="290">
        <v>400000</v>
      </c>
      <c r="K137" s="290">
        <f t="shared" ref="K137:K138" si="346">I137-I136-J137+J136</f>
        <v>2155.5400000000373</v>
      </c>
      <c r="L137" s="188">
        <f t="shared" si="328"/>
        <v>8.4819002440799547E-3</v>
      </c>
      <c r="M137" s="291">
        <f t="shared" ref="M137:M138" si="347">I137-J137</f>
        <v>-143710.37</v>
      </c>
      <c r="N137" s="292">
        <f t="shared" ref="N137:N138" si="348">M137/J137</f>
        <v>-0.359275925</v>
      </c>
      <c r="O137" s="291" t="b">
        <f t="shared" ref="O137:O138" si="349">L137&gt;D137</f>
        <v>0</v>
      </c>
      <c r="P137" s="292">
        <f>COUNTIF(O$2:O137, TRUE)/(COUNTIF(O$2:O137,FALSE) + COUNTIF(O$2:O137, TRUE))</f>
        <v>0.4485294117647059</v>
      </c>
      <c r="Q137" s="396"/>
      <c r="R137" s="396"/>
    </row>
    <row r="138" spans="1:18" ht="20.100000000000001" customHeight="1" x14ac:dyDescent="0.25">
      <c r="B138" s="284">
        <v>42431</v>
      </c>
      <c r="C138" s="386">
        <v>1986.4749999999999</v>
      </c>
      <c r="D138" s="188">
        <f t="shared" si="332"/>
        <v>4.1069578183840069E-3</v>
      </c>
      <c r="E138" s="286">
        <f t="shared" si="337"/>
        <v>-5.5157340994273385E-2</v>
      </c>
      <c r="F138" s="287">
        <v>4703.42</v>
      </c>
      <c r="G138" s="188">
        <f t="shared" si="326"/>
        <v>2.9490851012561711E-3</v>
      </c>
      <c r="H138" s="288">
        <f t="shared" si="317"/>
        <v>-7.6257438576506811E-2</v>
      </c>
      <c r="I138" s="289">
        <v>273591.05</v>
      </c>
      <c r="J138" s="290">
        <v>400000</v>
      </c>
      <c r="K138" s="290">
        <f t="shared" si="346"/>
        <v>17301.419999999984</v>
      </c>
      <c r="L138" s="188">
        <f t="shared" si="328"/>
        <v>6.7507296335009667E-2</v>
      </c>
      <c r="M138" s="291">
        <f t="shared" si="347"/>
        <v>-126408.95000000001</v>
      </c>
      <c r="N138" s="292">
        <f t="shared" si="348"/>
        <v>-0.31602237500000002</v>
      </c>
      <c r="O138" s="291" t="b">
        <f t="shared" si="349"/>
        <v>1</v>
      </c>
      <c r="P138" s="292">
        <f>COUNTIF(O$2:O138, TRUE)/(COUNTIF(O$2:O138,FALSE) + COUNTIF(O$2:O138, TRUE))</f>
        <v>0.45255474452554745</v>
      </c>
      <c r="Q138" s="396"/>
      <c r="R138" s="396"/>
    </row>
    <row r="139" spans="1:18" ht="20.100000000000001" customHeight="1" x14ac:dyDescent="0.25">
      <c r="B139" s="284">
        <v>42432</v>
      </c>
      <c r="C139" s="386">
        <v>1993.4</v>
      </c>
      <c r="D139" s="188">
        <f t="shared" si="332"/>
        <v>3.4860745793428975E-3</v>
      </c>
      <c r="E139" s="286">
        <f t="shared" si="337"/>
        <v>-5.1863549019234775E-2</v>
      </c>
      <c r="F139" s="287">
        <v>4707.42</v>
      </c>
      <c r="G139" s="188">
        <f t="shared" si="326"/>
        <v>8.5044499534381367E-4</v>
      </c>
      <c r="H139" s="288">
        <f t="shared" si="317"/>
        <v>-7.5471846338158136E-2</v>
      </c>
      <c r="I139" s="289">
        <v>284465.09999999998</v>
      </c>
      <c r="J139" s="290">
        <v>400000</v>
      </c>
      <c r="K139" s="290">
        <f t="shared" ref="K139:K140" si="350">I139-I138-J139+J138</f>
        <v>10874.049999999988</v>
      </c>
      <c r="L139" s="188">
        <f t="shared" si="328"/>
        <v>3.9745634954067355E-2</v>
      </c>
      <c r="M139" s="291">
        <f t="shared" ref="M139:M140" si="351">I139-J139</f>
        <v>-115534.90000000002</v>
      </c>
      <c r="N139" s="292">
        <f t="shared" ref="N139:N140" si="352">M139/J139</f>
        <v>-0.28883725000000005</v>
      </c>
      <c r="O139" s="291" t="b">
        <f t="shared" ref="O139:O140" si="353">L139&gt;D139</f>
        <v>1</v>
      </c>
      <c r="P139" s="292">
        <f>COUNTIF(O$2:O139, TRUE)/(COUNTIF(O$2:O139,FALSE) + COUNTIF(O$2:O139, TRUE))</f>
        <v>0.45652173913043476</v>
      </c>
      <c r="Q139" s="396"/>
      <c r="R139" s="396"/>
    </row>
    <row r="140" spans="1:18" ht="20.100000000000001" customHeight="1" x14ac:dyDescent="0.25">
      <c r="B140" s="284">
        <v>42433</v>
      </c>
      <c r="C140" s="285">
        <v>1999.99</v>
      </c>
      <c r="D140" s="188">
        <f t="shared" si="332"/>
        <v>3.3059095013544286E-3</v>
      </c>
      <c r="E140" s="286">
        <f t="shared" ref="E140:E141" si="354">(C140-$C$2)/$C$2</f>
        <v>-4.8729095717356993E-2</v>
      </c>
      <c r="F140" s="287">
        <v>4717.0200000000004</v>
      </c>
      <c r="G140" s="188">
        <f t="shared" si="326"/>
        <v>2.0393336477306811E-3</v>
      </c>
      <c r="H140" s="288">
        <f t="shared" si="317"/>
        <v>-7.3586424966121222E-2</v>
      </c>
      <c r="I140" s="289">
        <v>295168.58</v>
      </c>
      <c r="J140" s="290">
        <v>400000</v>
      </c>
      <c r="K140" s="290">
        <f t="shared" si="350"/>
        <v>10703.48000000004</v>
      </c>
      <c r="L140" s="188">
        <f t="shared" si="328"/>
        <v>3.7626689530631495E-2</v>
      </c>
      <c r="M140" s="291">
        <f t="shared" si="351"/>
        <v>-104831.41999999998</v>
      </c>
      <c r="N140" s="292">
        <f t="shared" si="352"/>
        <v>-0.26207854999999997</v>
      </c>
      <c r="O140" s="291" t="b">
        <f t="shared" si="353"/>
        <v>1</v>
      </c>
      <c r="P140" s="292">
        <f>COUNTIF(O$2:O140, TRUE)/(COUNTIF(O$2:O140,FALSE) + COUNTIF(O$2:O140, TRUE))</f>
        <v>0.46043165467625902</v>
      </c>
      <c r="Q140" s="396"/>
      <c r="R140" s="396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5"/>
      <c r="R141" s="395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5"/>
      <c r="R142" s="395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5"/>
      <c r="R143" s="395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5"/>
      <c r="R144" s="395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5"/>
      <c r="R145" s="395"/>
    </row>
    <row r="146" spans="2:18" ht="20.100000000000001" customHeight="1" x14ac:dyDescent="0.25">
      <c r="B146" s="284">
        <v>42443</v>
      </c>
      <c r="C146" s="285">
        <v>2019.64</v>
      </c>
      <c r="D146" s="188">
        <f t="shared" si="332"/>
        <v>-1.261009103991195E-3</v>
      </c>
      <c r="E146" s="286">
        <f t="shared" ref="E146" si="377">(C146-$C$2)/$C$2</f>
        <v>-3.9382812351363157E-2</v>
      </c>
      <c r="F146" s="287">
        <v>4750.28</v>
      </c>
      <c r="G146" s="188">
        <f t="shared" si="326"/>
        <v>3.8117541018464697E-4</v>
      </c>
      <c r="H146" s="288">
        <f t="shared" ref="H146" si="378">(F146-F$2)/F$2</f>
        <v>-6.7054225504252038E-2</v>
      </c>
      <c r="I146" s="289">
        <v>295383.49</v>
      </c>
      <c r="J146" s="290">
        <v>400000</v>
      </c>
      <c r="K146" s="290">
        <f t="shared" ref="K146" si="379">I146-I145-J146+J145</f>
        <v>-2145.7600000000093</v>
      </c>
      <c r="L146" s="188">
        <f t="shared" si="328"/>
        <v>-7.2119295833939327E-3</v>
      </c>
      <c r="M146" s="291">
        <f t="shared" ref="M146" si="380">I146-J146</f>
        <v>-104616.51000000001</v>
      </c>
      <c r="N146" s="292">
        <f t="shared" ref="N146" si="381">M146/J146</f>
        <v>-0.26154127500000002</v>
      </c>
      <c r="O146" s="291" t="b">
        <f t="shared" ref="O146" si="382">L146&gt;D146</f>
        <v>0</v>
      </c>
      <c r="P146" s="292">
        <f>COUNTIF(O$2:O146, TRUE)/(COUNTIF(O$2:O146,FALSE) + COUNTIF(O$2:O146, TRUE))</f>
        <v>0.46206896551724136</v>
      </c>
      <c r="Q146" s="290"/>
      <c r="R146" s="290"/>
    </row>
    <row r="147" spans="2:18" ht="20.100000000000001" customHeight="1" x14ac:dyDescent="0.25">
      <c r="B147" s="284">
        <v>42444</v>
      </c>
      <c r="C147" s="285">
        <v>2015.93</v>
      </c>
      <c r="D147" s="188">
        <f t="shared" si="332"/>
        <v>-1.8369610425620587E-3</v>
      </c>
      <c r="E147" s="286">
        <f t="shared" ref="E147" si="383">(C147-$C$2)/$C$2</f>
        <v>-4.1147428701889227E-2</v>
      </c>
      <c r="F147" s="287">
        <v>4728.66</v>
      </c>
      <c r="G147" s="188">
        <f t="shared" si="326"/>
        <v>-4.5513106595821496E-3</v>
      </c>
      <c r="H147" s="288">
        <f t="shared" ref="H147" si="384">(F147-F$2)/F$2</f>
        <v>-7.1300351552526661E-2</v>
      </c>
      <c r="I147" s="289">
        <v>295669.06</v>
      </c>
      <c r="J147" s="290">
        <v>400000</v>
      </c>
      <c r="K147" s="290">
        <f t="shared" ref="K147" si="385">I147-I146-J147+J146</f>
        <v>285.57000000000698</v>
      </c>
      <c r="L147" s="188">
        <f t="shared" si="328"/>
        <v>9.6677712082014809E-4</v>
      </c>
      <c r="M147" s="291">
        <f t="shared" ref="M147" si="386">I147-J147</f>
        <v>-104330.94</v>
      </c>
      <c r="N147" s="292">
        <f t="shared" ref="N147" si="387">M147/J147</f>
        <v>-0.26082735000000001</v>
      </c>
      <c r="O147" s="291" t="b">
        <f t="shared" ref="O147" si="388">L147&gt;D147</f>
        <v>1</v>
      </c>
      <c r="P147" s="292">
        <f>COUNTIF(O$2:O147, TRUE)/(COUNTIF(O$2:O147,FALSE) + COUNTIF(O$2:O147, TRUE))</f>
        <v>0.46575342465753422</v>
      </c>
      <c r="Q147" s="290"/>
      <c r="R147" s="290"/>
    </row>
    <row r="148" spans="2:18" ht="20.100000000000001" customHeight="1" x14ac:dyDescent="0.25">
      <c r="B148" s="284">
        <v>42445</v>
      </c>
      <c r="C148" s="285">
        <v>2027.22</v>
      </c>
      <c r="D148" s="188">
        <f t="shared" si="332"/>
        <v>5.6003928707841853E-3</v>
      </c>
      <c r="E148" s="286">
        <f t="shared" ref="E148" si="389">(C148-$C$2)/$C$2</f>
        <v>-3.5777477597458203E-2</v>
      </c>
      <c r="F148" s="287">
        <v>4763.97</v>
      </c>
      <c r="G148" s="188">
        <f t="shared" si="326"/>
        <v>7.467231731611154E-3</v>
      </c>
      <c r="H148" s="288">
        <f t="shared" ref="H148" si="390">(F148-F$2)/F$2</f>
        <v>-6.4365536068503565E-2</v>
      </c>
      <c r="I148" s="289">
        <v>297622.03999999998</v>
      </c>
      <c r="J148" s="290">
        <v>400000</v>
      </c>
      <c r="K148" s="290">
        <f t="shared" ref="K148" si="391">I148-I147-J148+J147</f>
        <v>1952.9799999999814</v>
      </c>
      <c r="L148" s="188">
        <f t="shared" si="328"/>
        <v>6.6052903878409917E-3</v>
      </c>
      <c r="M148" s="291">
        <f t="shared" ref="M148" si="392">I148-J148</f>
        <v>-102377.96000000002</v>
      </c>
      <c r="N148" s="292">
        <f t="shared" ref="N148" si="393">M148/J148</f>
        <v>-0.25594490000000003</v>
      </c>
      <c r="O148" s="291" t="b">
        <f t="shared" ref="O148" si="394">L148&gt;D148</f>
        <v>1</v>
      </c>
      <c r="P148" s="292">
        <f>COUNTIF(O$2:O148, TRUE)/(COUNTIF(O$2:O148,FALSE) + COUNTIF(O$2:O148, TRUE))</f>
        <v>0.46938775510204084</v>
      </c>
      <c r="Q148" s="290">
        <v>208116.46</v>
      </c>
      <c r="R148" s="290">
        <f t="shared" ref="R148:R153" si="395">I148-Q148</f>
        <v>89505.579999999987</v>
      </c>
    </row>
    <row r="149" spans="2:18" ht="20.100000000000001" customHeight="1" x14ac:dyDescent="0.25">
      <c r="B149" s="284">
        <v>42446</v>
      </c>
      <c r="C149" s="285">
        <v>2040.59</v>
      </c>
      <c r="D149" s="188">
        <f t="shared" si="332"/>
        <v>6.5952387999328593E-3</v>
      </c>
      <c r="E149" s="286">
        <f t="shared" ref="E149" si="396">(C149-$C$2)/$C$2</f>
        <v>-2.9418199805939828E-2</v>
      </c>
      <c r="F149" s="287">
        <v>4774.9799999999996</v>
      </c>
      <c r="G149" s="188">
        <f t="shared" si="326"/>
        <v>2.3110976769373671E-3</v>
      </c>
      <c r="H149" s="288">
        <f t="shared" ref="H149" si="397">(F149-F$2)/F$2</f>
        <v>-6.2203193432448942E-2</v>
      </c>
      <c r="I149" s="289">
        <v>298243.74</v>
      </c>
      <c r="J149" s="290">
        <v>400000</v>
      </c>
      <c r="K149" s="290">
        <f t="shared" ref="K149" si="398">I149-I148-J149+J148</f>
        <v>621.70000000001164</v>
      </c>
      <c r="L149" s="188">
        <f t="shared" si="328"/>
        <v>2.0888909974543946E-3</v>
      </c>
      <c r="M149" s="291">
        <f t="shared" ref="M149" si="399">I149-J149</f>
        <v>-101756.26000000001</v>
      </c>
      <c r="N149" s="292">
        <f t="shared" ref="N149" si="400">M149/J149</f>
        <v>-0.25439065</v>
      </c>
      <c r="O149" s="291" t="b">
        <f t="shared" ref="O149" si="401">L149&gt;D149</f>
        <v>0</v>
      </c>
      <c r="P149" s="292">
        <f>COUNTIF(O$2:O149, TRUE)/(COUNTIF(O$2:O149,FALSE) + COUNTIF(O$2:O149, TRUE))</f>
        <v>0.46621621621621623</v>
      </c>
      <c r="Q149" s="290">
        <v>201345.75</v>
      </c>
      <c r="R149" s="290">
        <f t="shared" si="395"/>
        <v>96897.989999999991</v>
      </c>
    </row>
    <row r="150" spans="2:18" ht="20.100000000000001" customHeight="1" x14ac:dyDescent="0.25">
      <c r="B150" s="284">
        <v>42447</v>
      </c>
      <c r="C150" s="285">
        <v>2049.56</v>
      </c>
      <c r="D150" s="188">
        <f t="shared" si="332"/>
        <v>4.3957874928329688E-3</v>
      </c>
      <c r="E150" s="286">
        <f t="shared" ref="E150" si="402">(C150-$C$2)/$C$2</f>
        <v>-2.5151728467875473E-2</v>
      </c>
      <c r="F150" s="287">
        <v>4795.6499999999996</v>
      </c>
      <c r="G150" s="188">
        <f t="shared" si="326"/>
        <v>4.3288139426762157E-3</v>
      </c>
      <c r="H150" s="288">
        <f t="shared" ref="H150" si="403">(F150-F$2)/F$2</f>
        <v>-5.8143645540782093E-2</v>
      </c>
      <c r="I150" s="289">
        <v>302252.61</v>
      </c>
      <c r="J150" s="290">
        <v>400000</v>
      </c>
      <c r="K150" s="290">
        <f t="shared" ref="K150" si="404">I150-I149-J150+J149</f>
        <v>4008.8699999999953</v>
      </c>
      <c r="L150" s="188">
        <f t="shared" si="328"/>
        <v>1.3441589754742196E-2</v>
      </c>
      <c r="M150" s="291">
        <f t="shared" ref="M150" si="405">I150-J150</f>
        <v>-97747.390000000014</v>
      </c>
      <c r="N150" s="292">
        <f t="shared" ref="N150" si="406">M150/J150</f>
        <v>-0.24436847500000003</v>
      </c>
      <c r="O150" s="291" t="b">
        <f t="shared" ref="O150" si="407">L150&gt;D150</f>
        <v>1</v>
      </c>
      <c r="P150" s="292">
        <f>COUNTIF(O$2:O150, TRUE)/(COUNTIF(O$2:O150,FALSE) + COUNTIF(O$2:O150, TRUE))</f>
        <v>0.46979865771812079</v>
      </c>
      <c r="Q150" s="290">
        <v>189023.24</v>
      </c>
      <c r="R150" s="290">
        <f t="shared" si="395"/>
        <v>113229.37</v>
      </c>
    </row>
    <row r="151" spans="2:18" ht="20.100000000000001" customHeight="1" x14ac:dyDescent="0.25">
      <c r="B151" s="189">
        <v>42450</v>
      </c>
      <c r="C151" s="244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8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50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4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8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50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4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8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50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4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8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50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84">
        <v>42457</v>
      </c>
      <c r="C155" s="285">
        <v>2037.05</v>
      </c>
      <c r="D155" s="188">
        <f t="shared" si="332"/>
        <v>5.4520270734889045E-4</v>
      </c>
      <c r="E155" s="286">
        <f t="shared" ref="E155" si="433">(C155-$C$2)/$C$2</f>
        <v>-3.1101957725309687E-2</v>
      </c>
      <c r="F155" s="287">
        <v>4766.78</v>
      </c>
      <c r="G155" s="188">
        <f t="shared" si="326"/>
        <v>-1.4077720749974348E-3</v>
      </c>
      <c r="H155" s="288">
        <f t="shared" ref="H155" si="434">(F155-F$2)/F$2</f>
        <v>-6.3813657521063702E-2</v>
      </c>
      <c r="I155" s="289">
        <v>281306.2</v>
      </c>
      <c r="J155" s="290">
        <v>400000</v>
      </c>
      <c r="K155" s="290">
        <f t="shared" ref="K155" si="435">I155-I154-J155+J154</f>
        <v>-2297.789999999979</v>
      </c>
      <c r="L155" s="188">
        <f t="shared" si="328"/>
        <v>-8.1021074491934297E-3</v>
      </c>
      <c r="M155" s="291">
        <f t="shared" ref="M155" si="436">I155-J155</f>
        <v>-118693.79999999999</v>
      </c>
      <c r="N155" s="292">
        <f t="shared" ref="N155" si="437">M155/J155</f>
        <v>-0.29673449999999996</v>
      </c>
      <c r="O155" s="291" t="b">
        <f t="shared" ref="O155" si="438">L155&gt;D155</f>
        <v>0</v>
      </c>
      <c r="P155" s="292">
        <f>COUNTIF(O$2:O155, TRUE)/(COUNTIF(O$2:O155,FALSE) + COUNTIF(O$2:O155, TRUE))</f>
        <v>0.46103896103896103</v>
      </c>
      <c r="Q155" s="290">
        <v>231480.83</v>
      </c>
      <c r="R155" s="290">
        <f t="shared" ref="R155" si="439">I155-Q155</f>
        <v>49825.370000000024</v>
      </c>
    </row>
    <row r="156" spans="2:18" ht="20.100000000000001" customHeight="1" x14ac:dyDescent="0.25">
      <c r="B156" s="284">
        <v>42458</v>
      </c>
      <c r="C156" s="285">
        <v>2055.0100000000002</v>
      </c>
      <c r="D156" s="188">
        <f t="shared" ref="D156" si="440">(C156-C155)/C155</f>
        <v>8.8166711666381598E-3</v>
      </c>
      <c r="E156" s="286">
        <f t="shared" ref="E156" si="441">(C156-$C$2)/$C$2</f>
        <v>-2.2559502292574262E-2</v>
      </c>
      <c r="F156" s="287">
        <v>4846.62</v>
      </c>
      <c r="G156" s="188">
        <f t="shared" ref="G156" si="442">(F156-F155)/F155</f>
        <v>1.6749252115683993E-2</v>
      </c>
      <c r="H156" s="288">
        <f t="shared" ref="H156" si="443">(F156-F$2)/F$2</f>
        <v>-4.8133236443623925E-2</v>
      </c>
      <c r="I156" s="289">
        <v>285322.46999999997</v>
      </c>
      <c r="J156" s="290">
        <v>400000</v>
      </c>
      <c r="K156" s="290">
        <f t="shared" ref="K156" si="444">I156-I155-J156+J155</f>
        <v>4016.2699999999604</v>
      </c>
      <c r="L156" s="188">
        <f t="shared" ref="L156" si="445">K156/I155</f>
        <v>1.4277218205641967E-2</v>
      </c>
      <c r="M156" s="291">
        <f t="shared" ref="M156" si="446">I156-J156</f>
        <v>-114677.53000000003</v>
      </c>
      <c r="N156" s="292">
        <f t="shared" ref="N156" si="447">M156/J156</f>
        <v>-0.28669382500000007</v>
      </c>
      <c r="O156" s="291" t="b">
        <f t="shared" ref="O156" si="448">L156&gt;D156</f>
        <v>1</v>
      </c>
      <c r="P156" s="292">
        <f>COUNTIF(O$2:O156, TRUE)/(COUNTIF(O$2:O156,FALSE) + COUNTIF(O$2:O156, TRUE))</f>
        <v>0.46451612903225808</v>
      </c>
      <c r="Q156" s="290">
        <v>235497.1</v>
      </c>
      <c r="R156" s="290">
        <f t="shared" ref="R156" si="449">I156-Q156</f>
        <v>49825.369999999966</v>
      </c>
    </row>
    <row r="157" spans="2:18" ht="20.100000000000001" customHeight="1" x14ac:dyDescent="0.25">
      <c r="B157" s="284">
        <v>42459</v>
      </c>
      <c r="C157" s="285">
        <v>2063.9499999999998</v>
      </c>
      <c r="D157" s="188">
        <f t="shared" ref="D157" si="450">(C157-C156)/C156</f>
        <v>4.3503437939472799E-3</v>
      </c>
      <c r="E157" s="286">
        <f t="shared" ref="E157" si="451">(C157-$C$2)/$C$2</f>
        <v>-1.8307300089420026E-2</v>
      </c>
      <c r="F157" s="287">
        <v>4869.29</v>
      </c>
      <c r="G157" s="188">
        <f t="shared" ref="G157" si="452">(F157-F156)/F156</f>
        <v>4.6774865782751845E-3</v>
      </c>
      <c r="H157" s="288">
        <f t="shared" ref="H157" si="453">(F157-F$2)/F$2</f>
        <v>-4.3680892432782739E-2</v>
      </c>
      <c r="I157" s="289">
        <v>288126.49</v>
      </c>
      <c r="J157" s="290">
        <v>400000</v>
      </c>
      <c r="K157" s="290">
        <f t="shared" ref="K157" si="454">I157-I156-J157+J156</f>
        <v>2804.0200000000186</v>
      </c>
      <c r="L157" s="188">
        <f t="shared" ref="L157" si="455">K157/I156</f>
        <v>9.8275470557927635E-3</v>
      </c>
      <c r="M157" s="291">
        <f t="shared" ref="M157" si="456">I157-J157</f>
        <v>-111873.51000000001</v>
      </c>
      <c r="N157" s="292">
        <f t="shared" ref="N157" si="457">M157/J157</f>
        <v>-0.27968377500000002</v>
      </c>
      <c r="O157" s="291" t="b">
        <f t="shared" ref="O157" si="458">L157&gt;D157</f>
        <v>1</v>
      </c>
      <c r="P157" s="292">
        <f>COUNTIF(O$2:O157, TRUE)/(COUNTIF(O$2:O157,FALSE) + COUNTIF(O$2:O157, TRUE))</f>
        <v>0.46794871794871795</v>
      </c>
      <c r="Q157" s="290">
        <v>216771.49</v>
      </c>
      <c r="R157" s="290">
        <f t="shared" ref="R157" si="459">I157-Q157</f>
        <v>71355</v>
      </c>
    </row>
    <row r="158" spans="2:18" ht="20.100000000000001" customHeight="1" x14ac:dyDescent="0.25">
      <c r="B158" s="284">
        <v>42460</v>
      </c>
      <c r="C158" s="285">
        <v>2059.7399999999998</v>
      </c>
      <c r="D158" s="188">
        <f t="shared" ref="D158" si="460">(C158-C157)/C157</f>
        <v>-2.0397780953996156E-3</v>
      </c>
      <c r="E158" s="286">
        <f t="shared" ref="E158" si="461">(C158-$C$2)/$C$2</f>
        <v>-2.0309735355111335E-2</v>
      </c>
      <c r="F158" s="287">
        <v>4869.84</v>
      </c>
      <c r="G158" s="188">
        <f t="shared" ref="G158" si="462">(F158-F157)/F157</f>
        <v>1.129528124223823E-4</v>
      </c>
      <c r="H158" s="288">
        <f t="shared" ref="H158" si="463">(F158-F$2)/F$2</f>
        <v>-4.3572873500009754E-2</v>
      </c>
      <c r="I158" s="289">
        <v>295667.37</v>
      </c>
      <c r="J158" s="290">
        <v>400000</v>
      </c>
      <c r="K158" s="290">
        <f t="shared" ref="K158" si="464">I158-I157-J158+J157</f>
        <v>7540.8800000000047</v>
      </c>
      <c r="L158" s="188">
        <f t="shared" ref="L158" si="465">K158/I157</f>
        <v>2.6172116281290222E-2</v>
      </c>
      <c r="M158" s="291">
        <f t="shared" ref="M158" si="466">I158-J158</f>
        <v>-104332.63</v>
      </c>
      <c r="N158" s="292">
        <f t="shared" ref="N158" si="467">M158/J158</f>
        <v>-0.26083157500000004</v>
      </c>
      <c r="O158" s="291" t="b">
        <f t="shared" ref="O158" si="468">L158&gt;D158</f>
        <v>1</v>
      </c>
      <c r="P158" s="292">
        <f>COUNTIF(O$2:O158, TRUE)/(COUNTIF(O$2:O158,FALSE) + COUNTIF(O$2:O158, TRUE))</f>
        <v>0.4713375796178344</v>
      </c>
      <c r="Q158" s="290">
        <v>202826.77</v>
      </c>
      <c r="R158" s="290">
        <f t="shared" ref="R158" si="469">I158-Q158</f>
        <v>92840.6</v>
      </c>
    </row>
    <row r="159" spans="2:18" ht="20.100000000000001" customHeight="1" x14ac:dyDescent="0.25">
      <c r="B159" s="284">
        <v>42461</v>
      </c>
      <c r="C159" s="285">
        <v>2072.7800000000002</v>
      </c>
      <c r="D159" s="188">
        <f t="shared" ref="D159" si="470">(C159-C158)/C158</f>
        <v>6.3308961325217843E-3</v>
      </c>
      <c r="E159" s="286">
        <f t="shared" ref="E159" si="471">(C159-$C$2)/$C$2</f>
        <v>-1.4107418047601765E-2</v>
      </c>
      <c r="F159" s="287">
        <v>4914.54</v>
      </c>
      <c r="G159" s="188">
        <f t="shared" ref="G159" si="472">(F159-F158)/F158</f>
        <v>9.1789463308855762E-3</v>
      </c>
      <c r="H159" s="288">
        <f t="shared" ref="H159" si="473">(F159-F$2)/F$2</f>
        <v>-3.4793880236463237E-2</v>
      </c>
      <c r="I159" s="289">
        <v>293885.49</v>
      </c>
      <c r="J159" s="290">
        <v>400000</v>
      </c>
      <c r="K159" s="290">
        <f t="shared" ref="K159" si="474">I159-I158-J159+J158</f>
        <v>-1781.8800000000047</v>
      </c>
      <c r="L159" s="188">
        <f t="shared" ref="L159" si="475">K159/I158</f>
        <v>-6.026637298529103E-3</v>
      </c>
      <c r="M159" s="291">
        <f t="shared" ref="M159" si="476">I159-J159</f>
        <v>-106114.51000000001</v>
      </c>
      <c r="N159" s="292">
        <f t="shared" ref="N159" si="477">M159/J159</f>
        <v>-0.26528627500000002</v>
      </c>
      <c r="O159" s="291" t="b">
        <f t="shared" ref="O159" si="478">L159&gt;D159</f>
        <v>0</v>
      </c>
      <c r="P159" s="292">
        <f>COUNTIF(O$2:O159, TRUE)/(COUNTIF(O$2:O159,FALSE) + COUNTIF(O$2:O159, TRUE))</f>
        <v>0.46835443037974683</v>
      </c>
      <c r="Q159" s="290">
        <v>199513.83</v>
      </c>
      <c r="R159" s="290">
        <f t="shared" ref="R159" si="479">I159-Q159</f>
        <v>94371.66</v>
      </c>
    </row>
  </sheetData>
  <conditionalFormatting sqref="L160:L1048576 L1:L2">
    <cfRule type="colorScale" priority="7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59">
    <cfRule type="colorScale" priority="1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59">
    <cfRule type="colorScale" priority="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59">
    <cfRule type="colorScale" priority="5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59">
    <cfRule type="colorScale" priority="12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S214"/>
  <sheetViews>
    <sheetView workbookViewId="0">
      <pane ySplit="1" topLeftCell="A189" activePane="bottomLeft" state="frozen"/>
      <selection activeCell="E5" sqref="E5"/>
      <selection pane="bottomLeft" activeCell="T203" sqref="T203"/>
    </sheetView>
  </sheetViews>
  <sheetFormatPr defaultRowHeight="18" customHeight="1" x14ac:dyDescent="0.25"/>
  <cols>
    <col min="1" max="1" width="9.5703125" style="330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4" t="s">
        <v>1</v>
      </c>
      <c r="B1" s="355" t="s">
        <v>2</v>
      </c>
      <c r="C1" s="356" t="s">
        <v>4</v>
      </c>
      <c r="D1" s="355" t="s">
        <v>5</v>
      </c>
      <c r="E1" s="355" t="s">
        <v>96</v>
      </c>
      <c r="F1" s="357" t="s">
        <v>60</v>
      </c>
      <c r="G1" s="355" t="s">
        <v>3</v>
      </c>
      <c r="H1" s="356" t="s">
        <v>6</v>
      </c>
      <c r="I1" s="355" t="s">
        <v>7</v>
      </c>
      <c r="J1" s="356" t="s">
        <v>97</v>
      </c>
      <c r="K1" s="357" t="s">
        <v>61</v>
      </c>
      <c r="L1" s="355" t="s">
        <v>77</v>
      </c>
      <c r="M1" s="357" t="s">
        <v>38</v>
      </c>
      <c r="N1" s="356" t="s">
        <v>59</v>
      </c>
      <c r="O1" s="356" t="s">
        <v>76</v>
      </c>
      <c r="P1" s="27" t="s">
        <v>139</v>
      </c>
    </row>
    <row r="2" spans="1:17" ht="18" customHeight="1" x14ac:dyDescent="0.25">
      <c r="A2" s="343" t="s">
        <v>12</v>
      </c>
      <c r="B2" s="344">
        <v>42151</v>
      </c>
      <c r="C2" s="345">
        <v>5</v>
      </c>
      <c r="D2" s="346">
        <v>42.7</v>
      </c>
      <c r="E2" s="347"/>
      <c r="F2" s="346">
        <f>C2*D2</f>
        <v>213.5</v>
      </c>
      <c r="G2" s="344">
        <v>42181</v>
      </c>
      <c r="H2" s="345">
        <v>5</v>
      </c>
      <c r="I2" s="346">
        <v>43.35</v>
      </c>
      <c r="J2" s="345">
        <v>0.01</v>
      </c>
      <c r="K2" s="346">
        <f>H2*I2-J2</f>
        <v>216.74</v>
      </c>
      <c r="L2" s="347"/>
      <c r="M2" s="346"/>
      <c r="N2" s="346"/>
      <c r="O2" s="348"/>
    </row>
    <row r="3" spans="1:17" ht="18" customHeight="1" x14ac:dyDescent="0.25">
      <c r="A3" s="343"/>
      <c r="B3" s="344">
        <v>42153</v>
      </c>
      <c r="C3" s="345">
        <v>25</v>
      </c>
      <c r="D3" s="346">
        <v>41.6</v>
      </c>
      <c r="E3" s="347"/>
      <c r="F3" s="346">
        <f>C3*D3</f>
        <v>1040</v>
      </c>
      <c r="G3" s="344">
        <v>42200</v>
      </c>
      <c r="H3" s="345">
        <v>10</v>
      </c>
      <c r="I3" s="346">
        <v>41.64</v>
      </c>
      <c r="J3" s="345">
        <v>0.01</v>
      </c>
      <c r="K3" s="346">
        <f>H3*I3-J3</f>
        <v>416.39</v>
      </c>
      <c r="L3" s="347"/>
      <c r="M3" s="346"/>
      <c r="N3" s="346"/>
      <c r="O3" s="348"/>
    </row>
    <row r="4" spans="1:17" ht="18" customHeight="1" x14ac:dyDescent="0.25">
      <c r="A4" s="343"/>
      <c r="B4" s="344">
        <v>42166</v>
      </c>
      <c r="C4" s="345">
        <v>10</v>
      </c>
      <c r="D4" s="346">
        <v>40</v>
      </c>
      <c r="E4" s="347"/>
      <c r="F4" s="346">
        <f>C4*D4</f>
        <v>400</v>
      </c>
      <c r="G4" s="344">
        <v>42201</v>
      </c>
      <c r="H4" s="345">
        <v>125</v>
      </c>
      <c r="I4" s="346">
        <v>42.6</v>
      </c>
      <c r="J4" s="345">
        <v>0.1</v>
      </c>
      <c r="K4" s="346">
        <f>H4*I4-J4</f>
        <v>5324.9</v>
      </c>
      <c r="L4" s="347"/>
      <c r="M4" s="346"/>
      <c r="N4" s="346"/>
      <c r="O4" s="348"/>
      <c r="Q4" s="163"/>
    </row>
    <row r="5" spans="1:17" ht="18" customHeight="1" x14ac:dyDescent="0.25">
      <c r="A5" s="343"/>
      <c r="B5" s="344">
        <v>42166</v>
      </c>
      <c r="C5" s="345">
        <v>100</v>
      </c>
      <c r="D5" s="346">
        <v>39.799999999999997</v>
      </c>
      <c r="E5" s="347"/>
      <c r="F5" s="346">
        <f>C5*D5</f>
        <v>3979.9999999999995</v>
      </c>
      <c r="G5" s="347"/>
      <c r="H5" s="345"/>
      <c r="I5" s="346"/>
      <c r="J5" s="345"/>
      <c r="K5" s="346"/>
      <c r="L5" s="347"/>
      <c r="M5" s="346"/>
      <c r="N5" s="346"/>
      <c r="O5" s="348"/>
    </row>
    <row r="6" spans="1:17" ht="17.25" customHeight="1" x14ac:dyDescent="0.25">
      <c r="A6" s="343"/>
      <c r="B6" s="349"/>
      <c r="C6" s="350">
        <f>SUM(C2:C5)</f>
        <v>140</v>
      </c>
      <c r="D6" s="351"/>
      <c r="E6" s="352"/>
      <c r="F6" s="351">
        <f>SUM(F2:F5)</f>
        <v>5633.5</v>
      </c>
      <c r="G6" s="352"/>
      <c r="H6" s="350">
        <f>SUM(H2:H5)</f>
        <v>140</v>
      </c>
      <c r="I6" s="351"/>
      <c r="J6" s="350"/>
      <c r="K6" s="351">
        <f>SUM(K2:K5)</f>
        <v>5958.03</v>
      </c>
      <c r="L6" s="352"/>
      <c r="M6" s="351"/>
      <c r="N6" s="351">
        <f>K6-F6</f>
        <v>324.52999999999975</v>
      </c>
      <c r="O6" s="353">
        <f>(N6+M6)/F6</f>
        <v>5.7607171385461925E-2</v>
      </c>
      <c r="P6" s="153" t="s">
        <v>140</v>
      </c>
    </row>
    <row r="7" spans="1:17" ht="17.25" customHeight="1" x14ac:dyDescent="0.25">
      <c r="A7" s="331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32" t="s">
        <v>18</v>
      </c>
      <c r="B8" s="333">
        <v>42153</v>
      </c>
      <c r="C8" s="334">
        <v>50</v>
      </c>
      <c r="D8" s="335">
        <v>36.4</v>
      </c>
      <c r="E8" s="335">
        <v>0</v>
      </c>
      <c r="F8" s="335">
        <f t="shared" ref="F8:F15" si="0">C8*D8</f>
        <v>1820</v>
      </c>
      <c r="G8" s="333">
        <v>42333</v>
      </c>
      <c r="H8" s="336">
        <v>80</v>
      </c>
      <c r="I8" s="335">
        <v>8.7200000000000006</v>
      </c>
      <c r="J8" s="335">
        <v>0.01</v>
      </c>
      <c r="K8" s="335">
        <f>I8*H8-J8</f>
        <v>697.59</v>
      </c>
      <c r="L8" s="334"/>
      <c r="M8" s="334"/>
      <c r="N8" s="334"/>
      <c r="O8" s="337"/>
      <c r="P8" s="4"/>
      <c r="Q8" s="198"/>
    </row>
    <row r="9" spans="1:17" ht="17.25" customHeight="1" x14ac:dyDescent="0.25">
      <c r="A9" s="338"/>
      <c r="B9" s="333">
        <v>42173</v>
      </c>
      <c r="C9" s="334">
        <v>5</v>
      </c>
      <c r="D9" s="335">
        <v>22.95</v>
      </c>
      <c r="E9" s="335">
        <v>0</v>
      </c>
      <c r="F9" s="335">
        <f t="shared" si="0"/>
        <v>114.75</v>
      </c>
      <c r="G9" s="333">
        <v>42335</v>
      </c>
      <c r="H9" s="336">
        <v>80</v>
      </c>
      <c r="I9" s="335">
        <v>8.98</v>
      </c>
      <c r="J9" s="335">
        <v>0.01</v>
      </c>
      <c r="K9" s="335">
        <f>I9*H9-J9</f>
        <v>718.3900000000001</v>
      </c>
      <c r="L9" s="334"/>
      <c r="M9" s="334"/>
      <c r="N9" s="334"/>
      <c r="O9" s="337"/>
      <c r="P9" s="4"/>
      <c r="Q9" s="3"/>
    </row>
    <row r="10" spans="1:17" ht="17.25" customHeight="1" x14ac:dyDescent="0.25">
      <c r="A10" s="339"/>
      <c r="B10" s="333">
        <v>42173</v>
      </c>
      <c r="C10" s="334">
        <v>10</v>
      </c>
      <c r="D10" s="335">
        <v>22.8</v>
      </c>
      <c r="E10" s="335">
        <v>0</v>
      </c>
      <c r="F10" s="335">
        <f t="shared" si="0"/>
        <v>228</v>
      </c>
      <c r="G10" s="333">
        <v>42362</v>
      </c>
      <c r="H10" s="336">
        <v>80</v>
      </c>
      <c r="I10" s="335">
        <v>9.4499999999999993</v>
      </c>
      <c r="J10" s="335">
        <v>0.01</v>
      </c>
      <c r="K10" s="335">
        <f>I10*H10-J10</f>
        <v>755.99</v>
      </c>
      <c r="L10" s="334"/>
      <c r="M10" s="334"/>
      <c r="N10" s="334"/>
      <c r="O10" s="337"/>
      <c r="P10" s="4"/>
      <c r="Q10" s="328"/>
    </row>
    <row r="11" spans="1:17" ht="18" customHeight="1" x14ac:dyDescent="0.25">
      <c r="A11" s="339"/>
      <c r="B11" s="333">
        <v>42234</v>
      </c>
      <c r="C11" s="334">
        <v>15</v>
      </c>
      <c r="D11" s="335">
        <v>13.9</v>
      </c>
      <c r="E11" s="335">
        <v>0</v>
      </c>
      <c r="F11" s="335">
        <f t="shared" si="0"/>
        <v>208.5</v>
      </c>
      <c r="G11" s="333">
        <v>42398</v>
      </c>
      <c r="H11" s="336">
        <v>3</v>
      </c>
      <c r="I11" s="335">
        <v>5.81</v>
      </c>
      <c r="J11" s="335">
        <v>0.01</v>
      </c>
      <c r="K11" s="335">
        <f>I11*H11-J11</f>
        <v>17.419999999999998</v>
      </c>
      <c r="L11" s="334"/>
      <c r="M11" s="334"/>
      <c r="N11" s="334"/>
      <c r="O11" s="337"/>
      <c r="P11" s="4"/>
      <c r="Q11" s="3"/>
    </row>
    <row r="12" spans="1:17" ht="18" customHeight="1" x14ac:dyDescent="0.25">
      <c r="A12" s="339"/>
      <c r="B12" s="416">
        <v>42328</v>
      </c>
      <c r="C12" s="334">
        <v>1</v>
      </c>
      <c r="D12" s="335">
        <v>8.59</v>
      </c>
      <c r="E12" s="335">
        <v>0</v>
      </c>
      <c r="F12" s="335">
        <f t="shared" si="0"/>
        <v>8.59</v>
      </c>
      <c r="G12" s="334"/>
      <c r="H12" s="336"/>
      <c r="I12" s="335"/>
      <c r="J12" s="335"/>
      <c r="K12" s="335"/>
      <c r="L12" s="334"/>
      <c r="M12" s="334"/>
      <c r="N12" s="334"/>
      <c r="O12" s="337"/>
      <c r="P12" s="4"/>
      <c r="Q12" s="3"/>
    </row>
    <row r="13" spans="1:17" ht="18" customHeight="1" x14ac:dyDescent="0.25">
      <c r="A13" s="339"/>
      <c r="B13" s="416"/>
      <c r="C13" s="334">
        <v>80</v>
      </c>
      <c r="D13" s="335">
        <v>8.59</v>
      </c>
      <c r="E13" s="335">
        <v>0</v>
      </c>
      <c r="F13" s="335">
        <f t="shared" si="0"/>
        <v>687.2</v>
      </c>
      <c r="G13" s="334"/>
      <c r="H13" s="336"/>
      <c r="I13" s="335"/>
      <c r="J13" s="335"/>
      <c r="K13" s="335"/>
      <c r="L13" s="334"/>
      <c r="M13" s="334"/>
      <c r="N13" s="334"/>
      <c r="O13" s="337"/>
      <c r="P13" s="4"/>
      <c r="Q13" s="3"/>
    </row>
    <row r="14" spans="1:17" ht="18" customHeight="1" x14ac:dyDescent="0.25">
      <c r="A14" s="339"/>
      <c r="B14" s="416">
        <v>42354</v>
      </c>
      <c r="C14" s="334">
        <v>2</v>
      </c>
      <c r="D14" s="335">
        <v>8.73</v>
      </c>
      <c r="E14" s="335">
        <v>0</v>
      </c>
      <c r="F14" s="335">
        <f t="shared" si="0"/>
        <v>17.46</v>
      </c>
      <c r="G14" s="334"/>
      <c r="H14" s="336"/>
      <c r="I14" s="335"/>
      <c r="J14" s="335"/>
      <c r="K14" s="335"/>
      <c r="L14" s="334"/>
      <c r="M14" s="334"/>
      <c r="N14" s="334"/>
      <c r="O14" s="337"/>
      <c r="P14" s="4"/>
      <c r="Q14" s="329"/>
    </row>
    <row r="15" spans="1:17" ht="18" customHeight="1" x14ac:dyDescent="0.25">
      <c r="A15" s="339"/>
      <c r="B15" s="416"/>
      <c r="C15" s="334">
        <v>80</v>
      </c>
      <c r="D15" s="335">
        <v>8.73</v>
      </c>
      <c r="E15" s="335">
        <v>0</v>
      </c>
      <c r="F15" s="335">
        <f t="shared" si="0"/>
        <v>698.40000000000009</v>
      </c>
      <c r="G15" s="334"/>
      <c r="H15" s="334"/>
      <c r="I15" s="335"/>
      <c r="J15" s="335"/>
      <c r="K15" s="335"/>
      <c r="L15" s="334"/>
      <c r="M15" s="334"/>
      <c r="N15" s="334"/>
      <c r="O15" s="334"/>
      <c r="P15" s="4"/>
      <c r="Q15" s="4"/>
    </row>
    <row r="16" spans="1:17" ht="18" customHeight="1" x14ac:dyDescent="0.25">
      <c r="A16" s="332"/>
      <c r="B16" s="337"/>
      <c r="C16" s="337">
        <f>SUM(C8:C15)</f>
        <v>243</v>
      </c>
      <c r="D16" s="340"/>
      <c r="E16" s="340"/>
      <c r="F16" s="340">
        <f>SUM(F8:F15)</f>
        <v>3782.9</v>
      </c>
      <c r="G16" s="340"/>
      <c r="H16" s="341">
        <f>SUM(H8:H12)</f>
        <v>243</v>
      </c>
      <c r="I16" s="340"/>
      <c r="J16" s="340"/>
      <c r="K16" s="340">
        <f>SUM(K8:K12)</f>
        <v>2189.3900000000003</v>
      </c>
      <c r="L16" s="340"/>
      <c r="M16" s="340"/>
      <c r="N16" s="340">
        <f>K16-F16</f>
        <v>-1593.5099999999998</v>
      </c>
      <c r="O16" s="342">
        <f>N16/F16</f>
        <v>-0.42124031827433972</v>
      </c>
      <c r="P16" s="4"/>
      <c r="Q16" s="4"/>
    </row>
    <row r="17" spans="1:16" ht="18" customHeight="1" x14ac:dyDescent="0.25">
      <c r="A17" s="28"/>
      <c r="B17" s="358"/>
      <c r="C17" s="359"/>
      <c r="D17" s="360"/>
      <c r="E17" s="360"/>
      <c r="F17" s="360"/>
      <c r="G17" s="358"/>
      <c r="H17" s="359"/>
      <c r="I17" s="360"/>
      <c r="J17" s="360"/>
      <c r="K17" s="360"/>
      <c r="L17" s="358"/>
      <c r="M17" s="360"/>
      <c r="N17" s="360"/>
      <c r="O17" s="361"/>
    </row>
    <row r="18" spans="1:16" ht="18" customHeight="1" x14ac:dyDescent="0.25">
      <c r="A18" s="343" t="s">
        <v>48</v>
      </c>
      <c r="B18" s="344">
        <v>42186</v>
      </c>
      <c r="C18" s="345">
        <v>10</v>
      </c>
      <c r="D18" s="346">
        <v>101.7</v>
      </c>
      <c r="E18" s="346"/>
      <c r="F18" s="346">
        <f>C18*D18</f>
        <v>1017</v>
      </c>
      <c r="G18" s="344">
        <v>42186</v>
      </c>
      <c r="H18" s="345">
        <v>10</v>
      </c>
      <c r="I18" s="346">
        <v>103</v>
      </c>
      <c r="J18" s="346">
        <v>0.02</v>
      </c>
      <c r="K18" s="346">
        <f>H18*I18-J18</f>
        <v>1029.98</v>
      </c>
      <c r="L18" s="347"/>
      <c r="M18" s="346"/>
      <c r="N18" s="346"/>
      <c r="O18" s="348"/>
    </row>
    <row r="19" spans="1:16" ht="18" customHeight="1" x14ac:dyDescent="0.25">
      <c r="A19" s="343"/>
      <c r="B19" s="349"/>
      <c r="C19" s="350">
        <f>SUM(C18)</f>
        <v>10</v>
      </c>
      <c r="D19" s="351"/>
      <c r="E19" s="351"/>
      <c r="F19" s="351">
        <f>SUM(F18)</f>
        <v>1017</v>
      </c>
      <c r="G19" s="352"/>
      <c r="H19" s="350">
        <f>SUM(H18)</f>
        <v>10</v>
      </c>
      <c r="I19" s="351"/>
      <c r="J19" s="351"/>
      <c r="K19" s="351">
        <f>SUM(K18)</f>
        <v>1029.98</v>
      </c>
      <c r="L19" s="352"/>
      <c r="M19" s="351"/>
      <c r="N19" s="351">
        <f>K19-F19</f>
        <v>12.980000000000018</v>
      </c>
      <c r="O19" s="353">
        <f>(N19+M19)/F19</f>
        <v>1.2763028515240922E-2</v>
      </c>
      <c r="P19" s="153" t="s">
        <v>140</v>
      </c>
    </row>
    <row r="20" spans="1:16" ht="18" customHeight="1" x14ac:dyDescent="0.25">
      <c r="A20" s="28"/>
      <c r="B20" s="358"/>
      <c r="C20" s="359"/>
      <c r="D20" s="360"/>
      <c r="E20" s="28"/>
      <c r="F20" s="360"/>
      <c r="G20" s="358"/>
      <c r="H20" s="359"/>
      <c r="I20" s="360"/>
      <c r="K20" s="360"/>
      <c r="L20" s="358"/>
      <c r="M20" s="360"/>
      <c r="N20" s="360"/>
      <c r="O20" s="361"/>
    </row>
    <row r="21" spans="1:16" ht="18" customHeight="1" x14ac:dyDescent="0.25">
      <c r="A21" s="343" t="s">
        <v>29</v>
      </c>
      <c r="B21" s="344">
        <v>42164</v>
      </c>
      <c r="C21" s="345">
        <v>5</v>
      </c>
      <c r="D21" s="346">
        <v>45.9</v>
      </c>
      <c r="E21" s="347"/>
      <c r="F21" s="346">
        <f>C21*D21</f>
        <v>229.5</v>
      </c>
      <c r="G21" s="344">
        <v>42195</v>
      </c>
      <c r="H21" s="345">
        <v>20</v>
      </c>
      <c r="I21" s="346">
        <v>46.15</v>
      </c>
      <c r="J21" s="345">
        <v>0.02</v>
      </c>
      <c r="K21" s="346">
        <f>H21*I21-J21</f>
        <v>922.98</v>
      </c>
      <c r="L21" s="347"/>
      <c r="M21" s="346"/>
      <c r="N21" s="346"/>
      <c r="O21" s="348"/>
    </row>
    <row r="22" spans="1:16" ht="18" customHeight="1" x14ac:dyDescent="0.25">
      <c r="A22" s="343"/>
      <c r="B22" s="344">
        <v>42184</v>
      </c>
      <c r="C22" s="345">
        <v>5</v>
      </c>
      <c r="D22" s="346">
        <v>44.5</v>
      </c>
      <c r="E22" s="347"/>
      <c r="F22" s="346">
        <f>C22*D22</f>
        <v>222.5</v>
      </c>
      <c r="G22" s="347"/>
      <c r="H22" s="345"/>
      <c r="I22" s="346"/>
      <c r="J22" s="345"/>
      <c r="K22" s="346"/>
      <c r="L22" s="347"/>
      <c r="M22" s="346"/>
      <c r="N22" s="346"/>
      <c r="O22" s="348"/>
    </row>
    <row r="23" spans="1:16" ht="18" customHeight="1" x14ac:dyDescent="0.25">
      <c r="A23" s="343"/>
      <c r="B23" s="344">
        <v>42184</v>
      </c>
      <c r="C23" s="345">
        <v>10</v>
      </c>
      <c r="D23" s="346">
        <v>44.35</v>
      </c>
      <c r="E23" s="347"/>
      <c r="F23" s="346">
        <f>C23*D23</f>
        <v>443.5</v>
      </c>
      <c r="G23" s="347"/>
      <c r="H23" s="345"/>
      <c r="I23" s="346"/>
      <c r="J23" s="345"/>
      <c r="K23" s="346"/>
      <c r="L23" s="347"/>
      <c r="M23" s="346"/>
      <c r="N23" s="346"/>
      <c r="O23" s="348"/>
    </row>
    <row r="24" spans="1:16" ht="18" customHeight="1" x14ac:dyDescent="0.25">
      <c r="A24" s="343"/>
      <c r="B24" s="349"/>
      <c r="C24" s="350">
        <f>SUM(C21:C23)</f>
        <v>20</v>
      </c>
      <c r="D24" s="351"/>
      <c r="E24" s="352"/>
      <c r="F24" s="351">
        <f>SUM(F21:F23)</f>
        <v>895.5</v>
      </c>
      <c r="G24" s="352"/>
      <c r="H24" s="350">
        <f>SUM(H21:H23)</f>
        <v>20</v>
      </c>
      <c r="I24" s="351"/>
      <c r="J24" s="350"/>
      <c r="K24" s="351">
        <f>SUM(K21:K23)</f>
        <v>922.98</v>
      </c>
      <c r="L24" s="352"/>
      <c r="M24" s="351"/>
      <c r="N24" s="351">
        <f>K24-F24</f>
        <v>27.480000000000018</v>
      </c>
      <c r="O24" s="353">
        <f>(N24+M24)/F24</f>
        <v>3.0686767169179251E-2</v>
      </c>
      <c r="P24" s="153" t="s">
        <v>140</v>
      </c>
    </row>
    <row r="25" spans="1:16" ht="18" customHeight="1" x14ac:dyDescent="0.25">
      <c r="A25" s="28"/>
      <c r="B25" s="358"/>
      <c r="C25" s="359"/>
      <c r="D25" s="360"/>
      <c r="E25" s="28"/>
      <c r="F25" s="360"/>
      <c r="G25" s="358"/>
      <c r="H25" s="359"/>
      <c r="I25" s="360"/>
      <c r="K25" s="360"/>
      <c r="L25" s="358"/>
      <c r="M25" s="360"/>
      <c r="N25" s="360"/>
      <c r="O25" s="361"/>
    </row>
    <row r="26" spans="1:16" ht="18" customHeight="1" x14ac:dyDescent="0.25">
      <c r="A26" s="332" t="s">
        <v>11</v>
      </c>
      <c r="B26" s="333">
        <v>42150</v>
      </c>
      <c r="C26" s="334">
        <v>5</v>
      </c>
      <c r="D26" s="335">
        <v>169</v>
      </c>
      <c r="E26" s="335">
        <v>0</v>
      </c>
      <c r="F26" s="335">
        <f>C26*D26+E26</f>
        <v>845</v>
      </c>
      <c r="G26" s="333">
        <v>42186</v>
      </c>
      <c r="H26" s="334">
        <v>100</v>
      </c>
      <c r="I26" s="335">
        <v>167</v>
      </c>
      <c r="J26" s="335">
        <v>0.31</v>
      </c>
      <c r="K26" s="335">
        <f t="shared" ref="K26:K41" si="1">H26*I26-J26</f>
        <v>16699.689999999999</v>
      </c>
      <c r="L26" s="334"/>
      <c r="M26" s="334"/>
      <c r="N26" s="334"/>
      <c r="O26" s="337"/>
    </row>
    <row r="27" spans="1:16" ht="18" customHeight="1" x14ac:dyDescent="0.25">
      <c r="A27" s="379"/>
      <c r="B27" s="333">
        <v>42150</v>
      </c>
      <c r="C27" s="334">
        <v>10</v>
      </c>
      <c r="D27" s="335">
        <v>166.5</v>
      </c>
      <c r="E27" s="335">
        <v>0</v>
      </c>
      <c r="F27" s="335">
        <f t="shared" ref="F27:F46" si="2">C27*D27+E27</f>
        <v>1665</v>
      </c>
      <c r="G27" s="333">
        <v>42186</v>
      </c>
      <c r="H27" s="334">
        <v>100</v>
      </c>
      <c r="I27" s="335">
        <v>167</v>
      </c>
      <c r="J27" s="335">
        <v>0.31</v>
      </c>
      <c r="K27" s="335">
        <f t="shared" si="1"/>
        <v>16699.689999999999</v>
      </c>
      <c r="L27" s="334"/>
      <c r="M27" s="334"/>
      <c r="N27" s="334"/>
      <c r="O27" s="337"/>
    </row>
    <row r="28" spans="1:16" ht="18" customHeight="1" x14ac:dyDescent="0.25">
      <c r="A28" s="334"/>
      <c r="B28" s="333">
        <v>42150</v>
      </c>
      <c r="C28" s="334">
        <v>30</v>
      </c>
      <c r="D28" s="335">
        <v>165.4</v>
      </c>
      <c r="E28" s="335">
        <v>0</v>
      </c>
      <c r="F28" s="335">
        <f t="shared" si="2"/>
        <v>4962</v>
      </c>
      <c r="G28" s="333">
        <v>42186</v>
      </c>
      <c r="H28" s="334">
        <v>50</v>
      </c>
      <c r="I28" s="335">
        <v>168.5</v>
      </c>
      <c r="J28" s="335">
        <v>0.16</v>
      </c>
      <c r="K28" s="335">
        <f t="shared" si="1"/>
        <v>8424.84</v>
      </c>
      <c r="L28" s="334"/>
      <c r="M28" s="334"/>
      <c r="N28" s="334"/>
      <c r="O28" s="337"/>
    </row>
    <row r="29" spans="1:16" ht="18" customHeight="1" x14ac:dyDescent="0.25">
      <c r="A29" s="334"/>
      <c r="B29" s="333">
        <v>42150</v>
      </c>
      <c r="C29" s="334">
        <v>10</v>
      </c>
      <c r="D29" s="335">
        <v>164.85</v>
      </c>
      <c r="E29" s="335">
        <v>0</v>
      </c>
      <c r="F29" s="335">
        <f t="shared" si="2"/>
        <v>1648.5</v>
      </c>
      <c r="G29" s="333">
        <v>42236</v>
      </c>
      <c r="H29" s="334">
        <v>10</v>
      </c>
      <c r="I29" s="335">
        <v>133.19999999999999</v>
      </c>
      <c r="J29" s="335">
        <v>0.02</v>
      </c>
      <c r="K29" s="335">
        <f t="shared" si="1"/>
        <v>1331.98</v>
      </c>
      <c r="L29" s="334"/>
      <c r="M29" s="334"/>
      <c r="N29" s="334"/>
      <c r="O29" s="337"/>
    </row>
    <row r="30" spans="1:16" ht="18" customHeight="1" x14ac:dyDescent="0.25">
      <c r="A30" s="334"/>
      <c r="B30" s="333">
        <v>42186</v>
      </c>
      <c r="C30" s="334">
        <v>145</v>
      </c>
      <c r="D30" s="335">
        <v>166</v>
      </c>
      <c r="E30" s="335">
        <v>0</v>
      </c>
      <c r="F30" s="335">
        <f t="shared" si="2"/>
        <v>24070</v>
      </c>
      <c r="G30" s="333">
        <v>42240</v>
      </c>
      <c r="H30" s="334">
        <v>20</v>
      </c>
      <c r="I30" s="335">
        <v>130</v>
      </c>
      <c r="J30" s="335">
        <v>0.05</v>
      </c>
      <c r="K30" s="335">
        <f t="shared" si="1"/>
        <v>2599.9499999999998</v>
      </c>
      <c r="L30" s="334"/>
      <c r="M30" s="334"/>
      <c r="N30" s="334"/>
      <c r="O30" s="337"/>
    </row>
    <row r="31" spans="1:16" ht="18" customHeight="1" x14ac:dyDescent="0.25">
      <c r="A31" s="334"/>
      <c r="B31" s="333">
        <v>42186</v>
      </c>
      <c r="C31" s="334">
        <v>100</v>
      </c>
      <c r="D31" s="335">
        <v>164</v>
      </c>
      <c r="E31" s="335">
        <v>0</v>
      </c>
      <c r="F31" s="335">
        <f t="shared" si="2"/>
        <v>16400</v>
      </c>
      <c r="G31" s="333">
        <v>42270</v>
      </c>
      <c r="H31" s="334">
        <v>50</v>
      </c>
      <c r="I31" s="335">
        <v>141.19999999999999</v>
      </c>
      <c r="J31" s="335">
        <v>0.13</v>
      </c>
      <c r="K31" s="335">
        <f t="shared" si="1"/>
        <v>7059.869999999999</v>
      </c>
      <c r="L31" s="334"/>
      <c r="M31" s="334"/>
      <c r="N31" s="334"/>
      <c r="O31" s="337"/>
    </row>
    <row r="32" spans="1:16" ht="18" customHeight="1" x14ac:dyDescent="0.25">
      <c r="A32" s="334"/>
      <c r="B32" s="333">
        <v>42235</v>
      </c>
      <c r="C32" s="334">
        <v>10</v>
      </c>
      <c r="D32" s="335">
        <v>124</v>
      </c>
      <c r="E32" s="335">
        <v>0</v>
      </c>
      <c r="F32" s="335">
        <f t="shared" si="2"/>
        <v>1240</v>
      </c>
      <c r="G32" s="333">
        <v>42305</v>
      </c>
      <c r="H32" s="334">
        <v>150</v>
      </c>
      <c r="I32" s="335">
        <v>82</v>
      </c>
      <c r="J32" s="335">
        <v>0.23</v>
      </c>
      <c r="K32" s="335">
        <f t="shared" si="1"/>
        <v>12299.77</v>
      </c>
      <c r="L32" s="334"/>
      <c r="M32" s="334"/>
      <c r="N32" s="334"/>
      <c r="O32" s="337"/>
    </row>
    <row r="33" spans="1:15" ht="18" customHeight="1" x14ac:dyDescent="0.25">
      <c r="A33" s="334"/>
      <c r="B33" s="333">
        <v>42240</v>
      </c>
      <c r="C33" s="334">
        <v>20</v>
      </c>
      <c r="D33" s="335">
        <v>123</v>
      </c>
      <c r="E33" s="335">
        <v>0</v>
      </c>
      <c r="F33" s="335">
        <f t="shared" si="2"/>
        <v>2460</v>
      </c>
      <c r="G33" s="333">
        <v>42307</v>
      </c>
      <c r="H33" s="334">
        <v>120</v>
      </c>
      <c r="I33" s="335">
        <v>85.8</v>
      </c>
      <c r="J33" s="335">
        <v>7.14</v>
      </c>
      <c r="K33" s="335">
        <f t="shared" si="1"/>
        <v>10288.86</v>
      </c>
      <c r="L33" s="334"/>
      <c r="M33" s="334"/>
      <c r="N33" s="334"/>
      <c r="O33" s="334"/>
    </row>
    <row r="34" spans="1:15" ht="18" customHeight="1" x14ac:dyDescent="0.25">
      <c r="A34" s="334"/>
      <c r="B34" s="333">
        <v>42271</v>
      </c>
      <c r="C34" s="334">
        <v>50</v>
      </c>
      <c r="D34" s="335">
        <v>123.05</v>
      </c>
      <c r="E34" s="335">
        <v>0</v>
      </c>
      <c r="F34" s="335">
        <f t="shared" si="2"/>
        <v>6152.5</v>
      </c>
      <c r="G34" s="333">
        <v>42313</v>
      </c>
      <c r="H34" s="334">
        <v>80</v>
      </c>
      <c r="I34" s="335">
        <v>83</v>
      </c>
      <c r="J34" s="335">
        <v>0.12</v>
      </c>
      <c r="K34" s="335">
        <f t="shared" si="1"/>
        <v>6639.88</v>
      </c>
      <c r="L34" s="334"/>
      <c r="M34" s="334"/>
      <c r="N34" s="334"/>
      <c r="O34" s="334"/>
    </row>
    <row r="35" spans="1:15" ht="18" customHeight="1" x14ac:dyDescent="0.25">
      <c r="A35" s="334"/>
      <c r="B35" s="333">
        <v>42271</v>
      </c>
      <c r="C35" s="334">
        <v>50</v>
      </c>
      <c r="D35" s="335">
        <v>138.5</v>
      </c>
      <c r="E35" s="335">
        <v>0</v>
      </c>
      <c r="F35" s="335">
        <f t="shared" si="2"/>
        <v>6925</v>
      </c>
      <c r="G35" s="333">
        <v>42320</v>
      </c>
      <c r="H35" s="334">
        <v>200</v>
      </c>
      <c r="I35" s="335">
        <v>73.5</v>
      </c>
      <c r="J35" s="335">
        <v>0.27</v>
      </c>
      <c r="K35" s="335">
        <f t="shared" si="1"/>
        <v>14699.73</v>
      </c>
      <c r="L35" s="334"/>
      <c r="M35" s="334"/>
      <c r="N35" s="334"/>
      <c r="O35" s="334"/>
    </row>
    <row r="36" spans="1:15" ht="18" customHeight="1" x14ac:dyDescent="0.25">
      <c r="A36" s="334"/>
      <c r="B36" s="333">
        <v>42277</v>
      </c>
      <c r="C36" s="334">
        <v>10</v>
      </c>
      <c r="D36" s="335">
        <v>101.5</v>
      </c>
      <c r="E36" s="335">
        <v>0</v>
      </c>
      <c r="F36" s="335">
        <f t="shared" si="2"/>
        <v>1015</v>
      </c>
      <c r="G36" s="333">
        <v>42327</v>
      </c>
      <c r="H36" s="334">
        <v>200</v>
      </c>
      <c r="I36" s="335">
        <v>73.95</v>
      </c>
      <c r="J36" s="335">
        <v>0.27</v>
      </c>
      <c r="K36" s="335">
        <f t="shared" si="1"/>
        <v>14789.73</v>
      </c>
      <c r="L36" s="334"/>
      <c r="M36" s="334"/>
      <c r="N36" s="334"/>
      <c r="O36" s="334"/>
    </row>
    <row r="37" spans="1:15" ht="18" customHeight="1" x14ac:dyDescent="0.25">
      <c r="A37" s="334"/>
      <c r="B37" s="333">
        <v>42278</v>
      </c>
      <c r="C37" s="334">
        <v>10</v>
      </c>
      <c r="D37" s="335">
        <v>93.95</v>
      </c>
      <c r="E37" s="335">
        <v>0</v>
      </c>
      <c r="F37" s="335">
        <f t="shared" si="2"/>
        <v>939.5</v>
      </c>
      <c r="G37" s="333">
        <v>42339</v>
      </c>
      <c r="H37" s="334">
        <v>60</v>
      </c>
      <c r="I37" s="335">
        <v>89.49</v>
      </c>
      <c r="J37" s="335">
        <v>0.1</v>
      </c>
      <c r="K37" s="335">
        <f t="shared" si="1"/>
        <v>5369.2999999999993</v>
      </c>
      <c r="L37" s="334"/>
      <c r="M37" s="334"/>
      <c r="N37" s="334"/>
      <c r="O37" s="334"/>
    </row>
    <row r="38" spans="1:15" ht="18" customHeight="1" x14ac:dyDescent="0.25">
      <c r="A38" s="334"/>
      <c r="B38" s="333">
        <v>42286</v>
      </c>
      <c r="C38" s="334">
        <v>30</v>
      </c>
      <c r="D38" s="335">
        <v>89.5</v>
      </c>
      <c r="E38" s="335">
        <v>0</v>
      </c>
      <c r="F38" s="335">
        <f t="shared" si="2"/>
        <v>2685</v>
      </c>
      <c r="G38" s="333">
        <v>42340</v>
      </c>
      <c r="H38" s="334">
        <v>60</v>
      </c>
      <c r="I38" s="335">
        <v>93.79</v>
      </c>
      <c r="J38" s="335">
        <v>0.1</v>
      </c>
      <c r="K38" s="335">
        <f t="shared" si="1"/>
        <v>5627.3</v>
      </c>
      <c r="L38" s="334"/>
      <c r="M38" s="334"/>
      <c r="N38" s="334"/>
      <c r="O38" s="334"/>
    </row>
    <row r="39" spans="1:15" ht="18" customHeight="1" x14ac:dyDescent="0.25">
      <c r="A39" s="334"/>
      <c r="B39" s="333">
        <v>42299</v>
      </c>
      <c r="C39" s="334">
        <v>50</v>
      </c>
      <c r="D39" s="335">
        <v>74.3</v>
      </c>
      <c r="E39" s="335">
        <v>0</v>
      </c>
      <c r="F39" s="335">
        <f t="shared" si="2"/>
        <v>3715</v>
      </c>
      <c r="G39" s="333">
        <v>42347</v>
      </c>
      <c r="H39" s="334">
        <v>60</v>
      </c>
      <c r="I39" s="335">
        <v>81.849999999999994</v>
      </c>
      <c r="J39" s="335">
        <v>0.09</v>
      </c>
      <c r="K39" s="335">
        <f t="shared" si="1"/>
        <v>4910.91</v>
      </c>
      <c r="L39" s="334"/>
      <c r="M39" s="334"/>
      <c r="N39" s="334"/>
      <c r="O39" s="334"/>
    </row>
    <row r="40" spans="1:15" ht="18" customHeight="1" x14ac:dyDescent="0.25">
      <c r="A40" s="334"/>
      <c r="B40" s="333">
        <v>42305</v>
      </c>
      <c r="C40" s="334">
        <v>150</v>
      </c>
      <c r="D40" s="335">
        <v>79.5</v>
      </c>
      <c r="E40" s="335">
        <v>0</v>
      </c>
      <c r="F40" s="335">
        <f t="shared" si="2"/>
        <v>11925</v>
      </c>
      <c r="G40" s="333">
        <v>42349</v>
      </c>
      <c r="H40" s="334">
        <v>220</v>
      </c>
      <c r="I40" s="335">
        <v>53.95</v>
      </c>
      <c r="J40" s="335">
        <v>0.22</v>
      </c>
      <c r="K40" s="335">
        <f t="shared" si="1"/>
        <v>11868.78</v>
      </c>
      <c r="L40" s="334"/>
      <c r="M40" s="335"/>
      <c r="N40" s="334"/>
      <c r="O40" s="334"/>
    </row>
    <row r="41" spans="1:15" ht="18" customHeight="1" x14ac:dyDescent="0.25">
      <c r="A41" s="334"/>
      <c r="B41" s="333">
        <v>42310</v>
      </c>
      <c r="C41" s="334">
        <v>120</v>
      </c>
      <c r="D41" s="335">
        <v>82</v>
      </c>
      <c r="E41" s="335">
        <v>6.95</v>
      </c>
      <c r="F41" s="335">
        <f t="shared" si="2"/>
        <v>9846.9500000000007</v>
      </c>
      <c r="G41" s="333">
        <v>42354</v>
      </c>
      <c r="H41" s="334">
        <v>220</v>
      </c>
      <c r="I41" s="335">
        <v>59.47</v>
      </c>
      <c r="J41" s="335">
        <v>0.24</v>
      </c>
      <c r="K41" s="335">
        <f t="shared" si="1"/>
        <v>13083.16</v>
      </c>
      <c r="L41" s="334"/>
      <c r="M41" s="334"/>
      <c r="N41" s="334"/>
      <c r="O41" s="334"/>
    </row>
    <row r="42" spans="1:15" ht="18" customHeight="1" x14ac:dyDescent="0.25">
      <c r="A42" s="334"/>
      <c r="B42" s="333">
        <v>42318</v>
      </c>
      <c r="C42" s="334">
        <v>80</v>
      </c>
      <c r="D42" s="335">
        <v>77.12</v>
      </c>
      <c r="E42" s="335">
        <v>0</v>
      </c>
      <c r="F42" s="335">
        <f t="shared" si="2"/>
        <v>6169.6</v>
      </c>
      <c r="G42" s="333"/>
      <c r="H42" s="334"/>
      <c r="I42" s="335"/>
      <c r="J42" s="335"/>
      <c r="K42" s="335"/>
      <c r="L42" s="334"/>
      <c r="M42" s="334"/>
      <c r="N42" s="334"/>
      <c r="O42" s="334"/>
    </row>
    <row r="43" spans="1:15" ht="18" customHeight="1" x14ac:dyDescent="0.25">
      <c r="A43" s="334"/>
      <c r="B43" s="333">
        <v>42320</v>
      </c>
      <c r="C43" s="334">
        <v>200</v>
      </c>
      <c r="D43" s="335">
        <v>73.010000000000005</v>
      </c>
      <c r="E43" s="335">
        <v>0</v>
      </c>
      <c r="F43" s="335">
        <f t="shared" si="2"/>
        <v>14602.000000000002</v>
      </c>
      <c r="G43" s="333"/>
      <c r="H43" s="334"/>
      <c r="I43" s="335"/>
      <c r="J43" s="335"/>
      <c r="K43" s="335"/>
      <c r="L43" s="334"/>
      <c r="M43" s="334"/>
      <c r="N43" s="334"/>
      <c r="O43" s="334"/>
    </row>
    <row r="44" spans="1:15" ht="18" customHeight="1" x14ac:dyDescent="0.25">
      <c r="A44" s="334"/>
      <c r="B44" s="333">
        <v>42327</v>
      </c>
      <c r="C44" s="334">
        <v>200</v>
      </c>
      <c r="D44" s="335">
        <v>73.11</v>
      </c>
      <c r="E44" s="335">
        <v>0</v>
      </c>
      <c r="F44" s="335">
        <f t="shared" si="2"/>
        <v>14622</v>
      </c>
      <c r="G44" s="334"/>
      <c r="H44" s="334"/>
      <c r="I44" s="335"/>
      <c r="J44" s="335"/>
      <c r="K44" s="335"/>
      <c r="L44" s="334"/>
      <c r="M44" s="334"/>
      <c r="N44" s="334"/>
      <c r="O44" s="334"/>
    </row>
    <row r="45" spans="1:15" ht="18" customHeight="1" x14ac:dyDescent="0.25">
      <c r="A45" s="334"/>
      <c r="B45" s="333">
        <v>42339</v>
      </c>
      <c r="C45" s="334">
        <v>60</v>
      </c>
      <c r="D45" s="335">
        <v>89.38</v>
      </c>
      <c r="E45" s="335">
        <v>0</v>
      </c>
      <c r="F45" s="335">
        <f t="shared" si="2"/>
        <v>5362.7999999999993</v>
      </c>
      <c r="G45" s="334"/>
      <c r="H45" s="334"/>
      <c r="I45" s="335"/>
      <c r="J45" s="335"/>
      <c r="K45" s="335"/>
      <c r="L45" s="334"/>
      <c r="M45" s="334"/>
      <c r="N45" s="334"/>
      <c r="O45" s="334"/>
    </row>
    <row r="46" spans="1:15" ht="18" customHeight="1" x14ac:dyDescent="0.25">
      <c r="A46" s="334"/>
      <c r="B46" s="333">
        <v>42340</v>
      </c>
      <c r="C46" s="334">
        <v>60</v>
      </c>
      <c r="D46" s="335">
        <v>93.06</v>
      </c>
      <c r="E46" s="335">
        <v>0</v>
      </c>
      <c r="F46" s="335">
        <f t="shared" si="2"/>
        <v>5583.6</v>
      </c>
      <c r="G46" s="334"/>
      <c r="H46" s="334"/>
      <c r="I46" s="335"/>
      <c r="J46" s="335"/>
      <c r="K46" s="335"/>
      <c r="L46" s="334"/>
      <c r="M46" s="334"/>
      <c r="N46" s="334"/>
      <c r="O46" s="334"/>
    </row>
    <row r="47" spans="1:15" ht="18" customHeight="1" x14ac:dyDescent="0.25">
      <c r="A47" s="334"/>
      <c r="B47" s="333">
        <v>42342</v>
      </c>
      <c r="C47" s="334">
        <v>10</v>
      </c>
      <c r="D47" s="335">
        <v>80.989999999999995</v>
      </c>
      <c r="E47" s="335">
        <v>0</v>
      </c>
      <c r="F47" s="335">
        <f>C47*D47+E47</f>
        <v>809.9</v>
      </c>
      <c r="G47" s="334"/>
      <c r="H47" s="334"/>
      <c r="I47" s="335"/>
      <c r="J47" s="335"/>
      <c r="K47" s="335"/>
      <c r="L47" s="334"/>
      <c r="M47" s="334"/>
      <c r="N47" s="334"/>
      <c r="O47" s="334"/>
    </row>
    <row r="48" spans="1:15" ht="18" customHeight="1" x14ac:dyDescent="0.25">
      <c r="A48" s="334"/>
      <c r="B48" s="333">
        <v>42348</v>
      </c>
      <c r="C48" s="334">
        <v>70</v>
      </c>
      <c r="D48" s="335">
        <v>58.01</v>
      </c>
      <c r="E48" s="335">
        <v>0</v>
      </c>
      <c r="F48" s="335">
        <f>C48*D48+E48</f>
        <v>4060.7</v>
      </c>
      <c r="G48" s="334"/>
      <c r="H48" s="334"/>
      <c r="I48" s="335"/>
      <c r="J48" s="335"/>
      <c r="K48" s="335"/>
      <c r="L48" s="334"/>
      <c r="M48" s="334"/>
      <c r="N48" s="334"/>
      <c r="O48" s="334"/>
    </row>
    <row r="49" spans="1:16" ht="18" customHeight="1" x14ac:dyDescent="0.25">
      <c r="A49" s="334"/>
      <c r="B49" s="333">
        <v>42354</v>
      </c>
      <c r="C49" s="334">
        <v>220</v>
      </c>
      <c r="D49" s="335">
        <v>59.15</v>
      </c>
      <c r="E49" s="335">
        <v>0</v>
      </c>
      <c r="F49" s="335">
        <f>C49*D49+E49</f>
        <v>13013</v>
      </c>
      <c r="G49" s="334"/>
      <c r="H49" s="334"/>
      <c r="I49" s="335"/>
      <c r="J49" s="335"/>
      <c r="K49" s="335"/>
      <c r="L49" s="334"/>
      <c r="M49" s="334"/>
      <c r="N49" s="334"/>
      <c r="O49" s="334"/>
    </row>
    <row r="50" spans="1:16" ht="18" customHeight="1" x14ac:dyDescent="0.25">
      <c r="A50" s="337"/>
      <c r="B50" s="337"/>
      <c r="C50" s="337">
        <f>SUM(C26:C49)</f>
        <v>1700</v>
      </c>
      <c r="D50" s="340"/>
      <c r="E50" s="340"/>
      <c r="F50" s="340">
        <f>SUM(F26:F49)</f>
        <v>160718.04999999999</v>
      </c>
      <c r="G50" s="337"/>
      <c r="H50" s="337">
        <f>SUM(H26:H45)</f>
        <v>1700</v>
      </c>
      <c r="I50" s="340"/>
      <c r="J50" s="340"/>
      <c r="K50" s="340">
        <f>SUM(K26:K45)</f>
        <v>152393.44000000003</v>
      </c>
      <c r="L50" s="337"/>
      <c r="M50" s="337"/>
      <c r="N50" s="340">
        <f>K50-F50</f>
        <v>-8324.6099999999569</v>
      </c>
      <c r="O50" s="342">
        <f>N50/F50</f>
        <v>-5.1796360147475393E-2</v>
      </c>
    </row>
    <row r="51" spans="1:16" ht="18" customHeight="1" x14ac:dyDescent="0.25">
      <c r="B51" s="358"/>
      <c r="C51" s="359"/>
      <c r="D51" s="360"/>
      <c r="E51" s="360"/>
      <c r="F51" s="360"/>
      <c r="G51" s="358"/>
      <c r="H51" s="359"/>
      <c r="I51" s="360"/>
      <c r="K51" s="360"/>
      <c r="L51" s="358"/>
      <c r="M51" s="360"/>
      <c r="N51" s="360"/>
      <c r="O51" s="361"/>
      <c r="P51" s="153"/>
    </row>
    <row r="52" spans="1:16" ht="18" customHeight="1" x14ac:dyDescent="0.25">
      <c r="A52" s="343" t="s">
        <v>30</v>
      </c>
      <c r="B52" s="344">
        <v>42164</v>
      </c>
      <c r="C52" s="345">
        <v>10</v>
      </c>
      <c r="D52" s="346">
        <v>141.4</v>
      </c>
      <c r="E52" s="346"/>
      <c r="F52" s="346">
        <f>C52*D52</f>
        <v>1414</v>
      </c>
      <c r="G52" s="344">
        <v>42216</v>
      </c>
      <c r="H52" s="345">
        <v>10</v>
      </c>
      <c r="I52" s="346">
        <v>143.35</v>
      </c>
      <c r="J52" s="346">
        <v>0.03</v>
      </c>
      <c r="K52" s="346">
        <f>H52*I52-J52</f>
        <v>1433.47</v>
      </c>
      <c r="L52" s="347"/>
      <c r="M52" s="346"/>
      <c r="N52" s="346"/>
      <c r="O52" s="348"/>
      <c r="P52" s="153"/>
    </row>
    <row r="53" spans="1:16" ht="18" customHeight="1" x14ac:dyDescent="0.25">
      <c r="A53" s="362"/>
      <c r="B53" s="363"/>
      <c r="C53" s="364">
        <f>SUM(C52)</f>
        <v>10</v>
      </c>
      <c r="D53" s="365"/>
      <c r="E53" s="365"/>
      <c r="F53" s="365">
        <f>SUM(F52)</f>
        <v>1414</v>
      </c>
      <c r="G53" s="366"/>
      <c r="H53" s="364">
        <f>SUM(H52)</f>
        <v>10</v>
      </c>
      <c r="I53" s="365"/>
      <c r="J53" s="364"/>
      <c r="K53" s="365">
        <f>SUM(K52)</f>
        <v>1433.47</v>
      </c>
      <c r="L53" s="366"/>
      <c r="M53" s="365"/>
      <c r="N53" s="365">
        <f>K53-F53</f>
        <v>19.470000000000027</v>
      </c>
      <c r="O53" s="367">
        <f>(N53+M53)/F53</f>
        <v>1.3769448373408788E-2</v>
      </c>
      <c r="P53" s="153" t="s">
        <v>140</v>
      </c>
    </row>
    <row r="54" spans="1:16" ht="18" customHeight="1" x14ac:dyDescent="0.25">
      <c r="B54" s="358"/>
      <c r="C54" s="359"/>
      <c r="D54" s="360"/>
      <c r="E54" s="28"/>
      <c r="F54" s="360"/>
      <c r="G54" s="358"/>
      <c r="H54" s="359"/>
      <c r="I54" s="360"/>
      <c r="K54" s="360"/>
      <c r="L54" s="358"/>
      <c r="M54" s="360"/>
      <c r="N54" s="360"/>
      <c r="O54" s="361"/>
    </row>
    <row r="55" spans="1:16" ht="18" customHeight="1" x14ac:dyDescent="0.25">
      <c r="A55" s="343" t="s">
        <v>52</v>
      </c>
      <c r="B55" s="344">
        <v>42213</v>
      </c>
      <c r="C55" s="345">
        <v>25</v>
      </c>
      <c r="D55" s="346">
        <v>84.9</v>
      </c>
      <c r="E55" s="347"/>
      <c r="F55" s="346">
        <v>2122.5</v>
      </c>
      <c r="G55" s="344">
        <v>42221</v>
      </c>
      <c r="H55" s="345">
        <v>30</v>
      </c>
      <c r="I55" s="346">
        <v>84.23</v>
      </c>
      <c r="J55" s="346">
        <v>0</v>
      </c>
      <c r="K55" s="346">
        <v>2526.85</v>
      </c>
      <c r="L55" s="347"/>
      <c r="M55" s="346"/>
      <c r="N55" s="346"/>
      <c r="O55" s="348"/>
    </row>
    <row r="56" spans="1:16" ht="18" customHeight="1" x14ac:dyDescent="0.25">
      <c r="A56" s="343"/>
      <c r="B56" s="344">
        <v>42213</v>
      </c>
      <c r="C56" s="345">
        <v>5</v>
      </c>
      <c r="D56" s="346">
        <v>84.25</v>
      </c>
      <c r="E56" s="347"/>
      <c r="F56" s="346">
        <v>421.25</v>
      </c>
      <c r="G56" s="344">
        <v>42263</v>
      </c>
      <c r="H56" s="345">
        <v>40</v>
      </c>
      <c r="I56" s="346">
        <v>85</v>
      </c>
      <c r="J56" s="345">
        <v>0.06</v>
      </c>
      <c r="K56" s="346">
        <v>3399.94</v>
      </c>
      <c r="L56" s="347"/>
      <c r="M56" s="346"/>
      <c r="N56" s="346"/>
      <c r="O56" s="348"/>
    </row>
    <row r="57" spans="1:16" ht="18" customHeight="1" x14ac:dyDescent="0.25">
      <c r="A57" s="343"/>
      <c r="B57" s="344">
        <v>42214</v>
      </c>
      <c r="C57" s="345">
        <v>10</v>
      </c>
      <c r="D57" s="346">
        <v>83.2</v>
      </c>
      <c r="E57" s="347"/>
      <c r="F57" s="346">
        <v>832</v>
      </c>
      <c r="G57" s="347"/>
      <c r="H57" s="345"/>
      <c r="I57" s="346"/>
      <c r="J57" s="345"/>
      <c r="K57" s="346"/>
      <c r="L57" s="347"/>
      <c r="M57" s="346"/>
      <c r="N57" s="346"/>
      <c r="O57" s="348"/>
    </row>
    <row r="58" spans="1:16" ht="18" customHeight="1" x14ac:dyDescent="0.25">
      <c r="A58" s="343"/>
      <c r="B58" s="344">
        <v>42215</v>
      </c>
      <c r="C58" s="345">
        <v>5</v>
      </c>
      <c r="D58" s="346">
        <v>82.25</v>
      </c>
      <c r="E58" s="347"/>
      <c r="F58" s="346">
        <v>411.25</v>
      </c>
      <c r="G58" s="347"/>
      <c r="H58" s="345"/>
      <c r="I58" s="346"/>
      <c r="J58" s="345"/>
      <c r="K58" s="346"/>
      <c r="L58" s="347"/>
      <c r="M58" s="346"/>
      <c r="N58" s="346"/>
      <c r="O58" s="348"/>
    </row>
    <row r="59" spans="1:16" ht="18" customHeight="1" x14ac:dyDescent="0.25">
      <c r="A59" s="343"/>
      <c r="B59" s="344">
        <v>42220</v>
      </c>
      <c r="C59" s="345">
        <v>10</v>
      </c>
      <c r="D59" s="346">
        <v>81.349999999999994</v>
      </c>
      <c r="E59" s="347"/>
      <c r="F59" s="346">
        <v>813.5</v>
      </c>
      <c r="G59" s="347"/>
      <c r="H59" s="345"/>
      <c r="I59" s="346"/>
      <c r="J59" s="345"/>
      <c r="K59" s="346"/>
      <c r="L59" s="347"/>
      <c r="M59" s="346"/>
      <c r="N59" s="346"/>
      <c r="O59" s="348"/>
    </row>
    <row r="60" spans="1:16" ht="18" customHeight="1" x14ac:dyDescent="0.25">
      <c r="A60" s="343"/>
      <c r="B60" s="344">
        <v>42220</v>
      </c>
      <c r="C60" s="345">
        <v>5</v>
      </c>
      <c r="D60" s="346">
        <v>82.4</v>
      </c>
      <c r="E60" s="347"/>
      <c r="F60" s="346">
        <v>412</v>
      </c>
      <c r="G60" s="347"/>
      <c r="H60" s="345"/>
      <c r="I60" s="346"/>
      <c r="J60" s="345"/>
      <c r="K60" s="346"/>
      <c r="L60" s="347"/>
      <c r="M60" s="346"/>
      <c r="N60" s="346"/>
      <c r="O60" s="348"/>
    </row>
    <row r="61" spans="1:16" ht="18" customHeight="1" x14ac:dyDescent="0.25">
      <c r="A61" s="343"/>
      <c r="B61" s="344">
        <v>42221</v>
      </c>
      <c r="C61" s="345">
        <v>10</v>
      </c>
      <c r="D61" s="346">
        <v>80.7</v>
      </c>
      <c r="E61" s="347"/>
      <c r="F61" s="346">
        <v>807</v>
      </c>
      <c r="G61" s="347"/>
      <c r="H61" s="345"/>
      <c r="I61" s="346"/>
      <c r="J61" s="345"/>
      <c r="K61" s="346"/>
      <c r="L61" s="347"/>
      <c r="M61" s="346"/>
      <c r="N61" s="346"/>
      <c r="O61" s="348"/>
    </row>
    <row r="62" spans="1:16" ht="18" customHeight="1" x14ac:dyDescent="0.25">
      <c r="A62" s="362"/>
      <c r="B62" s="366"/>
      <c r="C62" s="364">
        <v>70</v>
      </c>
      <c r="D62" s="365"/>
      <c r="E62" s="366"/>
      <c r="F62" s="365">
        <f>SUM(F55:F61)</f>
        <v>5819.5</v>
      </c>
      <c r="G62" s="366"/>
      <c r="H62" s="364">
        <v>70</v>
      </c>
      <c r="I62" s="365"/>
      <c r="J62" s="364"/>
      <c r="K62" s="365">
        <f>SUM(K55:K56)</f>
        <v>5926.79</v>
      </c>
      <c r="L62" s="366"/>
      <c r="M62" s="365"/>
      <c r="N62" s="365">
        <f>K62-F62</f>
        <v>107.28999999999996</v>
      </c>
      <c r="O62" s="367">
        <f>N62/F62</f>
        <v>1.843629177764412E-2</v>
      </c>
      <c r="P62" s="153" t="s">
        <v>140</v>
      </c>
    </row>
    <row r="63" spans="1:16" ht="18" customHeight="1" x14ac:dyDescent="0.25">
      <c r="B63" s="358"/>
      <c r="C63" s="359"/>
      <c r="D63" s="360"/>
      <c r="E63" s="360"/>
      <c r="F63" s="360"/>
      <c r="G63" s="358"/>
      <c r="H63" s="359"/>
      <c r="I63" s="360"/>
      <c r="K63" s="360"/>
      <c r="L63" s="358"/>
      <c r="M63" s="360"/>
      <c r="N63" s="360"/>
      <c r="O63" s="361"/>
    </row>
    <row r="64" spans="1:16" ht="18" customHeight="1" x14ac:dyDescent="0.25">
      <c r="A64" s="343" t="s">
        <v>8</v>
      </c>
      <c r="B64" s="344">
        <v>42145</v>
      </c>
      <c r="C64" s="345">
        <v>50</v>
      </c>
      <c r="D64" s="346">
        <v>61.7</v>
      </c>
      <c r="E64" s="346"/>
      <c r="F64" s="346">
        <f t="shared" ref="F64:F74" si="3">C64*D64</f>
        <v>3085</v>
      </c>
      <c r="G64" s="344">
        <v>42187</v>
      </c>
      <c r="H64" s="345">
        <v>300</v>
      </c>
      <c r="I64" s="346">
        <v>57.78</v>
      </c>
      <c r="J64" s="346">
        <v>0.32</v>
      </c>
      <c r="K64" s="346">
        <f>H64*I64-J64</f>
        <v>17333.68</v>
      </c>
      <c r="L64" s="344">
        <v>42185</v>
      </c>
      <c r="M64" s="346">
        <v>44.61</v>
      </c>
      <c r="N64" s="346"/>
      <c r="O64" s="348"/>
    </row>
    <row r="65" spans="1:16" ht="18" customHeight="1" x14ac:dyDescent="0.25">
      <c r="A65" s="343"/>
      <c r="B65" s="344">
        <v>42146</v>
      </c>
      <c r="C65" s="345">
        <v>10</v>
      </c>
      <c r="D65" s="346">
        <v>61.37</v>
      </c>
      <c r="E65" s="346"/>
      <c r="F65" s="346">
        <f t="shared" si="3"/>
        <v>613.69999999999993</v>
      </c>
      <c r="G65" s="344">
        <v>42216</v>
      </c>
      <c r="H65" s="345">
        <v>300</v>
      </c>
      <c r="I65" s="346">
        <v>62</v>
      </c>
      <c r="J65" s="345">
        <v>0.34</v>
      </c>
      <c r="K65" s="346">
        <f>H65*I65-J65</f>
        <v>18599.66</v>
      </c>
      <c r="L65" s="347"/>
      <c r="M65" s="346"/>
      <c r="N65" s="346"/>
      <c r="O65" s="348"/>
    </row>
    <row r="66" spans="1:16" ht="18" customHeight="1" x14ac:dyDescent="0.25">
      <c r="A66" s="343"/>
      <c r="B66" s="344">
        <v>42146</v>
      </c>
      <c r="C66" s="345">
        <v>20</v>
      </c>
      <c r="D66" s="346">
        <v>61.12</v>
      </c>
      <c r="E66" s="346"/>
      <c r="F66" s="346">
        <f t="shared" si="3"/>
        <v>1222.3999999999999</v>
      </c>
      <c r="G66" s="347"/>
      <c r="H66" s="345"/>
      <c r="I66" s="346"/>
      <c r="J66" s="346"/>
      <c r="K66" s="346"/>
      <c r="L66" s="347"/>
      <c r="M66" s="346"/>
      <c r="N66" s="346"/>
      <c r="O66" s="348"/>
    </row>
    <row r="67" spans="1:16" ht="18" customHeight="1" x14ac:dyDescent="0.25">
      <c r="A67" s="343"/>
      <c r="B67" s="344">
        <v>42146</v>
      </c>
      <c r="C67" s="345">
        <v>20</v>
      </c>
      <c r="D67" s="346">
        <v>61.1</v>
      </c>
      <c r="E67" s="346"/>
      <c r="F67" s="346">
        <f t="shared" si="3"/>
        <v>1222</v>
      </c>
      <c r="G67" s="347"/>
      <c r="H67" s="345"/>
      <c r="I67" s="346"/>
      <c r="J67" s="345"/>
      <c r="K67" s="346"/>
      <c r="L67" s="347"/>
      <c r="M67" s="346"/>
      <c r="N67" s="346"/>
      <c r="O67" s="348"/>
    </row>
    <row r="68" spans="1:16" ht="18" customHeight="1" x14ac:dyDescent="0.25">
      <c r="A68" s="343"/>
      <c r="B68" s="344">
        <v>42146</v>
      </c>
      <c r="C68" s="345">
        <v>10</v>
      </c>
      <c r="D68" s="346">
        <v>60.8</v>
      </c>
      <c r="E68" s="346"/>
      <c r="F68" s="346">
        <f t="shared" si="3"/>
        <v>608</v>
      </c>
      <c r="G68" s="347"/>
      <c r="H68" s="345"/>
      <c r="I68" s="346"/>
      <c r="J68" s="346"/>
      <c r="K68" s="346"/>
      <c r="L68" s="347"/>
      <c r="M68" s="346"/>
      <c r="N68" s="346"/>
      <c r="O68" s="348"/>
    </row>
    <row r="69" spans="1:16" ht="18" customHeight="1" x14ac:dyDescent="0.25">
      <c r="A69" s="343"/>
      <c r="B69" s="344">
        <v>42146</v>
      </c>
      <c r="C69" s="345">
        <v>20</v>
      </c>
      <c r="D69" s="346">
        <v>60.7</v>
      </c>
      <c r="E69" s="346"/>
      <c r="F69" s="346">
        <f t="shared" si="3"/>
        <v>1214</v>
      </c>
      <c r="G69" s="347"/>
      <c r="H69" s="345"/>
      <c r="I69" s="346"/>
      <c r="J69" s="346"/>
      <c r="K69" s="346"/>
      <c r="L69" s="347"/>
      <c r="M69" s="346"/>
      <c r="N69" s="346"/>
      <c r="O69" s="348"/>
    </row>
    <row r="70" spans="1:16" ht="18" customHeight="1" x14ac:dyDescent="0.25">
      <c r="A70" s="343"/>
      <c r="B70" s="344">
        <v>42150</v>
      </c>
      <c r="C70" s="345">
        <v>20</v>
      </c>
      <c r="D70" s="346">
        <v>60.6</v>
      </c>
      <c r="E70" s="346"/>
      <c r="F70" s="346">
        <f t="shared" si="3"/>
        <v>1212</v>
      </c>
      <c r="G70" s="347"/>
      <c r="H70" s="345"/>
      <c r="I70" s="346"/>
      <c r="J70" s="346"/>
      <c r="K70" s="346"/>
      <c r="L70" s="347"/>
      <c r="M70" s="346"/>
      <c r="N70" s="346"/>
      <c r="O70" s="348"/>
    </row>
    <row r="71" spans="1:16" ht="18" customHeight="1" x14ac:dyDescent="0.25">
      <c r="A71" s="343"/>
      <c r="B71" s="344">
        <v>42152</v>
      </c>
      <c r="C71" s="345">
        <v>30</v>
      </c>
      <c r="D71" s="346">
        <v>60.33</v>
      </c>
      <c r="E71" s="346"/>
      <c r="F71" s="346">
        <f t="shared" si="3"/>
        <v>1809.8999999999999</v>
      </c>
      <c r="G71" s="347"/>
      <c r="H71" s="345"/>
      <c r="I71" s="346"/>
      <c r="J71" s="346"/>
      <c r="K71" s="346"/>
      <c r="L71" s="347"/>
      <c r="M71" s="346"/>
      <c r="N71" s="346"/>
      <c r="O71" s="348"/>
    </row>
    <row r="72" spans="1:16" ht="18" customHeight="1" x14ac:dyDescent="0.25">
      <c r="A72" s="343"/>
      <c r="B72" s="344">
        <v>42152</v>
      </c>
      <c r="C72" s="345">
        <v>30</v>
      </c>
      <c r="D72" s="346">
        <v>60.39</v>
      </c>
      <c r="E72" s="346"/>
      <c r="F72" s="346">
        <f t="shared" si="3"/>
        <v>1811.7</v>
      </c>
      <c r="G72" s="347"/>
      <c r="H72" s="345"/>
      <c r="I72" s="346"/>
      <c r="J72" s="346"/>
      <c r="K72" s="346"/>
      <c r="L72" s="347"/>
      <c r="M72" s="346"/>
      <c r="N72" s="346"/>
      <c r="O72" s="348"/>
    </row>
    <row r="73" spans="1:16" ht="18" customHeight="1" x14ac:dyDescent="0.25">
      <c r="A73" s="343"/>
      <c r="B73" s="344">
        <v>42166</v>
      </c>
      <c r="C73" s="345">
        <v>100</v>
      </c>
      <c r="D73" s="346">
        <v>58</v>
      </c>
      <c r="E73" s="346"/>
      <c r="F73" s="346">
        <f t="shared" si="3"/>
        <v>5800</v>
      </c>
      <c r="G73" s="347"/>
      <c r="H73" s="345"/>
      <c r="I73" s="346"/>
      <c r="J73" s="346"/>
      <c r="K73" s="346"/>
      <c r="L73" s="347"/>
      <c r="M73" s="346"/>
      <c r="N73" s="346"/>
      <c r="O73" s="348"/>
    </row>
    <row r="74" spans="1:16" ht="18" customHeight="1" x14ac:dyDescent="0.25">
      <c r="A74" s="343"/>
      <c r="B74" s="344">
        <v>42187</v>
      </c>
      <c r="C74" s="345">
        <v>290</v>
      </c>
      <c r="D74" s="346">
        <v>57.85</v>
      </c>
      <c r="E74" s="346"/>
      <c r="F74" s="346">
        <f t="shared" si="3"/>
        <v>16776.5</v>
      </c>
      <c r="G74" s="347"/>
      <c r="H74" s="345"/>
      <c r="I74" s="346"/>
      <c r="J74" s="346"/>
      <c r="K74" s="346"/>
      <c r="L74" s="347"/>
      <c r="M74" s="346"/>
      <c r="N74" s="346"/>
      <c r="O74" s="348"/>
    </row>
    <row r="75" spans="1:16" ht="18" customHeight="1" x14ac:dyDescent="0.25">
      <c r="A75" s="343"/>
      <c r="B75" s="349"/>
      <c r="C75" s="350">
        <f>SUM(C64:C74)</f>
        <v>600</v>
      </c>
      <c r="D75" s="351"/>
      <c r="E75" s="351"/>
      <c r="F75" s="351">
        <f>SUM(F64:F74)</f>
        <v>35375.199999999997</v>
      </c>
      <c r="G75" s="352"/>
      <c r="H75" s="350">
        <f>SUM(H64:H74)</f>
        <v>600</v>
      </c>
      <c r="I75" s="351"/>
      <c r="J75" s="351"/>
      <c r="K75" s="351">
        <f>SUM(K64:K74)</f>
        <v>35933.339999999997</v>
      </c>
      <c r="L75" s="352"/>
      <c r="M75" s="351">
        <f>SUM(M64:M74)</f>
        <v>44.61</v>
      </c>
      <c r="N75" s="351">
        <f>K75-F75</f>
        <v>558.13999999999942</v>
      </c>
      <c r="O75" s="353">
        <f>(N75+M75)/F75</f>
        <v>1.7038772925665423E-2</v>
      </c>
      <c r="P75" s="153" t="s">
        <v>140</v>
      </c>
    </row>
    <row r="76" spans="1:16" ht="18" customHeight="1" x14ac:dyDescent="0.25">
      <c r="B76" s="358"/>
      <c r="C76" s="359"/>
      <c r="D76" s="360"/>
      <c r="E76" s="28"/>
      <c r="F76" s="360"/>
      <c r="G76" s="358"/>
      <c r="H76" s="359"/>
      <c r="I76" s="360"/>
      <c r="J76" s="360"/>
      <c r="K76" s="360"/>
      <c r="L76" s="358"/>
      <c r="M76" s="360"/>
      <c r="N76" s="360"/>
      <c r="O76" s="361"/>
    </row>
    <row r="77" spans="1:16" ht="18" customHeight="1" x14ac:dyDescent="0.25">
      <c r="A77" s="343" t="s">
        <v>40</v>
      </c>
      <c r="B77" s="344">
        <v>42184</v>
      </c>
      <c r="C77" s="345">
        <v>20</v>
      </c>
      <c r="D77" s="346">
        <v>164.18</v>
      </c>
      <c r="E77" s="346"/>
      <c r="F77" s="346">
        <f>C77*D77</f>
        <v>3283.6000000000004</v>
      </c>
      <c r="G77" s="344">
        <v>42216</v>
      </c>
      <c r="H77" s="345">
        <v>20</v>
      </c>
      <c r="I77" s="346">
        <v>158</v>
      </c>
      <c r="J77" s="346">
        <v>0.06</v>
      </c>
      <c r="K77" s="346">
        <f>H77*I77-J77</f>
        <v>3159.94</v>
      </c>
      <c r="L77" s="347"/>
      <c r="M77" s="346"/>
      <c r="N77" s="346"/>
      <c r="O77" s="345"/>
    </row>
    <row r="78" spans="1:16" ht="18" customHeight="1" x14ac:dyDescent="0.25">
      <c r="A78" s="343"/>
      <c r="B78" s="344">
        <v>42209</v>
      </c>
      <c r="C78" s="345">
        <v>10</v>
      </c>
      <c r="D78" s="346">
        <v>148</v>
      </c>
      <c r="E78" s="346"/>
      <c r="F78" s="346">
        <f>C78*D78</f>
        <v>1480</v>
      </c>
      <c r="G78" s="344">
        <v>42235</v>
      </c>
      <c r="H78" s="345">
        <v>20</v>
      </c>
      <c r="I78" s="346">
        <v>159.80000000000001</v>
      </c>
      <c r="J78" s="346">
        <v>0.06</v>
      </c>
      <c r="K78" s="346">
        <f>H78*I78-J78</f>
        <v>3195.94</v>
      </c>
      <c r="L78" s="347"/>
      <c r="M78" s="346"/>
      <c r="N78" s="346"/>
      <c r="O78" s="345"/>
    </row>
    <row r="79" spans="1:16" ht="18" customHeight="1" x14ac:dyDescent="0.25">
      <c r="A79" s="343"/>
      <c r="B79" s="344">
        <v>42209</v>
      </c>
      <c r="C79" s="345">
        <v>10</v>
      </c>
      <c r="D79" s="346">
        <v>146.69999999999999</v>
      </c>
      <c r="E79" s="346"/>
      <c r="F79" s="346">
        <f>C79*D79</f>
        <v>1467</v>
      </c>
      <c r="G79" s="347"/>
      <c r="H79" s="345"/>
      <c r="I79" s="346"/>
      <c r="J79" s="346"/>
      <c r="K79" s="346"/>
      <c r="L79" s="347"/>
      <c r="M79" s="346"/>
      <c r="N79" s="346"/>
      <c r="O79" s="345"/>
    </row>
    <row r="80" spans="1:16" ht="18" customHeight="1" x14ac:dyDescent="0.25">
      <c r="A80" s="343"/>
      <c r="B80" s="352"/>
      <c r="C80" s="350">
        <f>SUM(C77:C79)</f>
        <v>40</v>
      </c>
      <c r="D80" s="351"/>
      <c r="E80" s="351"/>
      <c r="F80" s="351">
        <f>SUM(F77:F79)</f>
        <v>6230.6</v>
      </c>
      <c r="G80" s="352"/>
      <c r="H80" s="350">
        <f>SUM(H77:H79)</f>
        <v>40</v>
      </c>
      <c r="I80" s="351"/>
      <c r="J80" s="351"/>
      <c r="K80" s="351">
        <f>SUM(K77:K79)</f>
        <v>6355.88</v>
      </c>
      <c r="L80" s="352"/>
      <c r="M80" s="351"/>
      <c r="N80" s="351">
        <f>K80-F80</f>
        <v>125.27999999999975</v>
      </c>
      <c r="O80" s="353">
        <f>(N80+M80)/F80</f>
        <v>2.0107212788495449E-2</v>
      </c>
      <c r="P80" s="153" t="s">
        <v>140</v>
      </c>
    </row>
    <row r="81" spans="1:16" ht="18" customHeight="1" x14ac:dyDescent="0.25">
      <c r="B81" s="358"/>
      <c r="C81" s="359"/>
      <c r="D81" s="360"/>
      <c r="E81" s="360"/>
      <c r="F81" s="360"/>
      <c r="G81" s="358"/>
      <c r="H81" s="359"/>
      <c r="I81" s="360"/>
      <c r="J81" s="360"/>
      <c r="K81" s="360"/>
      <c r="L81" s="358"/>
      <c r="M81" s="360"/>
      <c r="N81" s="360"/>
      <c r="O81" s="361"/>
    </row>
    <row r="82" spans="1:16" ht="18" customHeight="1" x14ac:dyDescent="0.25">
      <c r="A82" s="343" t="s">
        <v>19</v>
      </c>
      <c r="B82" s="344">
        <v>42152</v>
      </c>
      <c r="C82" s="345">
        <v>5</v>
      </c>
      <c r="D82" s="346">
        <v>35.049999999999997</v>
      </c>
      <c r="E82" s="346"/>
      <c r="F82" s="346">
        <v>175.25</v>
      </c>
      <c r="G82" s="344">
        <v>42206</v>
      </c>
      <c r="H82" s="345">
        <v>39</v>
      </c>
      <c r="I82" s="346">
        <v>35.65</v>
      </c>
      <c r="J82" s="345">
        <v>0.03</v>
      </c>
      <c r="K82" s="346">
        <f>H82*I82-J82</f>
        <v>1390.32</v>
      </c>
      <c r="L82" s="344">
        <v>42170</v>
      </c>
      <c r="M82" s="346">
        <v>7.73</v>
      </c>
      <c r="N82" s="346"/>
      <c r="O82" s="348"/>
    </row>
    <row r="83" spans="1:16" ht="18" customHeight="1" x14ac:dyDescent="0.25">
      <c r="A83" s="343"/>
      <c r="B83" s="344">
        <v>42153</v>
      </c>
      <c r="C83" s="345">
        <v>25</v>
      </c>
      <c r="D83" s="346">
        <v>34.4</v>
      </c>
      <c r="E83" s="347"/>
      <c r="F83" s="346">
        <v>860</v>
      </c>
      <c r="G83" s="344">
        <v>42264</v>
      </c>
      <c r="H83" s="345">
        <v>51</v>
      </c>
      <c r="I83" s="346">
        <v>35</v>
      </c>
      <c r="J83" s="346">
        <v>0.03</v>
      </c>
      <c r="K83" s="346">
        <f>H83*I83-J83</f>
        <v>1784.97</v>
      </c>
      <c r="L83" s="344">
        <v>42262</v>
      </c>
      <c r="M83" s="346">
        <v>13.64</v>
      </c>
      <c r="N83" s="346"/>
      <c r="O83" s="348"/>
    </row>
    <row r="84" spans="1:16" ht="18" customHeight="1" x14ac:dyDescent="0.25">
      <c r="A84" s="343"/>
      <c r="B84" s="344">
        <v>42173</v>
      </c>
      <c r="C84" s="345">
        <v>10</v>
      </c>
      <c r="D84" s="346">
        <v>34.1</v>
      </c>
      <c r="E84" s="346"/>
      <c r="F84" s="346">
        <v>341</v>
      </c>
      <c r="G84" s="347"/>
      <c r="H84" s="345"/>
      <c r="I84" s="346"/>
      <c r="J84" s="346"/>
      <c r="K84" s="346"/>
      <c r="L84" s="347"/>
      <c r="M84" s="346"/>
      <c r="N84" s="346"/>
      <c r="O84" s="348"/>
    </row>
    <row r="85" spans="1:16" ht="18" customHeight="1" x14ac:dyDescent="0.25">
      <c r="A85" s="343"/>
      <c r="B85" s="344">
        <v>42228</v>
      </c>
      <c r="C85" s="345">
        <v>50</v>
      </c>
      <c r="D85" s="346">
        <v>33.44</v>
      </c>
      <c r="E85" s="346"/>
      <c r="F85" s="346">
        <v>1672.2</v>
      </c>
      <c r="G85" s="347"/>
      <c r="H85" s="345"/>
      <c r="I85" s="346"/>
      <c r="J85" s="346"/>
      <c r="K85" s="346"/>
      <c r="L85" s="347"/>
      <c r="M85" s="346"/>
      <c r="N85" s="346"/>
      <c r="O85" s="348"/>
    </row>
    <row r="86" spans="1:16" ht="18" customHeight="1" x14ac:dyDescent="0.25">
      <c r="A86" s="343"/>
      <c r="B86" s="352"/>
      <c r="C86" s="350">
        <v>90</v>
      </c>
      <c r="D86" s="351"/>
      <c r="E86" s="351"/>
      <c r="F86" s="351">
        <f>SUM(F82:F85)</f>
        <v>3048.45</v>
      </c>
      <c r="G86" s="352"/>
      <c r="H86" s="350">
        <v>90</v>
      </c>
      <c r="I86" s="351"/>
      <c r="J86" s="351"/>
      <c r="K86" s="351">
        <f>SUM(K82:K83)</f>
        <v>3175.29</v>
      </c>
      <c r="L86" s="352"/>
      <c r="M86" s="351">
        <f>SUM(M82:M83)</f>
        <v>21.37</v>
      </c>
      <c r="N86" s="351">
        <f>K86-F86</f>
        <v>126.84000000000015</v>
      </c>
      <c r="O86" s="353">
        <f>N86/F86</f>
        <v>4.1608030310485704E-2</v>
      </c>
      <c r="P86" s="153" t="s">
        <v>140</v>
      </c>
    </row>
    <row r="87" spans="1:16" ht="18" customHeight="1" x14ac:dyDescent="0.25">
      <c r="B87" s="358"/>
      <c r="C87" s="359"/>
      <c r="D87" s="360"/>
      <c r="E87" s="28"/>
      <c r="F87" s="360"/>
      <c r="G87" s="358"/>
      <c r="H87" s="359"/>
      <c r="I87" s="360"/>
      <c r="K87" s="360"/>
      <c r="L87" s="358"/>
      <c r="M87" s="360"/>
      <c r="N87" s="360"/>
      <c r="O87" s="361"/>
    </row>
    <row r="88" spans="1:16" ht="18" customHeight="1" x14ac:dyDescent="0.25">
      <c r="A88" s="343" t="s">
        <v>32</v>
      </c>
      <c r="B88" s="344">
        <v>42166</v>
      </c>
      <c r="C88" s="345">
        <v>25</v>
      </c>
      <c r="D88" s="346">
        <v>41.2</v>
      </c>
      <c r="E88" s="347"/>
      <c r="F88" s="346">
        <f>C88*D88</f>
        <v>1030</v>
      </c>
      <c r="G88" s="344">
        <v>42200</v>
      </c>
      <c r="H88" s="345">
        <v>50</v>
      </c>
      <c r="I88" s="346">
        <v>42.08</v>
      </c>
      <c r="J88" s="345">
        <v>0.04</v>
      </c>
      <c r="K88" s="346">
        <f>H88*I88-J88</f>
        <v>2103.96</v>
      </c>
      <c r="L88" s="347"/>
      <c r="M88" s="346"/>
      <c r="N88" s="346"/>
      <c r="O88" s="348"/>
    </row>
    <row r="89" spans="1:16" ht="18" customHeight="1" x14ac:dyDescent="0.25">
      <c r="A89" s="343"/>
      <c r="B89" s="344">
        <v>42167</v>
      </c>
      <c r="C89" s="345">
        <v>25</v>
      </c>
      <c r="D89" s="346">
        <v>39.1</v>
      </c>
      <c r="E89" s="347"/>
      <c r="F89" s="346">
        <f>C89*D89</f>
        <v>977.5</v>
      </c>
      <c r="G89" s="347"/>
      <c r="H89" s="345"/>
      <c r="I89" s="346"/>
      <c r="J89" s="345"/>
      <c r="K89" s="346"/>
      <c r="L89" s="347"/>
      <c r="M89" s="346"/>
      <c r="N89" s="346"/>
      <c r="O89" s="348"/>
    </row>
    <row r="90" spans="1:16" ht="18" customHeight="1" x14ac:dyDescent="0.25">
      <c r="A90" s="343"/>
      <c r="B90" s="349"/>
      <c r="C90" s="350">
        <f>SUM(C88:C89)</f>
        <v>50</v>
      </c>
      <c r="D90" s="351"/>
      <c r="E90" s="352"/>
      <c r="F90" s="351">
        <f>SUM(F88:F89)</f>
        <v>2007.5</v>
      </c>
      <c r="G90" s="352"/>
      <c r="H90" s="350">
        <f>SUM(H88:H89)</f>
        <v>50</v>
      </c>
      <c r="I90" s="351"/>
      <c r="J90" s="350"/>
      <c r="K90" s="351">
        <f>SUM(K88:K89)</f>
        <v>2103.96</v>
      </c>
      <c r="L90" s="352"/>
      <c r="M90" s="351"/>
      <c r="N90" s="351">
        <f>K90-F90</f>
        <v>96.460000000000036</v>
      </c>
      <c r="O90" s="353">
        <f>(N90+M90)/F90</f>
        <v>4.804981320049815E-2</v>
      </c>
      <c r="P90" s="153" t="s">
        <v>140</v>
      </c>
    </row>
    <row r="91" spans="1:16" ht="18" customHeight="1" x14ac:dyDescent="0.25">
      <c r="B91" s="358"/>
      <c r="C91" s="359"/>
      <c r="D91" s="360"/>
      <c r="E91" s="360"/>
      <c r="F91" s="360"/>
      <c r="G91" s="358"/>
      <c r="H91" s="359"/>
      <c r="I91" s="360"/>
      <c r="K91" s="360"/>
      <c r="L91" s="358"/>
      <c r="M91" s="360"/>
      <c r="N91" s="360"/>
      <c r="O91" s="361"/>
      <c r="P91" s="153"/>
    </row>
    <row r="92" spans="1:16" ht="18" customHeight="1" x14ac:dyDescent="0.25">
      <c r="A92" s="343" t="s">
        <v>16</v>
      </c>
      <c r="B92" s="344">
        <v>42153</v>
      </c>
      <c r="C92" s="345">
        <v>1</v>
      </c>
      <c r="D92" s="346">
        <v>20.3</v>
      </c>
      <c r="E92" s="346"/>
      <c r="F92" s="346">
        <f>C92*D92</f>
        <v>20.3</v>
      </c>
      <c r="G92" s="344">
        <v>42187</v>
      </c>
      <c r="H92" s="345">
        <v>1</v>
      </c>
      <c r="I92" s="346">
        <v>28.5</v>
      </c>
      <c r="J92" s="346">
        <v>0.01</v>
      </c>
      <c r="K92" s="346">
        <f>H92*I92-J92</f>
        <v>28.49</v>
      </c>
      <c r="L92" s="347"/>
      <c r="M92" s="346"/>
      <c r="N92" s="346"/>
      <c r="O92" s="348"/>
      <c r="P92" s="153"/>
    </row>
    <row r="93" spans="1:16" ht="18" customHeight="1" x14ac:dyDescent="0.25">
      <c r="A93" s="343"/>
      <c r="B93" s="352"/>
      <c r="C93" s="350">
        <f>SUM(C92)</f>
        <v>1</v>
      </c>
      <c r="D93" s="351"/>
      <c r="E93" s="351"/>
      <c r="F93" s="351">
        <f>SUM(F92)</f>
        <v>20.3</v>
      </c>
      <c r="G93" s="352"/>
      <c r="H93" s="350">
        <f>SUM(H92)</f>
        <v>1</v>
      </c>
      <c r="I93" s="351"/>
      <c r="J93" s="351"/>
      <c r="K93" s="351">
        <f>SUM(K92)</f>
        <v>28.49</v>
      </c>
      <c r="L93" s="352"/>
      <c r="M93" s="351"/>
      <c r="N93" s="351">
        <f>K93-F93</f>
        <v>8.1899999999999977</v>
      </c>
      <c r="O93" s="353">
        <f>(N93+M93)/F93</f>
        <v>0.40344827586206883</v>
      </c>
      <c r="P93" s="153" t="s">
        <v>140</v>
      </c>
    </row>
    <row r="94" spans="1:16" ht="18" customHeight="1" x14ac:dyDescent="0.25">
      <c r="B94" s="358"/>
      <c r="C94" s="359"/>
      <c r="D94" s="360"/>
      <c r="E94" s="28"/>
      <c r="F94" s="360"/>
      <c r="G94" s="358"/>
      <c r="H94" s="359"/>
      <c r="I94" s="360"/>
      <c r="K94" s="360"/>
      <c r="L94" s="358"/>
      <c r="M94" s="360"/>
      <c r="N94" s="360"/>
      <c r="O94" s="361"/>
      <c r="P94" s="153"/>
    </row>
    <row r="95" spans="1:16" ht="18" customHeight="1" x14ac:dyDescent="0.25">
      <c r="A95" s="343" t="s">
        <v>21</v>
      </c>
      <c r="B95" s="344">
        <v>42153</v>
      </c>
      <c r="C95" s="345">
        <v>10</v>
      </c>
      <c r="D95" s="346">
        <v>17.399999999999999</v>
      </c>
      <c r="E95" s="347"/>
      <c r="F95" s="346">
        <f>C95*D95</f>
        <v>174</v>
      </c>
      <c r="G95" s="344">
        <v>42186</v>
      </c>
      <c r="H95" s="345">
        <v>10</v>
      </c>
      <c r="I95" s="346">
        <v>24.2</v>
      </c>
      <c r="J95" s="345">
        <v>0.01</v>
      </c>
      <c r="K95" s="346">
        <f>H95*I95-J95</f>
        <v>241.99</v>
      </c>
      <c r="L95" s="347"/>
      <c r="M95" s="346"/>
      <c r="N95" s="346"/>
      <c r="O95" s="348"/>
      <c r="P95" s="153"/>
    </row>
    <row r="96" spans="1:16" ht="18" customHeight="1" x14ac:dyDescent="0.25">
      <c r="A96" s="343"/>
      <c r="B96" s="344">
        <v>42187</v>
      </c>
      <c r="C96" s="345">
        <v>1000</v>
      </c>
      <c r="D96" s="346">
        <v>22.12</v>
      </c>
      <c r="E96" s="347"/>
      <c r="F96" s="346">
        <f>C96*D96</f>
        <v>22120</v>
      </c>
      <c r="G96" s="344">
        <v>42187</v>
      </c>
      <c r="H96" s="345">
        <v>4000</v>
      </c>
      <c r="I96" s="346">
        <v>21.81</v>
      </c>
      <c r="J96" s="345">
        <v>11.91</v>
      </c>
      <c r="K96" s="346">
        <f>H96*I96-J96</f>
        <v>87228.09</v>
      </c>
      <c r="L96" s="347"/>
      <c r="M96" s="346"/>
      <c r="N96" s="346"/>
      <c r="O96" s="348"/>
      <c r="P96" s="153"/>
    </row>
    <row r="97" spans="1:16" ht="18" customHeight="1" x14ac:dyDescent="0.25">
      <c r="A97" s="343"/>
      <c r="B97" s="344">
        <v>42187</v>
      </c>
      <c r="C97" s="345">
        <v>1000</v>
      </c>
      <c r="D97" s="346">
        <v>21.7</v>
      </c>
      <c r="E97" s="347"/>
      <c r="F97" s="346">
        <f>C97*D97</f>
        <v>21700</v>
      </c>
      <c r="G97" s="344"/>
      <c r="H97" s="345"/>
      <c r="I97" s="346"/>
      <c r="J97" s="345"/>
      <c r="K97" s="346"/>
      <c r="L97" s="347"/>
      <c r="M97" s="346"/>
      <c r="N97" s="346"/>
      <c r="O97" s="348"/>
      <c r="P97" s="153"/>
    </row>
    <row r="98" spans="1:16" ht="18" customHeight="1" x14ac:dyDescent="0.25">
      <c r="A98" s="343"/>
      <c r="B98" s="344">
        <v>42187</v>
      </c>
      <c r="C98" s="345">
        <v>2000</v>
      </c>
      <c r="D98" s="346">
        <v>21.49</v>
      </c>
      <c r="E98" s="347"/>
      <c r="F98" s="346">
        <f>C98*D98</f>
        <v>42980</v>
      </c>
      <c r="G98" s="344"/>
      <c r="H98" s="345"/>
      <c r="I98" s="346"/>
      <c r="J98" s="345"/>
      <c r="K98" s="346"/>
      <c r="L98" s="347"/>
      <c r="M98" s="346"/>
      <c r="N98" s="346"/>
      <c r="O98" s="348"/>
      <c r="P98" s="153"/>
    </row>
    <row r="99" spans="1:16" ht="18" customHeight="1" x14ac:dyDescent="0.25">
      <c r="A99" s="343"/>
      <c r="B99" s="349"/>
      <c r="C99" s="350">
        <f>SUM(C95:C98)</f>
        <v>4010</v>
      </c>
      <c r="D99" s="351"/>
      <c r="E99" s="352"/>
      <c r="F99" s="351">
        <f>SUM(F95:F98)</f>
        <v>86974</v>
      </c>
      <c r="G99" s="352"/>
      <c r="H99" s="350">
        <f>SUM(H95:H98)</f>
        <v>4010</v>
      </c>
      <c r="I99" s="351"/>
      <c r="J99" s="350"/>
      <c r="K99" s="351">
        <f>SUM(K95:K98)</f>
        <v>87470.080000000002</v>
      </c>
      <c r="L99" s="352"/>
      <c r="M99" s="351"/>
      <c r="N99" s="351">
        <f>K99-F99</f>
        <v>496.08000000000175</v>
      </c>
      <c r="O99" s="353">
        <f>(N99+M99)/F99</f>
        <v>5.7037735415181746E-3</v>
      </c>
      <c r="P99" s="153" t="s">
        <v>140</v>
      </c>
    </row>
    <row r="100" spans="1:16" ht="18" customHeight="1" x14ac:dyDescent="0.25">
      <c r="B100" s="358"/>
      <c r="C100" s="359"/>
      <c r="D100" s="360"/>
      <c r="E100" s="28"/>
      <c r="F100" s="360"/>
      <c r="G100" s="358"/>
      <c r="H100" s="359"/>
      <c r="I100" s="360"/>
      <c r="J100" s="360"/>
      <c r="K100" s="360"/>
      <c r="L100" s="358"/>
      <c r="M100" s="360"/>
      <c r="N100" s="359"/>
      <c r="O100" s="359"/>
    </row>
    <row r="101" spans="1:16" ht="18" customHeight="1" x14ac:dyDescent="0.25">
      <c r="A101" s="343" t="s">
        <v>9</v>
      </c>
      <c r="B101" s="344">
        <v>42145</v>
      </c>
      <c r="C101" s="345">
        <v>100</v>
      </c>
      <c r="D101" s="346">
        <v>5.55</v>
      </c>
      <c r="E101" s="346"/>
      <c r="F101" s="346">
        <f t="shared" ref="F101:F130" si="4">C101*D101</f>
        <v>555</v>
      </c>
      <c r="G101" s="344">
        <v>42187</v>
      </c>
      <c r="H101" s="345">
        <v>4200</v>
      </c>
      <c r="I101" s="346">
        <v>5.0199999999999996</v>
      </c>
      <c r="J101" s="346">
        <v>0.39</v>
      </c>
      <c r="K101" s="346">
        <f>H101*I101-J101</f>
        <v>21083.61</v>
      </c>
      <c r="L101" s="344">
        <v>42185</v>
      </c>
      <c r="M101" s="346">
        <v>656.25</v>
      </c>
      <c r="N101" s="345"/>
      <c r="O101" s="345"/>
    </row>
    <row r="102" spans="1:16" ht="18" customHeight="1" x14ac:dyDescent="0.25">
      <c r="A102" s="343"/>
      <c r="B102" s="344">
        <v>42146</v>
      </c>
      <c r="C102" s="345">
        <v>100</v>
      </c>
      <c r="D102" s="346">
        <v>5.47</v>
      </c>
      <c r="E102" s="346"/>
      <c r="F102" s="346">
        <f t="shared" si="4"/>
        <v>547</v>
      </c>
      <c r="G102" s="344">
        <v>42207</v>
      </c>
      <c r="H102" s="345">
        <v>1000</v>
      </c>
      <c r="I102" s="346">
        <v>5.12</v>
      </c>
      <c r="J102" s="346">
        <v>0.09</v>
      </c>
      <c r="K102" s="346">
        <f>H102*I102-J102</f>
        <v>5119.91</v>
      </c>
      <c r="L102" s="347"/>
      <c r="M102" s="346"/>
      <c r="N102" s="345"/>
      <c r="O102" s="345"/>
    </row>
    <row r="103" spans="1:16" ht="18" customHeight="1" x14ac:dyDescent="0.25">
      <c r="A103" s="343"/>
      <c r="B103" s="344">
        <v>42146</v>
      </c>
      <c r="C103" s="345">
        <v>100</v>
      </c>
      <c r="D103" s="346">
        <v>5.43</v>
      </c>
      <c r="E103" s="346"/>
      <c r="F103" s="346">
        <f t="shared" si="4"/>
        <v>543</v>
      </c>
      <c r="G103" s="344">
        <v>42207</v>
      </c>
      <c r="H103" s="345">
        <v>2000</v>
      </c>
      <c r="I103" s="346">
        <v>5.16</v>
      </c>
      <c r="J103" s="346">
        <v>0.19</v>
      </c>
      <c r="K103" s="346">
        <f t="shared" ref="K103:K110" si="5">H103*I103-J103</f>
        <v>10319.81</v>
      </c>
      <c r="L103" s="347"/>
      <c r="M103" s="346"/>
      <c r="N103" s="345"/>
      <c r="O103" s="345"/>
    </row>
    <row r="104" spans="1:16" ht="18" customHeight="1" x14ac:dyDescent="0.25">
      <c r="A104" s="343"/>
      <c r="B104" s="344">
        <v>42146</v>
      </c>
      <c r="C104" s="345">
        <v>100</v>
      </c>
      <c r="D104" s="346">
        <v>5.4</v>
      </c>
      <c r="E104" s="346"/>
      <c r="F104" s="346">
        <f t="shared" si="4"/>
        <v>540</v>
      </c>
      <c r="G104" s="344">
        <v>42207</v>
      </c>
      <c r="H104" s="345">
        <v>1000</v>
      </c>
      <c r="I104" s="346">
        <v>5.07</v>
      </c>
      <c r="J104" s="346">
        <v>0.09</v>
      </c>
      <c r="K104" s="346">
        <f t="shared" si="5"/>
        <v>5069.91</v>
      </c>
      <c r="L104" s="347"/>
      <c r="M104" s="346"/>
      <c r="N104" s="345"/>
      <c r="O104" s="345"/>
    </row>
    <row r="105" spans="1:16" ht="18" customHeight="1" x14ac:dyDescent="0.25">
      <c r="A105" s="343"/>
      <c r="B105" s="344">
        <v>42146</v>
      </c>
      <c r="C105" s="345">
        <v>200</v>
      </c>
      <c r="D105" s="346">
        <v>5.35</v>
      </c>
      <c r="E105" s="346"/>
      <c r="F105" s="346">
        <f t="shared" si="4"/>
        <v>1070</v>
      </c>
      <c r="G105" s="344">
        <v>42207</v>
      </c>
      <c r="H105" s="345">
        <v>1000</v>
      </c>
      <c r="I105" s="346">
        <v>5.09</v>
      </c>
      <c r="J105" s="346">
        <v>0.09</v>
      </c>
      <c r="K105" s="346">
        <f t="shared" si="5"/>
        <v>5089.91</v>
      </c>
      <c r="L105" s="347"/>
      <c r="M105" s="346"/>
      <c r="N105" s="345"/>
      <c r="O105" s="345"/>
    </row>
    <row r="106" spans="1:16" ht="18" customHeight="1" x14ac:dyDescent="0.25">
      <c r="A106" s="343"/>
      <c r="B106" s="344">
        <v>42152</v>
      </c>
      <c r="C106" s="345">
        <v>250</v>
      </c>
      <c r="D106" s="346">
        <v>5.3</v>
      </c>
      <c r="E106" s="346"/>
      <c r="F106" s="346">
        <f t="shared" si="4"/>
        <v>1325</v>
      </c>
      <c r="G106" s="344">
        <v>42207</v>
      </c>
      <c r="H106" s="345">
        <v>2000</v>
      </c>
      <c r="I106" s="346">
        <v>5.23</v>
      </c>
      <c r="J106" s="346">
        <v>0.19</v>
      </c>
      <c r="K106" s="346">
        <f t="shared" si="5"/>
        <v>10459.81</v>
      </c>
      <c r="L106" s="347"/>
      <c r="M106" s="346"/>
      <c r="N106" s="345"/>
      <c r="O106" s="345"/>
    </row>
    <row r="107" spans="1:16" ht="18" customHeight="1" x14ac:dyDescent="0.25">
      <c r="A107" s="343"/>
      <c r="B107" s="344">
        <v>42152</v>
      </c>
      <c r="C107" s="345">
        <v>200</v>
      </c>
      <c r="D107" s="346">
        <v>5.26</v>
      </c>
      <c r="E107" s="346"/>
      <c r="F107" s="346">
        <f t="shared" si="4"/>
        <v>1052</v>
      </c>
      <c r="G107" s="344">
        <v>42222</v>
      </c>
      <c r="H107" s="345">
        <v>5000</v>
      </c>
      <c r="I107" s="346">
        <v>5.12</v>
      </c>
      <c r="J107" s="346">
        <v>0.47</v>
      </c>
      <c r="K107" s="346">
        <f t="shared" si="5"/>
        <v>25599.53</v>
      </c>
      <c r="L107" s="347"/>
      <c r="M107" s="346"/>
      <c r="N107" s="345"/>
      <c r="O107" s="345"/>
    </row>
    <row r="108" spans="1:16" ht="18" customHeight="1" x14ac:dyDescent="0.25">
      <c r="A108" s="343"/>
      <c r="B108" s="344">
        <v>42152</v>
      </c>
      <c r="C108" s="345">
        <v>200</v>
      </c>
      <c r="D108" s="346">
        <v>5.22</v>
      </c>
      <c r="E108" s="346"/>
      <c r="F108" s="346">
        <f t="shared" si="4"/>
        <v>1044</v>
      </c>
      <c r="G108" s="344">
        <v>42222</v>
      </c>
      <c r="H108" s="345">
        <v>1000</v>
      </c>
      <c r="I108" s="346">
        <v>5.1100000000000003</v>
      </c>
      <c r="J108" s="346">
        <v>0.09</v>
      </c>
      <c r="K108" s="346">
        <f t="shared" si="5"/>
        <v>5109.91</v>
      </c>
      <c r="L108" s="347"/>
      <c r="M108" s="346"/>
      <c r="N108" s="345"/>
      <c r="O108" s="345"/>
    </row>
    <row r="109" spans="1:16" ht="18" customHeight="1" x14ac:dyDescent="0.25">
      <c r="A109" s="343"/>
      <c r="B109" s="344">
        <v>42152</v>
      </c>
      <c r="C109" s="345">
        <v>1000</v>
      </c>
      <c r="D109" s="346">
        <v>5.19</v>
      </c>
      <c r="E109" s="346"/>
      <c r="F109" s="346">
        <f t="shared" si="4"/>
        <v>5190</v>
      </c>
      <c r="G109" s="344">
        <v>42223</v>
      </c>
      <c r="H109" s="345">
        <v>1950</v>
      </c>
      <c r="I109" s="346">
        <v>5.2</v>
      </c>
      <c r="J109" s="346">
        <v>0.19</v>
      </c>
      <c r="K109" s="346">
        <f t="shared" si="5"/>
        <v>10139.81</v>
      </c>
      <c r="L109" s="347"/>
      <c r="M109" s="346"/>
      <c r="N109" s="345"/>
      <c r="O109" s="345"/>
    </row>
    <row r="110" spans="1:16" ht="18" customHeight="1" x14ac:dyDescent="0.25">
      <c r="A110" s="343"/>
      <c r="B110" s="344">
        <v>42152</v>
      </c>
      <c r="C110" s="345">
        <v>2000</v>
      </c>
      <c r="D110" s="346">
        <v>5.17</v>
      </c>
      <c r="E110" s="346"/>
      <c r="F110" s="346">
        <f t="shared" si="4"/>
        <v>10340</v>
      </c>
      <c r="G110" s="344">
        <v>42229</v>
      </c>
      <c r="H110" s="345">
        <v>50</v>
      </c>
      <c r="I110" s="346">
        <v>5.28</v>
      </c>
      <c r="J110" s="346">
        <v>0.01</v>
      </c>
      <c r="K110" s="346">
        <f t="shared" si="5"/>
        <v>263.99</v>
      </c>
      <c r="L110" s="347"/>
      <c r="M110" s="346"/>
      <c r="N110" s="345"/>
      <c r="O110" s="345"/>
    </row>
    <row r="111" spans="1:16" ht="18" customHeight="1" x14ac:dyDescent="0.25">
      <c r="A111" s="343"/>
      <c r="B111" s="344">
        <v>42152</v>
      </c>
      <c r="C111" s="345">
        <v>2000</v>
      </c>
      <c r="D111" s="346">
        <v>5.15</v>
      </c>
      <c r="E111" s="346"/>
      <c r="F111" s="346">
        <f t="shared" si="4"/>
        <v>10300</v>
      </c>
      <c r="G111" s="347"/>
      <c r="H111" s="345"/>
      <c r="I111" s="346"/>
      <c r="J111" s="346"/>
      <c r="K111" s="346"/>
      <c r="L111" s="347"/>
      <c r="M111" s="346"/>
      <c r="N111" s="345"/>
      <c r="O111" s="345"/>
    </row>
    <row r="112" spans="1:16" ht="18" customHeight="1" x14ac:dyDescent="0.25">
      <c r="A112" s="343"/>
      <c r="B112" s="344">
        <v>42158</v>
      </c>
      <c r="C112" s="345">
        <v>500</v>
      </c>
      <c r="D112" s="346">
        <v>5.09</v>
      </c>
      <c r="E112" s="346"/>
      <c r="F112" s="346">
        <f t="shared" si="4"/>
        <v>2545</v>
      </c>
      <c r="G112" s="347"/>
      <c r="H112" s="345"/>
      <c r="I112" s="346"/>
      <c r="J112" s="346"/>
      <c r="K112" s="346"/>
      <c r="L112" s="347"/>
      <c r="M112" s="346"/>
      <c r="N112" s="345"/>
      <c r="O112" s="345"/>
    </row>
    <row r="113" spans="1:15" ht="18" customHeight="1" x14ac:dyDescent="0.25">
      <c r="A113" s="343"/>
      <c r="B113" s="344">
        <v>42158</v>
      </c>
      <c r="C113" s="345">
        <v>1000</v>
      </c>
      <c r="D113" s="346">
        <v>5.04</v>
      </c>
      <c r="E113" s="347"/>
      <c r="F113" s="346">
        <f t="shared" si="4"/>
        <v>5040</v>
      </c>
      <c r="G113" s="347"/>
      <c r="H113" s="345"/>
      <c r="I113" s="346"/>
      <c r="J113" s="346"/>
      <c r="K113" s="346"/>
      <c r="L113" s="347"/>
      <c r="M113" s="346"/>
      <c r="N113" s="345"/>
      <c r="O113" s="345"/>
    </row>
    <row r="114" spans="1:15" ht="18" customHeight="1" x14ac:dyDescent="0.25">
      <c r="A114" s="343"/>
      <c r="B114" s="344">
        <v>42158</v>
      </c>
      <c r="C114" s="345">
        <v>200</v>
      </c>
      <c r="D114" s="346">
        <v>5.05</v>
      </c>
      <c r="E114" s="346"/>
      <c r="F114" s="346">
        <f t="shared" si="4"/>
        <v>1010</v>
      </c>
      <c r="G114" s="347"/>
      <c r="H114" s="345"/>
      <c r="I114" s="346"/>
      <c r="J114" s="346"/>
      <c r="K114" s="346"/>
      <c r="L114" s="347"/>
      <c r="M114" s="346"/>
      <c r="N114" s="345"/>
      <c r="O114" s="345"/>
    </row>
    <row r="115" spans="1:15" ht="18" customHeight="1" x14ac:dyDescent="0.25">
      <c r="A115" s="343"/>
      <c r="B115" s="344">
        <v>42164</v>
      </c>
      <c r="C115" s="345">
        <v>500</v>
      </c>
      <c r="D115" s="346">
        <v>5.07</v>
      </c>
      <c r="E115" s="346"/>
      <c r="F115" s="346">
        <f t="shared" si="4"/>
        <v>2535</v>
      </c>
      <c r="G115" s="347"/>
      <c r="H115" s="345"/>
      <c r="I115" s="346"/>
      <c r="J115" s="346"/>
      <c r="K115" s="346"/>
      <c r="L115" s="347"/>
      <c r="M115" s="346"/>
      <c r="N115" s="345"/>
      <c r="O115" s="345"/>
    </row>
    <row r="116" spans="1:15" ht="18" customHeight="1" x14ac:dyDescent="0.25">
      <c r="A116" s="343"/>
      <c r="B116" s="344">
        <v>42164</v>
      </c>
      <c r="C116" s="345">
        <v>1000</v>
      </c>
      <c r="D116" s="346">
        <v>5.04</v>
      </c>
      <c r="E116" s="346"/>
      <c r="F116" s="346">
        <f t="shared" si="4"/>
        <v>5040</v>
      </c>
      <c r="G116" s="347"/>
      <c r="H116" s="345"/>
      <c r="I116" s="346"/>
      <c r="J116" s="346"/>
      <c r="K116" s="346"/>
      <c r="L116" s="347"/>
      <c r="M116" s="346"/>
      <c r="N116" s="345"/>
      <c r="O116" s="345"/>
    </row>
    <row r="117" spans="1:15" ht="18" customHeight="1" x14ac:dyDescent="0.25">
      <c r="A117" s="343"/>
      <c r="B117" s="344">
        <v>42164</v>
      </c>
      <c r="C117" s="345">
        <v>1000</v>
      </c>
      <c r="D117" s="346">
        <v>5.01</v>
      </c>
      <c r="E117" s="346"/>
      <c r="F117" s="346">
        <f t="shared" si="4"/>
        <v>5010</v>
      </c>
      <c r="G117" s="347"/>
      <c r="H117" s="345"/>
      <c r="I117" s="346"/>
      <c r="J117" s="346"/>
      <c r="K117" s="346"/>
      <c r="L117" s="347"/>
      <c r="M117" s="346"/>
      <c r="N117" s="345"/>
      <c r="O117" s="345"/>
    </row>
    <row r="118" spans="1:15" ht="18" customHeight="1" x14ac:dyDescent="0.25">
      <c r="A118" s="343"/>
      <c r="B118" s="344">
        <v>42173</v>
      </c>
      <c r="C118" s="345">
        <v>500</v>
      </c>
      <c r="D118" s="346">
        <v>4.88</v>
      </c>
      <c r="E118" s="346"/>
      <c r="F118" s="346">
        <f t="shared" si="4"/>
        <v>2440</v>
      </c>
      <c r="G118" s="347"/>
      <c r="H118" s="345"/>
      <c r="I118" s="346"/>
      <c r="J118" s="346"/>
      <c r="K118" s="346"/>
      <c r="L118" s="347"/>
      <c r="M118" s="346"/>
      <c r="N118" s="345"/>
      <c r="O118" s="345"/>
    </row>
    <row r="119" spans="1:15" ht="18" customHeight="1" x14ac:dyDescent="0.25">
      <c r="A119" s="343"/>
      <c r="B119" s="344">
        <v>42187</v>
      </c>
      <c r="C119" s="345">
        <v>2000</v>
      </c>
      <c r="D119" s="346">
        <v>4.9800000000000004</v>
      </c>
      <c r="E119" s="346"/>
      <c r="F119" s="346">
        <f t="shared" si="4"/>
        <v>9960</v>
      </c>
      <c r="G119" s="347"/>
      <c r="H119" s="345"/>
      <c r="I119" s="346"/>
      <c r="J119" s="346"/>
      <c r="K119" s="346"/>
      <c r="L119" s="347"/>
      <c r="M119" s="346"/>
      <c r="N119" s="345"/>
      <c r="O119" s="345"/>
    </row>
    <row r="120" spans="1:15" ht="18" customHeight="1" x14ac:dyDescent="0.25">
      <c r="A120" s="343"/>
      <c r="B120" s="344">
        <v>42187</v>
      </c>
      <c r="C120" s="345">
        <v>100</v>
      </c>
      <c r="D120" s="346">
        <v>4.9800000000000004</v>
      </c>
      <c r="E120" s="346"/>
      <c r="F120" s="346">
        <f t="shared" si="4"/>
        <v>498.00000000000006</v>
      </c>
      <c r="G120" s="347"/>
      <c r="H120" s="345"/>
      <c r="I120" s="346"/>
      <c r="J120" s="346"/>
      <c r="K120" s="346"/>
      <c r="L120" s="347"/>
      <c r="M120" s="346"/>
      <c r="N120" s="345"/>
      <c r="O120" s="345"/>
    </row>
    <row r="121" spans="1:15" ht="18" customHeight="1" x14ac:dyDescent="0.25">
      <c r="A121" s="343"/>
      <c r="B121" s="344">
        <v>42187</v>
      </c>
      <c r="C121" s="345">
        <v>100</v>
      </c>
      <c r="D121" s="346">
        <v>4.9800000000000004</v>
      </c>
      <c r="E121" s="346"/>
      <c r="F121" s="346">
        <f t="shared" si="4"/>
        <v>498.00000000000006</v>
      </c>
      <c r="G121" s="347"/>
      <c r="H121" s="345"/>
      <c r="I121" s="346"/>
      <c r="J121" s="346"/>
      <c r="K121" s="346"/>
      <c r="L121" s="347"/>
      <c r="M121" s="346"/>
      <c r="N121" s="345"/>
      <c r="O121" s="345"/>
    </row>
    <row r="122" spans="1:15" ht="18" customHeight="1" x14ac:dyDescent="0.25">
      <c r="A122" s="343"/>
      <c r="B122" s="344">
        <v>42187</v>
      </c>
      <c r="C122" s="345">
        <v>2000</v>
      </c>
      <c r="D122" s="346">
        <v>4.97</v>
      </c>
      <c r="E122" s="346"/>
      <c r="F122" s="346">
        <f t="shared" si="4"/>
        <v>9940</v>
      </c>
      <c r="G122" s="347"/>
      <c r="H122" s="345"/>
      <c r="I122" s="346"/>
      <c r="J122" s="346"/>
      <c r="K122" s="346"/>
      <c r="L122" s="347"/>
      <c r="M122" s="346"/>
      <c r="N122" s="345"/>
      <c r="O122" s="345"/>
    </row>
    <row r="123" spans="1:15" ht="18" customHeight="1" x14ac:dyDescent="0.25">
      <c r="A123" s="343"/>
      <c r="B123" s="344">
        <v>42199</v>
      </c>
      <c r="C123" s="345">
        <v>500</v>
      </c>
      <c r="D123" s="346">
        <v>4.8</v>
      </c>
      <c r="E123" s="346"/>
      <c r="F123" s="346">
        <f t="shared" si="4"/>
        <v>2400</v>
      </c>
      <c r="G123" s="347"/>
      <c r="H123" s="345"/>
      <c r="I123" s="346"/>
      <c r="J123" s="346"/>
      <c r="K123" s="346"/>
      <c r="L123" s="347"/>
      <c r="M123" s="346"/>
      <c r="N123" s="345"/>
      <c r="O123" s="345"/>
    </row>
    <row r="124" spans="1:15" ht="18" customHeight="1" x14ac:dyDescent="0.25">
      <c r="A124" s="343"/>
      <c r="B124" s="344">
        <v>42212</v>
      </c>
      <c r="C124" s="345">
        <v>300</v>
      </c>
      <c r="D124" s="346">
        <v>4.76</v>
      </c>
      <c r="E124" s="346"/>
      <c r="F124" s="346">
        <f t="shared" si="4"/>
        <v>1428</v>
      </c>
      <c r="G124" s="347"/>
      <c r="H124" s="345"/>
      <c r="I124" s="346"/>
      <c r="J124" s="346"/>
      <c r="K124" s="346"/>
      <c r="L124" s="347"/>
      <c r="M124" s="346"/>
      <c r="N124" s="345"/>
      <c r="O124" s="345"/>
    </row>
    <row r="125" spans="1:15" ht="18" customHeight="1" x14ac:dyDescent="0.25">
      <c r="A125" s="343"/>
      <c r="B125" s="344">
        <v>42212</v>
      </c>
      <c r="C125" s="345">
        <v>1700</v>
      </c>
      <c r="D125" s="346">
        <v>4.76</v>
      </c>
      <c r="E125" s="346"/>
      <c r="F125" s="346">
        <f t="shared" si="4"/>
        <v>8092</v>
      </c>
      <c r="G125" s="347"/>
      <c r="H125" s="345"/>
      <c r="I125" s="346"/>
      <c r="J125" s="346"/>
      <c r="K125" s="346"/>
      <c r="L125" s="347"/>
      <c r="M125" s="346"/>
      <c r="N125" s="345"/>
      <c r="O125" s="345"/>
    </row>
    <row r="126" spans="1:15" ht="18" customHeight="1" x14ac:dyDescent="0.25">
      <c r="A126" s="343"/>
      <c r="B126" s="344">
        <v>42214</v>
      </c>
      <c r="C126" s="345">
        <v>500</v>
      </c>
      <c r="D126" s="346">
        <v>4.68</v>
      </c>
      <c r="E126" s="346"/>
      <c r="F126" s="346">
        <f t="shared" si="4"/>
        <v>2340</v>
      </c>
      <c r="G126" s="347"/>
      <c r="H126" s="345"/>
      <c r="I126" s="346"/>
      <c r="J126" s="346"/>
      <c r="K126" s="346"/>
      <c r="L126" s="347"/>
      <c r="M126" s="346"/>
      <c r="N126" s="345"/>
      <c r="O126" s="345"/>
    </row>
    <row r="127" spans="1:15" ht="18" customHeight="1" x14ac:dyDescent="0.25">
      <c r="A127" s="343"/>
      <c r="B127" s="344">
        <v>42214</v>
      </c>
      <c r="C127" s="345">
        <v>50</v>
      </c>
      <c r="D127" s="346">
        <v>4.6500000000000004</v>
      </c>
      <c r="E127" s="346"/>
      <c r="F127" s="346">
        <f t="shared" si="4"/>
        <v>232.50000000000003</v>
      </c>
      <c r="G127" s="347"/>
      <c r="H127" s="345"/>
      <c r="I127" s="346"/>
      <c r="J127" s="346"/>
      <c r="K127" s="346"/>
      <c r="L127" s="347"/>
      <c r="M127" s="346"/>
      <c r="N127" s="345"/>
      <c r="O127" s="345"/>
    </row>
    <row r="128" spans="1:15" ht="18" customHeight="1" x14ac:dyDescent="0.25">
      <c r="A128" s="343"/>
      <c r="B128" s="344">
        <v>42214</v>
      </c>
      <c r="C128" s="345">
        <v>200</v>
      </c>
      <c r="D128" s="346">
        <v>4.63</v>
      </c>
      <c r="E128" s="346"/>
      <c r="F128" s="346">
        <f t="shared" si="4"/>
        <v>926</v>
      </c>
      <c r="G128" s="347"/>
      <c r="H128" s="345"/>
      <c r="I128" s="346"/>
      <c r="J128" s="346"/>
      <c r="K128" s="346"/>
      <c r="L128" s="347"/>
      <c r="M128" s="346"/>
      <c r="N128" s="345"/>
      <c r="O128" s="345"/>
    </row>
    <row r="129" spans="1:16" ht="18" customHeight="1" x14ac:dyDescent="0.25">
      <c r="A129" s="343"/>
      <c r="B129" s="344">
        <v>42214</v>
      </c>
      <c r="C129" s="345">
        <v>300</v>
      </c>
      <c r="D129" s="346">
        <v>4.59</v>
      </c>
      <c r="E129" s="346"/>
      <c r="F129" s="346">
        <f t="shared" si="4"/>
        <v>1377</v>
      </c>
      <c r="G129" s="347"/>
      <c r="H129" s="345"/>
      <c r="I129" s="346"/>
      <c r="J129" s="346"/>
      <c r="K129" s="346"/>
      <c r="L129" s="347"/>
      <c r="M129" s="346"/>
      <c r="N129" s="345"/>
      <c r="O129" s="345"/>
    </row>
    <row r="130" spans="1:16" ht="18" customHeight="1" x14ac:dyDescent="0.25">
      <c r="A130" s="343"/>
      <c r="B130" s="344">
        <v>42214</v>
      </c>
      <c r="C130" s="345">
        <v>500</v>
      </c>
      <c r="D130" s="346">
        <v>4.54</v>
      </c>
      <c r="E130" s="346"/>
      <c r="F130" s="346">
        <f t="shared" si="4"/>
        <v>2270</v>
      </c>
      <c r="G130" s="347"/>
      <c r="H130" s="345"/>
      <c r="I130" s="346"/>
      <c r="J130" s="346"/>
      <c r="K130" s="346"/>
      <c r="L130" s="347"/>
      <c r="M130" s="346"/>
      <c r="N130" s="345"/>
      <c r="O130" s="345"/>
    </row>
    <row r="131" spans="1:16" ht="18" customHeight="1" x14ac:dyDescent="0.25">
      <c r="A131" s="343"/>
      <c r="B131" s="352"/>
      <c r="C131" s="350">
        <f>SUM(C101:C130)</f>
        <v>19200</v>
      </c>
      <c r="D131" s="351"/>
      <c r="E131" s="351"/>
      <c r="F131" s="351">
        <f>SUM(F101:F130)</f>
        <v>96087.5</v>
      </c>
      <c r="G131" s="352"/>
      <c r="H131" s="350">
        <f>SUM(H101:H130)</f>
        <v>19200</v>
      </c>
      <c r="I131" s="351"/>
      <c r="J131" s="351"/>
      <c r="K131" s="351">
        <f>SUM(K101:K130)</f>
        <v>98256.200000000012</v>
      </c>
      <c r="L131" s="352"/>
      <c r="M131" s="351">
        <f>SUM(M101:M130)</f>
        <v>656.25</v>
      </c>
      <c r="N131" s="351">
        <f>K131-F131</f>
        <v>2168.7000000000116</v>
      </c>
      <c r="O131" s="353">
        <f>(N131+M131)/F131</f>
        <v>2.9399765838428637E-2</v>
      </c>
      <c r="P131" s="153" t="s">
        <v>140</v>
      </c>
    </row>
    <row r="132" spans="1:16" ht="18" customHeight="1" x14ac:dyDescent="0.25">
      <c r="B132" s="358"/>
      <c r="C132" s="359"/>
      <c r="D132" s="360"/>
      <c r="E132" s="28"/>
      <c r="F132" s="360"/>
      <c r="G132" s="358"/>
      <c r="H132" s="359"/>
      <c r="I132" s="360"/>
      <c r="K132" s="360"/>
      <c r="L132" s="358"/>
      <c r="M132" s="360"/>
      <c r="N132" s="360"/>
      <c r="O132" s="361"/>
    </row>
    <row r="133" spans="1:16" ht="18" customHeight="1" x14ac:dyDescent="0.25">
      <c r="A133" s="343" t="s">
        <v>25</v>
      </c>
      <c r="B133" s="344">
        <v>42163</v>
      </c>
      <c r="C133" s="345">
        <v>1</v>
      </c>
      <c r="D133" s="346">
        <v>117.3</v>
      </c>
      <c r="E133" s="347"/>
      <c r="F133" s="346">
        <f>C133*D133</f>
        <v>117.3</v>
      </c>
      <c r="G133" s="344">
        <v>42186</v>
      </c>
      <c r="H133" s="345">
        <v>1</v>
      </c>
      <c r="I133" s="346">
        <v>121.6</v>
      </c>
      <c r="J133" s="345">
        <v>0.01</v>
      </c>
      <c r="K133" s="346">
        <f>H133*I133-J133</f>
        <v>121.58999999999999</v>
      </c>
      <c r="L133" s="347"/>
      <c r="M133" s="346"/>
      <c r="N133" s="346"/>
      <c r="O133" s="348"/>
    </row>
    <row r="134" spans="1:16" ht="18" customHeight="1" x14ac:dyDescent="0.25">
      <c r="A134" s="343"/>
      <c r="B134" s="349"/>
      <c r="C134" s="350">
        <f>SUM(C133)</f>
        <v>1</v>
      </c>
      <c r="D134" s="351"/>
      <c r="E134" s="352"/>
      <c r="F134" s="351">
        <f>SUM(F133)</f>
        <v>117.3</v>
      </c>
      <c r="G134" s="352"/>
      <c r="H134" s="350">
        <f>SUM(H133)</f>
        <v>1</v>
      </c>
      <c r="I134" s="351"/>
      <c r="J134" s="350"/>
      <c r="K134" s="351">
        <f>SUM(K133)</f>
        <v>121.58999999999999</v>
      </c>
      <c r="L134" s="352"/>
      <c r="M134" s="351"/>
      <c r="N134" s="351">
        <f>K134-F134</f>
        <v>4.289999999999992</v>
      </c>
      <c r="O134" s="353">
        <f>(N134+M134)/F134</f>
        <v>3.6572890025575379E-2</v>
      </c>
      <c r="P134" s="153" t="s">
        <v>140</v>
      </c>
    </row>
    <row r="135" spans="1:16" ht="18" customHeight="1" x14ac:dyDescent="0.25">
      <c r="B135" s="358"/>
      <c r="C135" s="359"/>
      <c r="D135" s="360"/>
      <c r="E135" s="360"/>
      <c r="F135" s="360"/>
      <c r="G135" s="358"/>
      <c r="H135" s="359"/>
      <c r="I135" s="360"/>
      <c r="J135" s="360"/>
      <c r="K135" s="360"/>
      <c r="L135" s="358"/>
      <c r="M135" s="360"/>
      <c r="N135" s="360"/>
      <c r="O135" s="361"/>
    </row>
    <row r="136" spans="1:16" ht="18" customHeight="1" x14ac:dyDescent="0.25">
      <c r="A136" s="343" t="s">
        <v>36</v>
      </c>
      <c r="B136" s="344">
        <v>42167</v>
      </c>
      <c r="C136" s="345">
        <v>25</v>
      </c>
      <c r="D136" s="346">
        <v>34.15</v>
      </c>
      <c r="E136" s="346"/>
      <c r="F136" s="346">
        <f>C136*D136</f>
        <v>853.75</v>
      </c>
      <c r="G136" s="344">
        <v>42186</v>
      </c>
      <c r="H136" s="345">
        <v>35</v>
      </c>
      <c r="I136" s="346">
        <v>34.799999999999997</v>
      </c>
      <c r="J136" s="346">
        <v>0.02</v>
      </c>
      <c r="K136" s="346">
        <f>H136*I136-J136</f>
        <v>1217.98</v>
      </c>
      <c r="L136" s="347"/>
      <c r="M136" s="346"/>
      <c r="N136" s="346"/>
      <c r="O136" s="348"/>
    </row>
    <row r="137" spans="1:16" ht="18" customHeight="1" x14ac:dyDescent="0.25">
      <c r="A137" s="343"/>
      <c r="B137" s="344">
        <v>42178</v>
      </c>
      <c r="C137" s="345">
        <v>10</v>
      </c>
      <c r="D137" s="346">
        <v>33.119999999999997</v>
      </c>
      <c r="E137" s="346"/>
      <c r="F137" s="346">
        <f>C137*D137</f>
        <v>331.2</v>
      </c>
      <c r="G137" s="347"/>
      <c r="H137" s="345"/>
      <c r="I137" s="346"/>
      <c r="J137" s="346"/>
      <c r="K137" s="346"/>
      <c r="L137" s="347"/>
      <c r="M137" s="346"/>
      <c r="N137" s="346"/>
      <c r="O137" s="348"/>
    </row>
    <row r="138" spans="1:16" ht="18" customHeight="1" x14ac:dyDescent="0.25">
      <c r="A138" s="343"/>
      <c r="B138" s="349"/>
      <c r="C138" s="350">
        <f>SUM(C136:C137)</f>
        <v>35</v>
      </c>
      <c r="D138" s="351"/>
      <c r="E138" s="351"/>
      <c r="F138" s="351">
        <f>SUM(F136:F137)</f>
        <v>1184.95</v>
      </c>
      <c r="G138" s="352"/>
      <c r="H138" s="350">
        <f>SUM(H136:H137)</f>
        <v>35</v>
      </c>
      <c r="I138" s="351"/>
      <c r="J138" s="351"/>
      <c r="K138" s="351">
        <f>SUM(K136:K137)</f>
        <v>1217.98</v>
      </c>
      <c r="L138" s="352"/>
      <c r="M138" s="351"/>
      <c r="N138" s="351">
        <f>K138-F138</f>
        <v>33.029999999999973</v>
      </c>
      <c r="O138" s="353">
        <f>(N138+M138)/F138</f>
        <v>2.7874593864720007E-2</v>
      </c>
      <c r="P138" s="153" t="s">
        <v>140</v>
      </c>
    </row>
    <row r="139" spans="1:16" ht="18" customHeight="1" x14ac:dyDescent="0.25">
      <c r="B139" s="358"/>
      <c r="C139" s="359"/>
      <c r="D139" s="360"/>
      <c r="E139" s="28"/>
      <c r="F139" s="360"/>
      <c r="G139" s="358"/>
      <c r="H139" s="359"/>
      <c r="I139" s="360"/>
      <c r="K139" s="360"/>
      <c r="L139" s="358"/>
      <c r="M139" s="360"/>
      <c r="N139" s="360"/>
      <c r="O139" s="361"/>
    </row>
    <row r="140" spans="1:16" ht="18" customHeight="1" x14ac:dyDescent="0.25">
      <c r="A140" s="343" t="s">
        <v>14</v>
      </c>
      <c r="B140" s="344">
        <v>42152</v>
      </c>
      <c r="C140" s="345">
        <v>2</v>
      </c>
      <c r="D140" s="346">
        <v>51.22</v>
      </c>
      <c r="E140" s="347"/>
      <c r="F140" s="346">
        <f>C140*D140</f>
        <v>102.44</v>
      </c>
      <c r="G140" s="344">
        <v>42187</v>
      </c>
      <c r="H140" s="345">
        <v>150</v>
      </c>
      <c r="I140" s="346">
        <v>48.92</v>
      </c>
      <c r="J140" s="345">
        <v>0.12</v>
      </c>
      <c r="K140" s="346">
        <f>H140*I140-J140</f>
        <v>7337.88</v>
      </c>
      <c r="L140" s="344">
        <v>42195</v>
      </c>
      <c r="M140" s="346">
        <v>52</v>
      </c>
      <c r="N140" s="346"/>
      <c r="O140" s="348"/>
    </row>
    <row r="141" spans="1:16" ht="18" customHeight="1" x14ac:dyDescent="0.25">
      <c r="A141" s="343"/>
      <c r="B141" s="344">
        <v>42164</v>
      </c>
      <c r="C141" s="345">
        <v>48</v>
      </c>
      <c r="D141" s="346">
        <v>49.9</v>
      </c>
      <c r="E141" s="347"/>
      <c r="F141" s="346">
        <f>C141*D141</f>
        <v>2395.1999999999998</v>
      </c>
      <c r="G141" s="347"/>
      <c r="H141" s="345"/>
      <c r="I141" s="346"/>
      <c r="J141" s="345"/>
      <c r="K141" s="346"/>
      <c r="L141" s="347"/>
      <c r="M141" s="346"/>
      <c r="N141" s="346"/>
      <c r="O141" s="348"/>
    </row>
    <row r="142" spans="1:16" ht="18" customHeight="1" x14ac:dyDescent="0.25">
      <c r="A142" s="343"/>
      <c r="B142" s="344">
        <v>42165</v>
      </c>
      <c r="C142" s="345">
        <v>50</v>
      </c>
      <c r="D142" s="346">
        <v>48.6</v>
      </c>
      <c r="E142" s="347"/>
      <c r="F142" s="346">
        <f>C142*D142</f>
        <v>2430</v>
      </c>
      <c r="G142" s="347"/>
      <c r="H142" s="345"/>
      <c r="I142" s="346"/>
      <c r="J142" s="345"/>
      <c r="K142" s="346"/>
      <c r="L142" s="347"/>
      <c r="M142" s="346"/>
      <c r="N142" s="346"/>
      <c r="O142" s="348"/>
    </row>
    <row r="143" spans="1:16" ht="18" customHeight="1" x14ac:dyDescent="0.25">
      <c r="A143" s="343"/>
      <c r="B143" s="344">
        <v>42173</v>
      </c>
      <c r="C143" s="345">
        <v>25</v>
      </c>
      <c r="D143" s="346">
        <v>47.62</v>
      </c>
      <c r="E143" s="347"/>
      <c r="F143" s="346">
        <f>C143*D143</f>
        <v>1190.5</v>
      </c>
      <c r="G143" s="347"/>
      <c r="H143" s="345"/>
      <c r="I143" s="346"/>
      <c r="J143" s="345"/>
      <c r="K143" s="346"/>
      <c r="L143" s="347"/>
      <c r="M143" s="346"/>
      <c r="N143" s="346"/>
      <c r="O143" s="348"/>
    </row>
    <row r="144" spans="1:16" ht="18" customHeight="1" x14ac:dyDescent="0.25">
      <c r="A144" s="343"/>
      <c r="B144" s="344">
        <v>42173</v>
      </c>
      <c r="C144" s="345">
        <v>25</v>
      </c>
      <c r="D144" s="346">
        <v>47.54</v>
      </c>
      <c r="E144" s="347"/>
      <c r="F144" s="346">
        <f>C144*D144</f>
        <v>1188.5</v>
      </c>
      <c r="G144" s="347"/>
      <c r="H144" s="345"/>
      <c r="I144" s="346"/>
      <c r="J144" s="345"/>
      <c r="K144" s="346"/>
      <c r="L144" s="347"/>
      <c r="M144" s="346"/>
      <c r="N144" s="346"/>
      <c r="O144" s="348"/>
    </row>
    <row r="145" spans="1:18" ht="18" customHeight="1" x14ac:dyDescent="0.25">
      <c r="A145" s="343"/>
      <c r="B145" s="349"/>
      <c r="C145" s="350">
        <f>SUM(C140:C144)</f>
        <v>150</v>
      </c>
      <c r="D145" s="351"/>
      <c r="E145" s="352"/>
      <c r="F145" s="351">
        <f t="shared" ref="F145:M145" si="6">SUM(F140:F144)</f>
        <v>7306.6399999999994</v>
      </c>
      <c r="G145" s="352"/>
      <c r="H145" s="350">
        <f t="shared" si="6"/>
        <v>150</v>
      </c>
      <c r="I145" s="351"/>
      <c r="J145" s="350"/>
      <c r="K145" s="351">
        <f t="shared" si="6"/>
        <v>7337.88</v>
      </c>
      <c r="L145" s="352"/>
      <c r="M145" s="351">
        <f t="shared" si="6"/>
        <v>52</v>
      </c>
      <c r="N145" s="351">
        <f>K145-F145</f>
        <v>31.240000000000691</v>
      </c>
      <c r="O145" s="353">
        <f>(N145+M145)/F145</f>
        <v>1.1392377344442959E-2</v>
      </c>
      <c r="P145" s="153" t="s">
        <v>140</v>
      </c>
    </row>
    <row r="146" spans="1:18" ht="18" customHeight="1" x14ac:dyDescent="0.25">
      <c r="B146" s="372"/>
      <c r="C146" s="359"/>
      <c r="D146" s="360"/>
      <c r="E146" s="359"/>
      <c r="F146" s="360"/>
      <c r="G146" s="375"/>
      <c r="H146" s="359"/>
      <c r="I146" s="360"/>
      <c r="J146" s="359"/>
      <c r="K146" s="360"/>
      <c r="L146" s="358"/>
      <c r="M146" s="360"/>
      <c r="N146" s="359"/>
      <c r="O146" s="359"/>
    </row>
    <row r="147" spans="1:18" ht="18" customHeight="1" x14ac:dyDescent="0.25">
      <c r="A147" s="343" t="s">
        <v>26</v>
      </c>
      <c r="B147" s="344">
        <v>42163</v>
      </c>
      <c r="C147" s="345">
        <v>50</v>
      </c>
      <c r="D147" s="346">
        <v>5.9</v>
      </c>
      <c r="E147" s="345">
        <v>0</v>
      </c>
      <c r="F147" s="346">
        <v>295</v>
      </c>
      <c r="G147" s="374">
        <v>42187</v>
      </c>
      <c r="H147" s="345">
        <v>200</v>
      </c>
      <c r="I147" s="346">
        <v>6.45</v>
      </c>
      <c r="J147" s="345">
        <v>0.02</v>
      </c>
      <c r="K147" s="346">
        <v>1289.98</v>
      </c>
      <c r="L147" s="347"/>
      <c r="M147" s="346"/>
      <c r="N147" s="345"/>
      <c r="O147" s="345"/>
    </row>
    <row r="148" spans="1:18" ht="18" customHeight="1" x14ac:dyDescent="0.25">
      <c r="A148" s="343"/>
      <c r="B148" s="344">
        <v>42163</v>
      </c>
      <c r="C148" s="345">
        <v>100</v>
      </c>
      <c r="D148" s="346">
        <v>6.2</v>
      </c>
      <c r="E148" s="345">
        <v>0</v>
      </c>
      <c r="F148" s="346">
        <v>620</v>
      </c>
      <c r="G148" s="374">
        <v>42261</v>
      </c>
      <c r="H148" s="345">
        <v>450</v>
      </c>
      <c r="I148" s="346">
        <v>6.23</v>
      </c>
      <c r="J148" s="345">
        <v>0.05</v>
      </c>
      <c r="K148" s="346">
        <v>2803.45</v>
      </c>
      <c r="L148" s="347"/>
      <c r="M148" s="346"/>
      <c r="N148" s="345"/>
      <c r="O148" s="345"/>
    </row>
    <row r="149" spans="1:18" ht="18" customHeight="1" x14ac:dyDescent="0.25">
      <c r="A149" s="343"/>
      <c r="B149" s="344">
        <v>42187</v>
      </c>
      <c r="C149" s="345">
        <v>200</v>
      </c>
      <c r="D149" s="346">
        <v>6.3</v>
      </c>
      <c r="E149" s="345">
        <v>0</v>
      </c>
      <c r="F149" s="346">
        <v>1260</v>
      </c>
      <c r="G149" s="374"/>
      <c r="H149" s="345"/>
      <c r="I149" s="346"/>
      <c r="J149" s="345"/>
      <c r="K149" s="346"/>
      <c r="L149" s="347"/>
      <c r="M149" s="346"/>
      <c r="N149" s="345"/>
      <c r="O149" s="345"/>
    </row>
    <row r="150" spans="1:18" ht="18" customHeight="1" x14ac:dyDescent="0.25">
      <c r="A150" s="343"/>
      <c r="B150" s="344">
        <v>42194</v>
      </c>
      <c r="C150" s="345">
        <v>150</v>
      </c>
      <c r="D150" s="346">
        <v>6.1</v>
      </c>
      <c r="E150" s="345">
        <v>0</v>
      </c>
      <c r="F150" s="346">
        <v>915</v>
      </c>
      <c r="G150" s="374"/>
      <c r="H150" s="345"/>
      <c r="I150" s="346"/>
      <c r="J150" s="345"/>
      <c r="K150" s="346"/>
      <c r="L150" s="347"/>
      <c r="M150" s="346"/>
      <c r="N150" s="345"/>
      <c r="O150" s="345"/>
    </row>
    <row r="151" spans="1:18" ht="18" customHeight="1" x14ac:dyDescent="0.25">
      <c r="A151" s="343"/>
      <c r="B151" s="344">
        <v>42240</v>
      </c>
      <c r="C151" s="345">
        <v>150</v>
      </c>
      <c r="D151" s="346">
        <v>5.69</v>
      </c>
      <c r="E151" s="345">
        <v>0</v>
      </c>
      <c r="F151" s="346">
        <v>853.50000000000011</v>
      </c>
      <c r="G151" s="374"/>
      <c r="H151" s="345"/>
      <c r="I151" s="346"/>
      <c r="J151" s="345"/>
      <c r="K151" s="346"/>
      <c r="L151" s="347"/>
      <c r="M151" s="346"/>
      <c r="N151" s="345"/>
      <c r="O151" s="345"/>
    </row>
    <row r="152" spans="1:18" ht="18" customHeight="1" x14ac:dyDescent="0.25">
      <c r="A152" s="343"/>
      <c r="B152" s="349"/>
      <c r="C152" s="350">
        <v>650</v>
      </c>
      <c r="D152" s="351"/>
      <c r="E152" s="350"/>
      <c r="F152" s="351">
        <v>3943.5</v>
      </c>
      <c r="G152" s="376"/>
      <c r="H152" s="350">
        <v>650</v>
      </c>
      <c r="I152" s="351"/>
      <c r="J152" s="350"/>
      <c r="K152" s="351">
        <f>SUM(K147:K148)</f>
        <v>4093.43</v>
      </c>
      <c r="L152" s="352"/>
      <c r="M152" s="351"/>
      <c r="N152" s="351">
        <f>K152-F152</f>
        <v>149.92999999999984</v>
      </c>
      <c r="O152" s="353">
        <f>N152/K152</f>
        <v>3.6626985193346374E-2</v>
      </c>
      <c r="P152" s="153" t="s">
        <v>140</v>
      </c>
    </row>
    <row r="153" spans="1:18" ht="18" customHeight="1" x14ac:dyDescent="0.25">
      <c r="B153" s="372"/>
      <c r="C153" s="359"/>
      <c r="D153" s="360"/>
      <c r="E153" s="359"/>
      <c r="F153" s="360"/>
      <c r="G153" s="375"/>
      <c r="H153" s="359"/>
      <c r="I153" s="360"/>
      <c r="J153" s="359"/>
      <c r="K153" s="360"/>
      <c r="L153" s="358"/>
      <c r="M153" s="360"/>
      <c r="N153" s="359"/>
      <c r="O153" s="359"/>
    </row>
    <row r="154" spans="1:18" ht="18" customHeight="1" x14ac:dyDescent="0.25">
      <c r="A154" s="332" t="s">
        <v>26</v>
      </c>
      <c r="B154" s="333">
        <v>42284</v>
      </c>
      <c r="C154" s="334">
        <v>150</v>
      </c>
      <c r="D154" s="335">
        <v>3.75</v>
      </c>
      <c r="E154" s="335">
        <v>0</v>
      </c>
      <c r="F154" s="335">
        <f>D154*C154</f>
        <v>562.5</v>
      </c>
      <c r="G154" s="333">
        <v>42291</v>
      </c>
      <c r="H154" s="336">
        <v>100</v>
      </c>
      <c r="I154" s="335">
        <v>4.4000000000000004</v>
      </c>
      <c r="J154" s="335">
        <v>0.01</v>
      </c>
      <c r="K154" s="334">
        <f>I154*H154-J154</f>
        <v>439.99000000000007</v>
      </c>
      <c r="L154" s="333"/>
      <c r="M154" s="335"/>
      <c r="N154" s="334"/>
      <c r="O154" s="337"/>
      <c r="P154"/>
      <c r="Q154"/>
    </row>
    <row r="155" spans="1:18" ht="18" customHeight="1" x14ac:dyDescent="0.25">
      <c r="A155" s="379"/>
      <c r="B155" s="416">
        <v>42338</v>
      </c>
      <c r="C155" s="334">
        <v>50</v>
      </c>
      <c r="D155" s="335">
        <v>3.03</v>
      </c>
      <c r="E155" s="335">
        <v>0</v>
      </c>
      <c r="F155" s="335">
        <f>D155*C155</f>
        <v>151.5</v>
      </c>
      <c r="G155" s="333">
        <v>42333</v>
      </c>
      <c r="H155" s="334">
        <v>50</v>
      </c>
      <c r="I155" s="334">
        <v>3.16</v>
      </c>
      <c r="J155" s="334">
        <v>0.01</v>
      </c>
      <c r="K155" s="334">
        <f>I155*H155-J155</f>
        <v>157.99</v>
      </c>
      <c r="L155" s="334"/>
      <c r="M155" s="334"/>
      <c r="N155" s="334"/>
      <c r="O155" s="337"/>
      <c r="P155"/>
      <c r="Q155"/>
    </row>
    <row r="156" spans="1:18" ht="18" customHeight="1" x14ac:dyDescent="0.25">
      <c r="A156" s="334"/>
      <c r="B156" s="416"/>
      <c r="C156" s="334">
        <v>2</v>
      </c>
      <c r="D156" s="335">
        <v>3.03</v>
      </c>
      <c r="E156" s="335">
        <v>0</v>
      </c>
      <c r="F156" s="335">
        <f>D156*C156</f>
        <v>6.06</v>
      </c>
      <c r="G156" s="333">
        <v>42339</v>
      </c>
      <c r="H156" s="334">
        <v>50</v>
      </c>
      <c r="I156" s="334">
        <v>3.38</v>
      </c>
      <c r="J156" s="334">
        <v>0.01</v>
      </c>
      <c r="K156" s="334">
        <f>I156*H156-J156</f>
        <v>168.99</v>
      </c>
      <c r="L156" s="334"/>
      <c r="M156" s="334"/>
      <c r="N156" s="334"/>
      <c r="O156" s="337"/>
      <c r="P156"/>
      <c r="Q156"/>
    </row>
    <row r="157" spans="1:18" ht="18" customHeight="1" x14ac:dyDescent="0.25">
      <c r="A157" s="334"/>
      <c r="B157" s="333">
        <v>42340</v>
      </c>
      <c r="C157" s="334">
        <v>52</v>
      </c>
      <c r="D157" s="335">
        <v>3.2</v>
      </c>
      <c r="E157" s="335">
        <v>0</v>
      </c>
      <c r="F157" s="335">
        <f>D157*C157</f>
        <v>166.4</v>
      </c>
      <c r="G157" s="334"/>
      <c r="H157" s="335">
        <v>54</v>
      </c>
      <c r="I157" s="335">
        <v>1.63</v>
      </c>
      <c r="J157" s="335">
        <v>0</v>
      </c>
      <c r="K157" s="334">
        <f>I157*H157-J157</f>
        <v>88.02</v>
      </c>
      <c r="L157" s="334"/>
      <c r="M157" s="334"/>
      <c r="N157" s="334"/>
      <c r="O157" s="337"/>
      <c r="P157"/>
      <c r="Q157" s="3"/>
      <c r="R157"/>
    </row>
    <row r="158" spans="1:18" ht="18" customHeight="1" x14ac:dyDescent="0.25">
      <c r="A158" s="337"/>
      <c r="B158" s="337"/>
      <c r="C158" s="337">
        <f>SUM(C154:C157)</f>
        <v>254</v>
      </c>
      <c r="D158" s="337"/>
      <c r="E158" s="340"/>
      <c r="F158" s="337">
        <f>SUM(F154:F157)</f>
        <v>886.45999999999992</v>
      </c>
      <c r="G158" s="337"/>
      <c r="H158" s="341">
        <f>SUM(H154:H157)</f>
        <v>254</v>
      </c>
      <c r="I158" s="337"/>
      <c r="J158" s="337"/>
      <c r="K158" s="337">
        <f>SUM(K154:K157)</f>
        <v>854.99</v>
      </c>
      <c r="L158" s="337"/>
      <c r="M158" s="340">
        <f>SUM(M154:M156)</f>
        <v>0</v>
      </c>
      <c r="N158" s="337">
        <f>K158-F158</f>
        <v>-31.469999999999914</v>
      </c>
      <c r="O158" s="342">
        <f>N158/F158</f>
        <v>-3.5500755815265121E-2</v>
      </c>
      <c r="P158"/>
      <c r="Q158" s="148"/>
      <c r="R158"/>
    </row>
    <row r="159" spans="1:18" ht="18" customHeight="1" x14ac:dyDescent="0.25">
      <c r="B159" s="372"/>
      <c r="C159" s="359"/>
      <c r="D159" s="360"/>
      <c r="E159" s="359"/>
      <c r="F159" s="360"/>
      <c r="G159" s="375"/>
      <c r="H159" s="359"/>
      <c r="I159" s="360"/>
      <c r="J159" s="359"/>
      <c r="K159" s="360"/>
      <c r="L159" s="358"/>
      <c r="M159" s="360"/>
      <c r="N159" s="359"/>
      <c r="O159" s="359"/>
    </row>
    <row r="160" spans="1:18" ht="18" customHeight="1" x14ac:dyDescent="0.25">
      <c r="A160" s="343" t="s">
        <v>23</v>
      </c>
      <c r="B160" s="344">
        <v>42153</v>
      </c>
      <c r="C160" s="345">
        <v>50</v>
      </c>
      <c r="D160" s="346">
        <v>37.22</v>
      </c>
      <c r="E160" s="345"/>
      <c r="F160" s="346">
        <f>D160*C160</f>
        <v>1861</v>
      </c>
      <c r="G160" s="374">
        <v>42186</v>
      </c>
      <c r="H160" s="345">
        <v>50</v>
      </c>
      <c r="I160" s="346">
        <v>38.4</v>
      </c>
      <c r="J160" s="345">
        <v>0.04</v>
      </c>
      <c r="K160" s="346">
        <f>H160*I160-J160</f>
        <v>1919.96</v>
      </c>
      <c r="L160" s="347"/>
      <c r="M160" s="346"/>
      <c r="N160" s="345"/>
      <c r="O160" s="345"/>
    </row>
    <row r="161" spans="1:16" ht="18" customHeight="1" x14ac:dyDescent="0.25">
      <c r="A161" s="343"/>
      <c r="B161" s="344">
        <v>42208</v>
      </c>
      <c r="C161" s="345">
        <v>100</v>
      </c>
      <c r="D161" s="346">
        <v>36</v>
      </c>
      <c r="E161" s="347"/>
      <c r="F161" s="346">
        <f>D161*C161</f>
        <v>3600</v>
      </c>
      <c r="G161" s="374">
        <v>42230</v>
      </c>
      <c r="H161" s="345">
        <v>100</v>
      </c>
      <c r="I161" s="346">
        <v>35.96</v>
      </c>
      <c r="J161" s="345">
        <v>7.0000000000000007E-2</v>
      </c>
      <c r="K161" s="346">
        <f t="shared" ref="K161:K162" si="7">H161*I161-J161</f>
        <v>3595.93</v>
      </c>
      <c r="L161" s="347"/>
      <c r="M161" s="346"/>
      <c r="N161" s="345"/>
      <c r="O161" s="345"/>
    </row>
    <row r="162" spans="1:16" ht="18" customHeight="1" x14ac:dyDescent="0.25">
      <c r="A162" s="343"/>
      <c r="B162" s="344">
        <v>42209</v>
      </c>
      <c r="C162" s="345">
        <v>20</v>
      </c>
      <c r="D162" s="345">
        <f>709.5/20</f>
        <v>35.475000000000001</v>
      </c>
      <c r="E162" s="345"/>
      <c r="F162" s="346">
        <f>D162*C162</f>
        <v>709.5</v>
      </c>
      <c r="G162" s="374">
        <v>42258</v>
      </c>
      <c r="H162" s="345">
        <v>40</v>
      </c>
      <c r="I162" s="346">
        <v>36.65</v>
      </c>
      <c r="J162" s="345">
        <v>0.03</v>
      </c>
      <c r="K162" s="346">
        <f t="shared" si="7"/>
        <v>1465.97</v>
      </c>
      <c r="L162" s="347"/>
      <c r="M162" s="346"/>
      <c r="N162" s="345"/>
      <c r="O162" s="345"/>
    </row>
    <row r="163" spans="1:16" ht="18" customHeight="1" x14ac:dyDescent="0.25">
      <c r="A163" s="343"/>
      <c r="B163" s="344">
        <v>42209</v>
      </c>
      <c r="C163" s="345">
        <v>20</v>
      </c>
      <c r="D163" s="346">
        <v>35.03</v>
      </c>
      <c r="E163" s="347"/>
      <c r="F163" s="346">
        <f>D163*C163</f>
        <v>700.6</v>
      </c>
      <c r="G163" s="374"/>
      <c r="H163" s="345"/>
      <c r="I163" s="346"/>
      <c r="J163" s="345"/>
      <c r="K163" s="346"/>
      <c r="L163" s="347"/>
      <c r="M163" s="346"/>
      <c r="N163" s="345"/>
      <c r="O163" s="345"/>
    </row>
    <row r="164" spans="1:16" ht="18" customHeight="1" x14ac:dyDescent="0.25">
      <c r="A164" s="343"/>
      <c r="B164" s="349"/>
      <c r="C164" s="350">
        <v>190</v>
      </c>
      <c r="D164" s="351"/>
      <c r="E164" s="350"/>
      <c r="F164" s="351">
        <f>SUM(F160:F163)</f>
        <v>6871.1</v>
      </c>
      <c r="G164" s="376"/>
      <c r="H164" s="350">
        <v>190</v>
      </c>
      <c r="I164" s="351"/>
      <c r="J164" s="350"/>
      <c r="K164" s="351">
        <f>SUM(K160:K162)</f>
        <v>6981.86</v>
      </c>
      <c r="L164" s="352"/>
      <c r="M164" s="351"/>
      <c r="N164" s="350">
        <f>K164-F164</f>
        <v>110.75999999999931</v>
      </c>
      <c r="O164" s="353">
        <f>(N164+M164)/F164</f>
        <v>1.6119689714892711E-2</v>
      </c>
      <c r="P164" s="153" t="s">
        <v>140</v>
      </c>
    </row>
    <row r="165" spans="1:16" ht="18" customHeight="1" x14ac:dyDescent="0.25">
      <c r="B165" s="358"/>
      <c r="C165" s="359"/>
      <c r="D165" s="360"/>
      <c r="E165" s="360"/>
      <c r="F165" s="360"/>
      <c r="G165" s="358"/>
      <c r="H165" s="359"/>
      <c r="I165" s="360"/>
      <c r="J165" s="360"/>
      <c r="K165" s="360"/>
      <c r="L165" s="358"/>
      <c r="M165" s="360"/>
      <c r="N165" s="360"/>
      <c r="O165" s="361"/>
    </row>
    <row r="166" spans="1:16" ht="18" customHeight="1" x14ac:dyDescent="0.25">
      <c r="A166" s="343" t="s">
        <v>41</v>
      </c>
      <c r="B166" s="344">
        <v>42184</v>
      </c>
      <c r="C166" s="345">
        <v>10</v>
      </c>
      <c r="D166" s="346">
        <v>66</v>
      </c>
      <c r="E166" s="346"/>
      <c r="F166" s="346">
        <f>C166*D166</f>
        <v>660</v>
      </c>
      <c r="G166" s="344">
        <v>42219</v>
      </c>
      <c r="H166" s="345">
        <v>10</v>
      </c>
      <c r="I166" s="346">
        <v>70.45</v>
      </c>
      <c r="J166" s="346">
        <v>0.01</v>
      </c>
      <c r="K166" s="346">
        <f>H166*I166-J166</f>
        <v>704.49</v>
      </c>
      <c r="L166" s="347"/>
      <c r="M166" s="346"/>
      <c r="N166" s="346"/>
      <c r="O166" s="348"/>
    </row>
    <row r="167" spans="1:16" ht="18" customHeight="1" x14ac:dyDescent="0.25">
      <c r="A167" s="343"/>
      <c r="B167" s="349"/>
      <c r="C167" s="350">
        <f>SUM(C166)</f>
        <v>10</v>
      </c>
      <c r="D167" s="351"/>
      <c r="E167" s="351"/>
      <c r="F167" s="351">
        <f>SUM(F166)</f>
        <v>660</v>
      </c>
      <c r="G167" s="352"/>
      <c r="H167" s="350">
        <f>SUM(H166)</f>
        <v>10</v>
      </c>
      <c r="I167" s="351"/>
      <c r="J167" s="351"/>
      <c r="K167" s="351">
        <f>SUM(K166)</f>
        <v>704.49</v>
      </c>
      <c r="L167" s="352"/>
      <c r="M167" s="351"/>
      <c r="N167" s="351">
        <f>K167-F167</f>
        <v>44.490000000000009</v>
      </c>
      <c r="O167" s="353">
        <f>(N167+M167)/F167</f>
        <v>6.7409090909090918E-2</v>
      </c>
      <c r="P167" s="153" t="s">
        <v>140</v>
      </c>
    </row>
    <row r="168" spans="1:16" ht="18" customHeight="1" x14ac:dyDescent="0.25">
      <c r="B168" s="358"/>
      <c r="C168" s="359"/>
      <c r="D168" s="360"/>
      <c r="E168" s="28"/>
      <c r="F168" s="360"/>
      <c r="G168" s="358"/>
      <c r="H168" s="359"/>
      <c r="I168" s="360"/>
      <c r="K168" s="360"/>
      <c r="L168" s="358"/>
      <c r="M168" s="360"/>
      <c r="N168" s="360"/>
      <c r="O168" s="361"/>
    </row>
    <row r="169" spans="1:16" ht="18" customHeight="1" x14ac:dyDescent="0.25">
      <c r="A169" s="343" t="s">
        <v>46</v>
      </c>
      <c r="B169" s="373">
        <v>42185</v>
      </c>
      <c r="C169" s="369">
        <v>20</v>
      </c>
      <c r="D169" s="370">
        <v>28.2</v>
      </c>
      <c r="E169" s="368"/>
      <c r="F169" s="370">
        <f>C169*D169</f>
        <v>564</v>
      </c>
      <c r="G169" s="373">
        <v>42187</v>
      </c>
      <c r="H169" s="369">
        <v>20</v>
      </c>
      <c r="I169" s="370">
        <v>28.75</v>
      </c>
      <c r="J169" s="369">
        <v>0.01</v>
      </c>
      <c r="K169" s="370">
        <f>H169*I169-J169</f>
        <v>574.99</v>
      </c>
      <c r="L169" s="368"/>
      <c r="M169" s="370"/>
      <c r="N169" s="370"/>
      <c r="O169" s="371"/>
    </row>
    <row r="170" spans="1:16" ht="18" customHeight="1" x14ac:dyDescent="0.25">
      <c r="A170" s="362"/>
      <c r="B170" s="366"/>
      <c r="C170" s="364">
        <f>SUM(C169)</f>
        <v>20</v>
      </c>
      <c r="D170" s="365"/>
      <c r="E170" s="366"/>
      <c r="F170" s="365">
        <f>SUM(F169)</f>
        <v>564</v>
      </c>
      <c r="G170" s="366"/>
      <c r="H170" s="364">
        <f>SUM(H169)</f>
        <v>20</v>
      </c>
      <c r="I170" s="365"/>
      <c r="J170" s="364"/>
      <c r="K170" s="365">
        <f>SUM(K169)</f>
        <v>574.99</v>
      </c>
      <c r="L170" s="366"/>
      <c r="M170" s="365"/>
      <c r="N170" s="365">
        <f>K170-F170</f>
        <v>10.990000000000009</v>
      </c>
      <c r="O170" s="367">
        <f>(N170+M170)/F170</f>
        <v>1.9485815602836895E-2</v>
      </c>
      <c r="P170" s="153" t="s">
        <v>140</v>
      </c>
    </row>
    <row r="171" spans="1:16" ht="18" customHeight="1" x14ac:dyDescent="0.25">
      <c r="B171" s="358"/>
      <c r="C171" s="359"/>
      <c r="D171" s="360"/>
      <c r="E171" s="360"/>
      <c r="F171" s="360"/>
      <c r="G171" s="358"/>
      <c r="H171" s="359"/>
      <c r="I171" s="360"/>
      <c r="J171" s="360"/>
      <c r="K171" s="360"/>
      <c r="L171" s="358"/>
      <c r="M171" s="360"/>
      <c r="N171" s="360"/>
      <c r="O171" s="361"/>
    </row>
    <row r="172" spans="1:16" ht="18" customHeight="1" x14ac:dyDescent="0.25">
      <c r="A172" s="343" t="s">
        <v>28</v>
      </c>
      <c r="B172" s="344">
        <v>42164</v>
      </c>
      <c r="C172" s="345">
        <v>20</v>
      </c>
      <c r="D172" s="346">
        <v>29.9</v>
      </c>
      <c r="E172" s="346"/>
      <c r="F172" s="346">
        <f>C172*D172</f>
        <v>598</v>
      </c>
      <c r="G172" s="344">
        <v>42187</v>
      </c>
      <c r="H172" s="345">
        <v>40</v>
      </c>
      <c r="I172" s="346">
        <v>30.4</v>
      </c>
      <c r="J172" s="346">
        <v>0.02</v>
      </c>
      <c r="K172" s="346">
        <f>H172*I172-J172</f>
        <v>1215.98</v>
      </c>
      <c r="L172" s="347"/>
      <c r="M172" s="346"/>
      <c r="N172" s="346"/>
      <c r="O172" s="348"/>
    </row>
    <row r="173" spans="1:16" ht="18" customHeight="1" x14ac:dyDescent="0.25">
      <c r="A173" s="343"/>
      <c r="B173" s="344">
        <v>42166</v>
      </c>
      <c r="C173" s="345">
        <v>20</v>
      </c>
      <c r="D173" s="346">
        <v>29.3</v>
      </c>
      <c r="E173" s="346"/>
      <c r="F173" s="346">
        <f>C173*D173</f>
        <v>586</v>
      </c>
      <c r="G173" s="347"/>
      <c r="H173" s="345"/>
      <c r="I173" s="346"/>
      <c r="J173" s="345"/>
      <c r="K173" s="346"/>
      <c r="L173" s="347"/>
      <c r="M173" s="346"/>
      <c r="N173" s="346"/>
      <c r="O173" s="348"/>
    </row>
    <row r="174" spans="1:16" ht="18" customHeight="1" x14ac:dyDescent="0.25">
      <c r="A174" s="343"/>
      <c r="B174" s="349"/>
      <c r="C174" s="350">
        <f>SUM(C172:C173)</f>
        <v>40</v>
      </c>
      <c r="D174" s="351"/>
      <c r="E174" s="351"/>
      <c r="F174" s="351">
        <f>SUM(F172:F173)</f>
        <v>1184</v>
      </c>
      <c r="G174" s="352"/>
      <c r="H174" s="350">
        <f>SUM(H172:H173)</f>
        <v>40</v>
      </c>
      <c r="I174" s="351"/>
      <c r="J174" s="351"/>
      <c r="K174" s="351">
        <f>SUM(K172:K173)</f>
        <v>1215.98</v>
      </c>
      <c r="L174" s="352"/>
      <c r="M174" s="351"/>
      <c r="N174" s="351">
        <f>K174-F174</f>
        <v>31.980000000000018</v>
      </c>
      <c r="O174" s="353">
        <f>(N174+M174)/F174</f>
        <v>2.7010135135135151E-2</v>
      </c>
      <c r="P174" s="153" t="s">
        <v>140</v>
      </c>
    </row>
    <row r="175" spans="1:16" ht="18" customHeight="1" x14ac:dyDescent="0.25">
      <c r="B175" s="372"/>
      <c r="C175" s="359"/>
      <c r="D175" s="360"/>
      <c r="E175" s="359"/>
      <c r="F175" s="360"/>
      <c r="G175" s="358"/>
      <c r="H175" s="359"/>
      <c r="I175" s="360"/>
      <c r="J175" s="359"/>
      <c r="K175" s="360"/>
      <c r="L175" s="358"/>
      <c r="M175" s="360"/>
      <c r="N175" s="358"/>
      <c r="O175" s="358"/>
      <c r="P175" s="153"/>
    </row>
    <row r="176" spans="1:16" ht="18" customHeight="1" x14ac:dyDescent="0.25">
      <c r="A176" s="343" t="s">
        <v>44</v>
      </c>
      <c r="B176" s="344">
        <v>42185</v>
      </c>
      <c r="C176" s="345">
        <v>10</v>
      </c>
      <c r="D176" s="346">
        <v>71.2</v>
      </c>
      <c r="E176" s="345"/>
      <c r="F176" s="346">
        <f>C176*D176</f>
        <v>712</v>
      </c>
      <c r="G176" s="344">
        <v>42228</v>
      </c>
      <c r="H176" s="345">
        <v>10</v>
      </c>
      <c r="I176" s="346">
        <v>75.5</v>
      </c>
      <c r="J176" s="345">
        <v>0.01</v>
      </c>
      <c r="K176" s="346">
        <f>H176*I176-J176</f>
        <v>754.99</v>
      </c>
      <c r="L176" s="344">
        <v>42277</v>
      </c>
      <c r="M176" s="346">
        <v>2.83</v>
      </c>
      <c r="N176" s="347"/>
      <c r="O176" s="347"/>
      <c r="P176" s="153"/>
    </row>
    <row r="177" spans="1:16" ht="18" customHeight="1" x14ac:dyDescent="0.25">
      <c r="A177" s="343"/>
      <c r="B177" s="344">
        <v>42220</v>
      </c>
      <c r="C177" s="345">
        <v>5</v>
      </c>
      <c r="D177" s="346">
        <v>70.650000000000006</v>
      </c>
      <c r="E177" s="346"/>
      <c r="F177" s="346">
        <f>C177*D177</f>
        <v>353.25</v>
      </c>
      <c r="G177" s="344">
        <v>42283</v>
      </c>
      <c r="H177" s="345">
        <v>5</v>
      </c>
      <c r="I177" s="346">
        <v>71.25</v>
      </c>
      <c r="J177" s="345">
        <v>0.01</v>
      </c>
      <c r="K177" s="346">
        <f>H177*I177-J177</f>
        <v>356.24</v>
      </c>
      <c r="L177" s="347"/>
      <c r="M177" s="345"/>
      <c r="N177" s="347"/>
      <c r="O177" s="347"/>
      <c r="P177" s="153"/>
    </row>
    <row r="178" spans="1:16" ht="18" customHeight="1" x14ac:dyDescent="0.25">
      <c r="A178" s="343"/>
      <c r="B178" s="352"/>
      <c r="C178" s="350">
        <f>SUM(C176:C177)</f>
        <v>15</v>
      </c>
      <c r="D178" s="351"/>
      <c r="E178" s="351"/>
      <c r="F178" s="351">
        <f>SUM(F176:F177)</f>
        <v>1065.25</v>
      </c>
      <c r="G178" s="352"/>
      <c r="H178" s="350">
        <f>SUM(H176:H177)</f>
        <v>15</v>
      </c>
      <c r="I178" s="351"/>
      <c r="J178" s="351"/>
      <c r="K178" s="351">
        <f>SUM(K176:K177)</f>
        <v>1111.23</v>
      </c>
      <c r="L178" s="377"/>
      <c r="M178" s="351">
        <f>SUM(M176:M177)</f>
        <v>2.83</v>
      </c>
      <c r="N178" s="351">
        <f>K178-F178</f>
        <v>45.980000000000018</v>
      </c>
      <c r="O178" s="378">
        <f>(N178+M178)/F178</f>
        <v>4.5820229992959413E-2</v>
      </c>
      <c r="P178" s="153" t="s">
        <v>140</v>
      </c>
    </row>
    <row r="179" spans="1:16" ht="18" customHeight="1" x14ac:dyDescent="0.25">
      <c r="B179" s="358"/>
      <c r="C179" s="359"/>
      <c r="D179" s="360"/>
      <c r="E179" s="28"/>
      <c r="F179" s="360"/>
      <c r="G179" s="358"/>
      <c r="H179" s="359"/>
      <c r="I179" s="360"/>
      <c r="K179" s="360"/>
      <c r="L179" s="358"/>
      <c r="M179" s="360"/>
      <c r="N179" s="360"/>
      <c r="O179" s="361"/>
    </row>
    <row r="180" spans="1:16" ht="18" customHeight="1" x14ac:dyDescent="0.25">
      <c r="A180" s="343" t="s">
        <v>0</v>
      </c>
      <c r="B180" s="344">
        <v>42144</v>
      </c>
      <c r="C180" s="345">
        <v>50</v>
      </c>
      <c r="D180" s="346">
        <v>130.16999999999999</v>
      </c>
      <c r="E180" s="347"/>
      <c r="F180" s="346">
        <f>C180*D180</f>
        <v>6508.4999999999991</v>
      </c>
      <c r="G180" s="344">
        <v>42186</v>
      </c>
      <c r="H180" s="345">
        <v>50</v>
      </c>
      <c r="I180" s="346">
        <v>133.5</v>
      </c>
      <c r="J180" s="345">
        <v>0.12</v>
      </c>
      <c r="K180" s="346">
        <f>H180*I180-J180</f>
        <v>6674.88</v>
      </c>
      <c r="L180" s="344">
        <v>42200</v>
      </c>
      <c r="M180" s="346">
        <v>7.5</v>
      </c>
      <c r="N180" s="345"/>
      <c r="O180" s="345"/>
    </row>
    <row r="181" spans="1:16" ht="18" customHeight="1" x14ac:dyDescent="0.25">
      <c r="A181" s="343"/>
      <c r="B181" s="349"/>
      <c r="C181" s="350">
        <f>SUM(C180)</f>
        <v>50</v>
      </c>
      <c r="D181" s="351"/>
      <c r="E181" s="352"/>
      <c r="F181" s="351">
        <f>SUM(F180)</f>
        <v>6508.4999999999991</v>
      </c>
      <c r="G181" s="352"/>
      <c r="H181" s="350">
        <f>SUM(H180)</f>
        <v>50</v>
      </c>
      <c r="I181" s="351"/>
      <c r="J181" s="350"/>
      <c r="K181" s="351">
        <f>SUM(K180)</f>
        <v>6674.88</v>
      </c>
      <c r="L181" s="352"/>
      <c r="M181" s="351">
        <f>SUM(M180)</f>
        <v>7.5</v>
      </c>
      <c r="N181" s="351">
        <f>K181-F181</f>
        <v>166.38000000000102</v>
      </c>
      <c r="O181" s="353">
        <f>(N181+M181)/F181</f>
        <v>2.6715833141276953E-2</v>
      </c>
      <c r="P181" s="153" t="s">
        <v>140</v>
      </c>
    </row>
    <row r="182" spans="1:16" ht="18" customHeight="1" x14ac:dyDescent="0.25">
      <c r="B182" s="358"/>
      <c r="C182" s="359"/>
      <c r="D182" s="360"/>
      <c r="E182" s="360"/>
      <c r="F182" s="360"/>
      <c r="G182" s="358"/>
      <c r="H182" s="359"/>
      <c r="I182" s="360"/>
      <c r="J182" s="360"/>
      <c r="K182" s="360"/>
      <c r="L182" s="358"/>
      <c r="M182" s="360"/>
      <c r="N182" s="360"/>
      <c r="O182" s="361"/>
    </row>
    <row r="183" spans="1:16" ht="18" customHeight="1" x14ac:dyDescent="0.25">
      <c r="A183" s="343" t="s">
        <v>49</v>
      </c>
      <c r="B183" s="344">
        <v>42186</v>
      </c>
      <c r="C183" s="345">
        <v>100</v>
      </c>
      <c r="D183" s="346">
        <v>27.5</v>
      </c>
      <c r="E183" s="346"/>
      <c r="F183" s="346">
        <f>C183*D183</f>
        <v>2750</v>
      </c>
      <c r="G183" s="344">
        <v>42219</v>
      </c>
      <c r="H183" s="345">
        <v>100</v>
      </c>
      <c r="I183" s="346">
        <v>29.5</v>
      </c>
      <c r="J183" s="345">
        <v>0.05</v>
      </c>
      <c r="K183" s="346">
        <f>H183*I183-J183</f>
        <v>2949.95</v>
      </c>
      <c r="L183" s="344">
        <v>42216</v>
      </c>
      <c r="M183" s="346">
        <v>11</v>
      </c>
      <c r="N183" s="346"/>
      <c r="O183" s="348"/>
    </row>
    <row r="184" spans="1:16" ht="18" customHeight="1" x14ac:dyDescent="0.25">
      <c r="A184" s="343"/>
      <c r="B184" s="349"/>
      <c r="C184" s="350">
        <f>SUM(C183)</f>
        <v>100</v>
      </c>
      <c r="D184" s="351"/>
      <c r="E184" s="352"/>
      <c r="F184" s="351">
        <f>SUM(F183)</f>
        <v>2750</v>
      </c>
      <c r="G184" s="352"/>
      <c r="H184" s="350">
        <f>SUM(H183)</f>
        <v>100</v>
      </c>
      <c r="I184" s="351"/>
      <c r="J184" s="351"/>
      <c r="K184" s="351">
        <f>SUM(K183)</f>
        <v>2949.95</v>
      </c>
      <c r="L184" s="352"/>
      <c r="M184" s="351">
        <v>11</v>
      </c>
      <c r="N184" s="351">
        <f>K184-F184</f>
        <v>199.94999999999982</v>
      </c>
      <c r="O184" s="353">
        <f>(N184+M184)/F184</f>
        <v>7.6709090909090838E-2</v>
      </c>
      <c r="P184" s="153" t="s">
        <v>140</v>
      </c>
    </row>
    <row r="185" spans="1:16" ht="18" customHeight="1" x14ac:dyDescent="0.25">
      <c r="B185" s="358"/>
      <c r="C185" s="359"/>
      <c r="D185" s="360"/>
      <c r="E185" s="28"/>
      <c r="F185" s="360"/>
      <c r="G185" s="358"/>
      <c r="H185" s="359"/>
      <c r="I185" s="360"/>
      <c r="K185" s="360"/>
      <c r="L185" s="358"/>
      <c r="M185" s="360"/>
      <c r="N185" s="360"/>
      <c r="O185" s="359"/>
    </row>
    <row r="186" spans="1:16" ht="18" customHeight="1" x14ac:dyDescent="0.25">
      <c r="A186" s="343" t="s">
        <v>13</v>
      </c>
      <c r="B186" s="344">
        <v>42151</v>
      </c>
      <c r="C186" s="345">
        <v>5</v>
      </c>
      <c r="D186" s="346">
        <v>54.2</v>
      </c>
      <c r="E186" s="347"/>
      <c r="F186" s="346">
        <f t="shared" ref="F186:F192" si="8">C186*D186</f>
        <v>271</v>
      </c>
      <c r="G186" s="344">
        <v>42181</v>
      </c>
      <c r="H186" s="345">
        <v>25</v>
      </c>
      <c r="I186" s="346">
        <v>55.4</v>
      </c>
      <c r="J186" s="345">
        <v>0.03</v>
      </c>
      <c r="K186" s="346">
        <f>H186*I186-J186</f>
        <v>1384.97</v>
      </c>
      <c r="L186" s="347"/>
      <c r="M186" s="346"/>
      <c r="N186" s="346"/>
      <c r="O186" s="348"/>
    </row>
    <row r="187" spans="1:16" ht="18" customHeight="1" x14ac:dyDescent="0.25">
      <c r="A187" s="343"/>
      <c r="B187" s="344">
        <v>42152</v>
      </c>
      <c r="C187" s="345">
        <v>20</v>
      </c>
      <c r="D187" s="346">
        <v>53.35</v>
      </c>
      <c r="E187" s="347"/>
      <c r="F187" s="346">
        <f t="shared" si="8"/>
        <v>1067</v>
      </c>
      <c r="G187" s="344">
        <v>42200</v>
      </c>
      <c r="H187" s="345">
        <v>225</v>
      </c>
      <c r="I187" s="346">
        <v>55.56</v>
      </c>
      <c r="J187" s="345">
        <v>0.23</v>
      </c>
      <c r="K187" s="346">
        <f>H187*I187-J187</f>
        <v>12500.77</v>
      </c>
      <c r="L187" s="347"/>
      <c r="M187" s="346"/>
      <c r="N187" s="346"/>
      <c r="O187" s="348"/>
    </row>
    <row r="188" spans="1:16" ht="18" customHeight="1" x14ac:dyDescent="0.25">
      <c r="A188" s="343"/>
      <c r="B188" s="344">
        <v>42153</v>
      </c>
      <c r="C188" s="345">
        <v>25</v>
      </c>
      <c r="D188" s="346">
        <v>52.35</v>
      </c>
      <c r="E188" s="347"/>
      <c r="F188" s="346">
        <f t="shared" si="8"/>
        <v>1308.75</v>
      </c>
      <c r="G188" s="347"/>
      <c r="H188" s="345"/>
      <c r="I188" s="346"/>
      <c r="J188" s="345"/>
      <c r="K188" s="346"/>
      <c r="L188" s="347"/>
      <c r="M188" s="346"/>
      <c r="N188" s="346"/>
      <c r="O188" s="348"/>
    </row>
    <row r="189" spans="1:16" ht="18" customHeight="1" x14ac:dyDescent="0.25">
      <c r="A189" s="343"/>
      <c r="B189" s="344">
        <v>42153</v>
      </c>
      <c r="C189" s="345">
        <v>25</v>
      </c>
      <c r="D189" s="346">
        <v>51.75</v>
      </c>
      <c r="E189" s="347"/>
      <c r="F189" s="346">
        <f t="shared" si="8"/>
        <v>1293.75</v>
      </c>
      <c r="G189" s="347"/>
      <c r="H189" s="345"/>
      <c r="I189" s="346"/>
      <c r="J189" s="345"/>
      <c r="K189" s="346"/>
      <c r="L189" s="347"/>
      <c r="M189" s="346"/>
      <c r="N189" s="346"/>
      <c r="O189" s="348"/>
    </row>
    <row r="190" spans="1:16" ht="18" customHeight="1" x14ac:dyDescent="0.25">
      <c r="A190" s="343"/>
      <c r="B190" s="344">
        <v>42166</v>
      </c>
      <c r="C190" s="345">
        <v>25</v>
      </c>
      <c r="D190" s="346">
        <v>52.1</v>
      </c>
      <c r="E190" s="347"/>
      <c r="F190" s="346">
        <f t="shared" si="8"/>
        <v>1302.5</v>
      </c>
      <c r="G190" s="347"/>
      <c r="H190" s="345"/>
      <c r="I190" s="346"/>
      <c r="J190" s="345"/>
      <c r="K190" s="346"/>
      <c r="L190" s="347"/>
      <c r="M190" s="346"/>
      <c r="N190" s="346"/>
      <c r="O190" s="348"/>
    </row>
    <row r="191" spans="1:16" ht="18" customHeight="1" x14ac:dyDescent="0.25">
      <c r="A191" s="343"/>
      <c r="B191" s="344">
        <v>42166</v>
      </c>
      <c r="C191" s="345">
        <v>50</v>
      </c>
      <c r="D191" s="346">
        <v>51.5</v>
      </c>
      <c r="E191" s="347"/>
      <c r="F191" s="346">
        <f t="shared" si="8"/>
        <v>2575</v>
      </c>
      <c r="G191" s="347"/>
      <c r="H191" s="345"/>
      <c r="I191" s="346"/>
      <c r="J191" s="345"/>
      <c r="K191" s="346"/>
      <c r="L191" s="347"/>
      <c r="M191" s="346"/>
      <c r="N191" s="346"/>
      <c r="O191" s="348"/>
    </row>
    <row r="192" spans="1:16" ht="18" customHeight="1" x14ac:dyDescent="0.25">
      <c r="A192" s="343"/>
      <c r="B192" s="344">
        <v>42166</v>
      </c>
      <c r="C192" s="345">
        <v>100</v>
      </c>
      <c r="D192" s="346">
        <v>51.35</v>
      </c>
      <c r="E192" s="347"/>
      <c r="F192" s="346">
        <f t="shared" si="8"/>
        <v>5135</v>
      </c>
      <c r="G192" s="347"/>
      <c r="H192" s="345"/>
      <c r="I192" s="346"/>
      <c r="J192" s="345"/>
      <c r="K192" s="346"/>
      <c r="L192" s="347"/>
      <c r="M192" s="346"/>
      <c r="N192" s="346"/>
      <c r="O192" s="348"/>
    </row>
    <row r="193" spans="1:16" ht="18" customHeight="1" x14ac:dyDescent="0.25">
      <c r="A193" s="343"/>
      <c r="B193" s="349"/>
      <c r="C193" s="350">
        <f>SUM(C186:C192)</f>
        <v>250</v>
      </c>
      <c r="D193" s="351"/>
      <c r="E193" s="352"/>
      <c r="F193" s="351">
        <f>SUM(F186:F192)</f>
        <v>12953</v>
      </c>
      <c r="G193" s="352"/>
      <c r="H193" s="350">
        <f>SUM(H186:H192)</f>
        <v>250</v>
      </c>
      <c r="I193" s="351"/>
      <c r="J193" s="350"/>
      <c r="K193" s="351">
        <f>SUM(K186:K192)</f>
        <v>13885.74</v>
      </c>
      <c r="L193" s="352"/>
      <c r="M193" s="351"/>
      <c r="N193" s="351">
        <f>K193-F193</f>
        <v>932.73999999999978</v>
      </c>
      <c r="O193" s="353">
        <f>(N193+M193)/F193</f>
        <v>7.2009573071875221E-2</v>
      </c>
      <c r="P193" s="153" t="s">
        <v>140</v>
      </c>
    </row>
    <row r="194" spans="1:16" ht="18" customHeight="1" x14ac:dyDescent="0.25">
      <c r="B194" s="358"/>
      <c r="C194" s="359"/>
      <c r="D194" s="360"/>
      <c r="E194" s="360"/>
      <c r="F194" s="360"/>
      <c r="G194" s="358"/>
      <c r="H194" s="359"/>
      <c r="I194" s="360"/>
      <c r="J194" s="360"/>
      <c r="K194" s="360"/>
      <c r="L194" s="358"/>
      <c r="M194" s="360"/>
      <c r="N194" s="360"/>
      <c r="O194" s="361"/>
    </row>
    <row r="195" spans="1:16" ht="18" customHeight="1" x14ac:dyDescent="0.25">
      <c r="A195" s="343" t="s">
        <v>20</v>
      </c>
      <c r="B195" s="344">
        <v>42153</v>
      </c>
      <c r="C195" s="345">
        <v>50</v>
      </c>
      <c r="D195" s="346">
        <v>20.99</v>
      </c>
      <c r="E195" s="347"/>
      <c r="F195" s="346">
        <f>C195*D195</f>
        <v>1049.5</v>
      </c>
      <c r="G195" s="344">
        <v>42186</v>
      </c>
      <c r="H195" s="345">
        <v>297</v>
      </c>
      <c r="I195" s="346">
        <v>19.399999999999999</v>
      </c>
      <c r="J195" s="346">
        <v>0.11</v>
      </c>
      <c r="K195" s="346">
        <f>H195*I195-J195</f>
        <v>5761.69</v>
      </c>
      <c r="L195" s="347"/>
      <c r="M195" s="346"/>
      <c r="N195" s="346"/>
      <c r="O195" s="348"/>
    </row>
    <row r="196" spans="1:16" ht="18" customHeight="1" x14ac:dyDescent="0.25">
      <c r="A196" s="343"/>
      <c r="B196" s="344">
        <v>42185</v>
      </c>
      <c r="C196" s="345">
        <v>100</v>
      </c>
      <c r="D196" s="346">
        <v>20.6</v>
      </c>
      <c r="E196" s="346"/>
      <c r="F196" s="346">
        <f>C196*D196</f>
        <v>2060</v>
      </c>
      <c r="G196" s="344">
        <v>42186</v>
      </c>
      <c r="H196" s="345">
        <v>300</v>
      </c>
      <c r="I196" s="346">
        <v>20.28</v>
      </c>
      <c r="J196" s="346">
        <v>0.11</v>
      </c>
      <c r="K196" s="346">
        <f>H196*I196-J196</f>
        <v>6083.89</v>
      </c>
      <c r="L196" s="347"/>
      <c r="M196" s="346"/>
      <c r="N196" s="346"/>
      <c r="O196" s="348"/>
    </row>
    <row r="197" spans="1:16" ht="18" customHeight="1" x14ac:dyDescent="0.25">
      <c r="A197" s="343"/>
      <c r="B197" s="344">
        <v>42186</v>
      </c>
      <c r="C197" s="345">
        <v>150</v>
      </c>
      <c r="D197" s="346">
        <v>19.95</v>
      </c>
      <c r="E197" s="346"/>
      <c r="F197" s="346">
        <f>C197*D197</f>
        <v>2992.5</v>
      </c>
      <c r="G197" s="344">
        <v>42186</v>
      </c>
      <c r="H197" s="345">
        <v>300</v>
      </c>
      <c r="I197" s="346">
        <v>19.75</v>
      </c>
      <c r="J197" s="346">
        <v>0.11</v>
      </c>
      <c r="K197" s="346">
        <f>H197*I197-J197</f>
        <v>5924.89</v>
      </c>
      <c r="L197" s="347"/>
      <c r="M197" s="346"/>
      <c r="N197" s="346"/>
      <c r="O197" s="348"/>
    </row>
    <row r="198" spans="1:16" ht="18" customHeight="1" x14ac:dyDescent="0.25">
      <c r="A198" s="343"/>
      <c r="B198" s="344">
        <v>42186</v>
      </c>
      <c r="C198" s="345">
        <v>300</v>
      </c>
      <c r="D198" s="346">
        <v>19.7</v>
      </c>
      <c r="E198" s="347"/>
      <c r="F198" s="346">
        <f>C198*D198</f>
        <v>5910</v>
      </c>
      <c r="G198" s="347"/>
      <c r="H198" s="345"/>
      <c r="I198" s="346"/>
      <c r="J198" s="346"/>
      <c r="K198" s="346"/>
      <c r="L198" s="347"/>
      <c r="M198" s="346"/>
      <c r="N198" s="346"/>
      <c r="O198" s="348"/>
    </row>
    <row r="199" spans="1:16" ht="18" customHeight="1" x14ac:dyDescent="0.25">
      <c r="A199" s="343"/>
      <c r="B199" s="344">
        <v>42186</v>
      </c>
      <c r="C199" s="345">
        <v>297</v>
      </c>
      <c r="D199" s="346">
        <v>19.13</v>
      </c>
      <c r="E199" s="346"/>
      <c r="F199" s="346">
        <f>C199*D199</f>
        <v>5681.61</v>
      </c>
      <c r="G199" s="347"/>
      <c r="H199" s="345"/>
      <c r="I199" s="346"/>
      <c r="J199" s="346"/>
      <c r="K199" s="346"/>
      <c r="L199" s="347"/>
      <c r="M199" s="346"/>
      <c r="N199" s="346"/>
      <c r="O199" s="348"/>
    </row>
    <row r="200" spans="1:16" ht="18" customHeight="1" x14ac:dyDescent="0.25">
      <c r="A200" s="343"/>
      <c r="B200" s="349"/>
      <c r="C200" s="350">
        <f>SUM(C195:C199)</f>
        <v>897</v>
      </c>
      <c r="D200" s="351"/>
      <c r="E200" s="351"/>
      <c r="F200" s="351">
        <f>SUM(F195:F199)</f>
        <v>17693.61</v>
      </c>
      <c r="G200" s="352"/>
      <c r="H200" s="350">
        <f>SUM(H195:H199)</f>
        <v>897</v>
      </c>
      <c r="I200" s="351"/>
      <c r="J200" s="351"/>
      <c r="K200" s="351">
        <f>SUM(K195:K199)</f>
        <v>17770.47</v>
      </c>
      <c r="L200" s="352"/>
      <c r="M200" s="351"/>
      <c r="N200" s="351">
        <f>K200-F200</f>
        <v>76.860000000000582</v>
      </c>
      <c r="O200" s="353">
        <f>(N200+M200)/F200</f>
        <v>4.3439411177255841E-3</v>
      </c>
      <c r="P200" s="153" t="s">
        <v>140</v>
      </c>
    </row>
    <row r="201" spans="1:16" ht="18" customHeight="1" x14ac:dyDescent="0.25">
      <c r="B201" s="358"/>
      <c r="C201" s="359"/>
      <c r="D201" s="360"/>
      <c r="E201" s="28"/>
      <c r="F201" s="360"/>
      <c r="G201" s="358"/>
      <c r="H201" s="359"/>
      <c r="I201" s="360"/>
      <c r="K201" s="360"/>
      <c r="L201" s="358"/>
      <c r="M201" s="360"/>
      <c r="N201" s="360"/>
      <c r="O201" s="361"/>
    </row>
    <row r="202" spans="1:16" ht="18" customHeight="1" x14ac:dyDescent="0.25">
      <c r="A202" s="343" t="s">
        <v>31</v>
      </c>
      <c r="B202" s="344">
        <v>42165</v>
      </c>
      <c r="C202" s="345">
        <v>1</v>
      </c>
      <c r="D202" s="346">
        <v>73.03</v>
      </c>
      <c r="E202" s="347"/>
      <c r="F202" s="346">
        <f>C202*D202</f>
        <v>73.03</v>
      </c>
      <c r="G202" s="344">
        <v>42195</v>
      </c>
      <c r="H202" s="345">
        <v>1</v>
      </c>
      <c r="I202" s="346">
        <v>73.5</v>
      </c>
      <c r="J202" s="345">
        <v>0.01</v>
      </c>
      <c r="K202" s="346">
        <f>H202*I202-J202</f>
        <v>73.489999999999995</v>
      </c>
      <c r="L202" s="347"/>
      <c r="M202" s="346"/>
      <c r="N202" s="346"/>
      <c r="O202" s="348"/>
    </row>
    <row r="203" spans="1:16" ht="18" customHeight="1" x14ac:dyDescent="0.25">
      <c r="A203" s="343"/>
      <c r="B203" s="349"/>
      <c r="C203" s="350">
        <f>SUM(C202)</f>
        <v>1</v>
      </c>
      <c r="D203" s="351"/>
      <c r="E203" s="352"/>
      <c r="F203" s="351">
        <f>SUM(F202)</f>
        <v>73.03</v>
      </c>
      <c r="G203" s="352"/>
      <c r="H203" s="350">
        <f>SUM(H202)</f>
        <v>1</v>
      </c>
      <c r="I203" s="351"/>
      <c r="J203" s="350"/>
      <c r="K203" s="351">
        <f>SUM(K202)</f>
        <v>73.489999999999995</v>
      </c>
      <c r="L203" s="352"/>
      <c r="M203" s="351"/>
      <c r="N203" s="351">
        <f>K203-F203</f>
        <v>0.45999999999999375</v>
      </c>
      <c r="O203" s="353">
        <f>(N203+M203)/F203</f>
        <v>6.2987813227439919E-3</v>
      </c>
      <c r="P203" s="153" t="s">
        <v>140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137</v>
      </c>
      <c r="N206" s="155">
        <f>SUM(N1:N204)</f>
        <v>-4039.0699999999488</v>
      </c>
    </row>
    <row r="207" spans="1:16" ht="18" customHeight="1" x14ac:dyDescent="0.25">
      <c r="M207" s="29" t="s">
        <v>173</v>
      </c>
      <c r="N207" s="154">
        <f>1003.28+0.19+0.26+0.23+0.08+0.58</f>
        <v>1004.6200000000001</v>
      </c>
    </row>
    <row r="208" spans="1:16" ht="18" customHeight="1" x14ac:dyDescent="0.25">
      <c r="M208" s="29" t="s">
        <v>136</v>
      </c>
      <c r="N208" s="155">
        <f>SUM(ACTIVE!J:J)</f>
        <v>-103875.59199999947</v>
      </c>
    </row>
    <row r="210" spans="13:19" ht="18" customHeight="1" x14ac:dyDescent="0.25">
      <c r="M210" s="29" t="s">
        <v>164</v>
      </c>
      <c r="N210" s="155">
        <f>SUM(N205:N208)</f>
        <v>-106114.48199999941</v>
      </c>
      <c r="P210" s="272"/>
    </row>
    <row r="211" spans="13:19" ht="18" customHeight="1" x14ac:dyDescent="0.25">
      <c r="M211" s="29" t="s">
        <v>165</v>
      </c>
      <c r="N211" s="155">
        <f>Balance!S2</f>
        <v>-106114.51000000001</v>
      </c>
    </row>
    <row r="212" spans="13:19" ht="18" customHeight="1" x14ac:dyDescent="0.25">
      <c r="M212" s="29" t="s">
        <v>267</v>
      </c>
      <c r="N212" s="408">
        <v>0.03</v>
      </c>
      <c r="O212" s="404"/>
      <c r="R212" s="409">
        <v>0.02</v>
      </c>
      <c r="S212" s="410">
        <v>42449</v>
      </c>
    </row>
    <row r="213" spans="13:19" ht="18" customHeight="1" x14ac:dyDescent="0.25">
      <c r="R213" s="409">
        <v>0.01</v>
      </c>
      <c r="S213" s="410">
        <v>42451</v>
      </c>
    </row>
    <row r="214" spans="13:19" ht="18" customHeight="1" x14ac:dyDescent="0.25">
      <c r="M214" s="29" t="s">
        <v>138</v>
      </c>
      <c r="N214" s="272">
        <f>N210-N212-N211</f>
        <v>-1.9999993965029716E-3</v>
      </c>
    </row>
  </sheetData>
  <mergeCells count="3">
    <mergeCell ref="B12:B13"/>
    <mergeCell ref="B14:B15"/>
    <mergeCell ref="B155:B156"/>
  </mergeCells>
  <conditionalFormatting sqref="Q13">
    <cfRule type="expression" dxfId="435" priority="5">
      <formula>#REF!&gt;0</formula>
    </cfRule>
    <cfRule type="expression" dxfId="43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2" activePane="bottomLeft" state="frozen"/>
      <selection pane="bottomLeft" activeCell="N10" sqref="N10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3" bestFit="1" customWidth="1"/>
    <col min="7" max="7" width="10.7109375" style="28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82" t="s">
        <v>163</v>
      </c>
      <c r="G1" s="282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6"/>
      <c r="C2" s="56"/>
      <c r="D2" s="57"/>
      <c r="E2" s="26" t="s">
        <v>10</v>
      </c>
      <c r="F2" s="283">
        <v>9.6300000000000008</v>
      </c>
      <c r="G2" s="283">
        <v>9.6300000000000008</v>
      </c>
      <c r="H2" s="380">
        <v>0</v>
      </c>
      <c r="I2" s="53">
        <v>0</v>
      </c>
      <c r="J2" s="53">
        <v>816.43000000000143</v>
      </c>
      <c r="K2" s="236">
        <v>0</v>
      </c>
      <c r="L2" s="69" t="str">
        <f t="shared" ref="L2:L33" si="0">HYPERLINK("http://finance.yahoo.com/q?s=" &amp; E2, "Link")</f>
        <v>Link</v>
      </c>
      <c r="M2" s="207"/>
      <c r="N2" s="53"/>
      <c r="Q2" s="162"/>
    </row>
    <row r="3" spans="1:17" ht="18.95" customHeight="1" x14ac:dyDescent="0.25">
      <c r="A3" s="55"/>
      <c r="B3" s="55"/>
      <c r="C3" s="56"/>
      <c r="D3" s="57"/>
      <c r="E3" s="26" t="s">
        <v>45</v>
      </c>
      <c r="F3" s="283">
        <v>68.23</v>
      </c>
      <c r="G3" s="283">
        <v>68.23</v>
      </c>
      <c r="H3" s="380">
        <v>0</v>
      </c>
      <c r="I3" s="53">
        <v>0</v>
      </c>
      <c r="J3" s="53">
        <v>523.61999999999898</v>
      </c>
      <c r="K3" s="236">
        <v>0</v>
      </c>
      <c r="L3" s="69" t="str">
        <f t="shared" si="0"/>
        <v>Link</v>
      </c>
      <c r="M3" s="323"/>
      <c r="N3" s="162"/>
    </row>
    <row r="4" spans="1:17" ht="18.95" customHeight="1" x14ac:dyDescent="0.25">
      <c r="A4" s="55"/>
      <c r="B4" s="55"/>
      <c r="C4" s="56"/>
      <c r="D4" s="57"/>
      <c r="E4" s="26" t="s">
        <v>68</v>
      </c>
      <c r="F4" s="283">
        <v>8.77</v>
      </c>
      <c r="G4" s="283">
        <v>8.77</v>
      </c>
      <c r="H4" s="380">
        <v>0</v>
      </c>
      <c r="I4" s="53">
        <v>0</v>
      </c>
      <c r="J4" s="53">
        <v>37</v>
      </c>
      <c r="K4" s="236">
        <v>0</v>
      </c>
      <c r="L4" s="69" t="str">
        <f t="shared" si="0"/>
        <v>Link</v>
      </c>
      <c r="M4" s="207"/>
      <c r="N4" s="53"/>
      <c r="O4" s="53"/>
      <c r="P4" s="53"/>
      <c r="Q4" s="162"/>
    </row>
    <row r="5" spans="1:17" ht="18.95" customHeight="1" x14ac:dyDescent="0.25">
      <c r="A5" s="55"/>
      <c r="B5" s="55"/>
      <c r="C5" s="56"/>
      <c r="D5" s="57"/>
      <c r="E5" s="26" t="s">
        <v>33</v>
      </c>
      <c r="F5" s="283">
        <v>157.80000000000001</v>
      </c>
      <c r="G5" s="283">
        <v>157.80000000000001</v>
      </c>
      <c r="H5" s="380">
        <v>0</v>
      </c>
      <c r="I5" s="53">
        <v>0</v>
      </c>
      <c r="J5" s="53">
        <v>780.73999999999796</v>
      </c>
      <c r="K5" s="236">
        <v>0</v>
      </c>
      <c r="L5" s="69" t="str">
        <f t="shared" si="0"/>
        <v>Link</v>
      </c>
      <c r="M5" s="176" t="s">
        <v>178</v>
      </c>
      <c r="N5" s="53"/>
      <c r="Q5" s="162"/>
    </row>
    <row r="6" spans="1:17" ht="18.95" customHeight="1" x14ac:dyDescent="0.25">
      <c r="A6" s="55"/>
      <c r="B6" s="55"/>
      <c r="C6" s="56"/>
      <c r="D6" s="57"/>
      <c r="E6" s="26" t="s">
        <v>62</v>
      </c>
      <c r="F6" s="283">
        <v>260.54000000000002</v>
      </c>
      <c r="G6" s="283">
        <v>225.80199999999996</v>
      </c>
      <c r="H6" s="380">
        <v>5</v>
      </c>
      <c r="I6" s="53">
        <v>1129.0099999999998</v>
      </c>
      <c r="J6" s="53">
        <v>1547.340000000009</v>
      </c>
      <c r="K6" s="236">
        <v>0.15384274718558766</v>
      </c>
      <c r="L6" s="69" t="str">
        <f t="shared" si="0"/>
        <v>Link</v>
      </c>
      <c r="M6" s="175"/>
      <c r="N6" s="68"/>
      <c r="O6" s="68"/>
      <c r="Q6" s="179"/>
    </row>
    <row r="7" spans="1:17" ht="18.95" customHeight="1" x14ac:dyDescent="0.25">
      <c r="A7" s="55"/>
      <c r="B7" s="55"/>
      <c r="C7" s="55"/>
      <c r="D7" s="57"/>
      <c r="E7" s="26" t="s">
        <v>8</v>
      </c>
      <c r="F7" s="283">
        <v>62.29</v>
      </c>
      <c r="G7" s="283">
        <v>62.29</v>
      </c>
      <c r="H7" s="380">
        <v>0</v>
      </c>
      <c r="I7" s="53">
        <v>0</v>
      </c>
      <c r="J7" s="53">
        <v>121.94999999999982</v>
      </c>
      <c r="K7" s="236">
        <v>0</v>
      </c>
      <c r="L7" s="69" t="str">
        <f t="shared" si="0"/>
        <v>Link</v>
      </c>
      <c r="M7" s="208"/>
      <c r="N7" s="53"/>
      <c r="Q7" s="162"/>
    </row>
    <row r="8" spans="1:17" ht="18.95" customHeight="1" x14ac:dyDescent="0.25">
      <c r="A8" s="55"/>
      <c r="B8" s="55"/>
      <c r="C8" s="56"/>
      <c r="D8" s="57"/>
      <c r="E8" s="26" t="s">
        <v>17</v>
      </c>
      <c r="F8" s="283">
        <v>15.41</v>
      </c>
      <c r="G8" s="283">
        <v>30.137020000000017</v>
      </c>
      <c r="H8" s="380">
        <v>1500</v>
      </c>
      <c r="I8" s="53">
        <v>45205.530000000028</v>
      </c>
      <c r="J8" s="53">
        <v>-22090.530000000028</v>
      </c>
      <c r="K8" s="236">
        <v>-0.48866875357948492</v>
      </c>
      <c r="L8" s="69" t="str">
        <f t="shared" si="0"/>
        <v>Link</v>
      </c>
      <c r="M8" s="208" t="s">
        <v>201</v>
      </c>
      <c r="N8" s="53"/>
      <c r="O8" s="53"/>
      <c r="Q8" s="162"/>
    </row>
    <row r="9" spans="1:17" ht="18.95" customHeight="1" x14ac:dyDescent="0.25">
      <c r="A9" s="169"/>
      <c r="B9" s="55"/>
      <c r="C9" s="56"/>
      <c r="D9" s="57"/>
      <c r="E9" s="26" t="s">
        <v>32</v>
      </c>
      <c r="F9" s="283">
        <v>47.01</v>
      </c>
      <c r="G9" s="283">
        <v>47.01</v>
      </c>
      <c r="H9" s="380">
        <v>0</v>
      </c>
      <c r="I9" s="53">
        <v>0</v>
      </c>
      <c r="J9" s="53">
        <v>205.01999999999998</v>
      </c>
      <c r="K9" s="236">
        <v>0</v>
      </c>
      <c r="L9" s="69" t="str">
        <f t="shared" si="0"/>
        <v>Link</v>
      </c>
      <c r="M9" s="206"/>
      <c r="Q9" s="162"/>
    </row>
    <row r="10" spans="1:17" ht="18.95" customHeight="1" x14ac:dyDescent="0.25">
      <c r="A10" s="56"/>
      <c r="B10" s="56"/>
      <c r="C10" s="56"/>
      <c r="D10" s="57"/>
      <c r="E10" s="26" t="s">
        <v>63</v>
      </c>
      <c r="F10" s="283">
        <v>99.07</v>
      </c>
      <c r="G10" s="283">
        <v>96.787600000000026</v>
      </c>
      <c r="H10" s="380">
        <v>25</v>
      </c>
      <c r="I10" s="53">
        <v>2419.6900000000005</v>
      </c>
      <c r="J10" s="53">
        <v>57.059999999999491</v>
      </c>
      <c r="K10" s="236">
        <v>2.3581533171604281E-2</v>
      </c>
      <c r="L10" s="69" t="str">
        <f t="shared" si="0"/>
        <v>Link</v>
      </c>
      <c r="M10" s="207"/>
      <c r="N10" s="53"/>
      <c r="O10" s="53"/>
      <c r="Q10" s="162"/>
    </row>
    <row r="11" spans="1:17" ht="18.95" customHeight="1" x14ac:dyDescent="0.25">
      <c r="A11" s="55"/>
      <c r="B11" s="55"/>
      <c r="C11" s="56"/>
      <c r="D11" s="57"/>
      <c r="E11" s="26" t="s">
        <v>9</v>
      </c>
      <c r="F11" s="283">
        <v>5.47</v>
      </c>
      <c r="G11" s="283">
        <v>5.47</v>
      </c>
      <c r="H11" s="380">
        <v>0</v>
      </c>
      <c r="I11" s="53">
        <v>0</v>
      </c>
      <c r="J11" s="53">
        <v>434.93000000000029</v>
      </c>
      <c r="K11" s="236">
        <v>0</v>
      </c>
      <c r="L11" s="69" t="str">
        <f t="shared" si="0"/>
        <v>Link</v>
      </c>
      <c r="M11" s="207"/>
      <c r="Q11" s="162"/>
    </row>
    <row r="12" spans="1:17" ht="18.95" customHeight="1" x14ac:dyDescent="0.25">
      <c r="A12" s="55"/>
      <c r="B12" s="55"/>
      <c r="C12" s="56"/>
      <c r="D12" s="57"/>
      <c r="E12" s="26" t="s">
        <v>55</v>
      </c>
      <c r="F12" s="283">
        <v>94.12</v>
      </c>
      <c r="G12" s="283">
        <v>96.408999999999992</v>
      </c>
      <c r="H12" s="380">
        <v>50</v>
      </c>
      <c r="I12" s="53">
        <v>4820.45</v>
      </c>
      <c r="J12" s="53">
        <v>-114.44999999999982</v>
      </c>
      <c r="K12" s="236">
        <v>-2.3742596645541261E-2</v>
      </c>
      <c r="L12" s="69" t="str">
        <f t="shared" si="0"/>
        <v>Link</v>
      </c>
      <c r="M12" s="207"/>
      <c r="Q12" s="162"/>
    </row>
    <row r="13" spans="1:17" ht="18.95" customHeight="1" x14ac:dyDescent="0.25">
      <c r="A13" s="55"/>
      <c r="B13" s="55"/>
      <c r="C13" s="56"/>
      <c r="E13" s="26" t="s">
        <v>206</v>
      </c>
      <c r="F13" s="283">
        <v>64.959999999999994</v>
      </c>
      <c r="G13" s="283">
        <v>64.959999999999994</v>
      </c>
      <c r="H13" s="380">
        <v>0</v>
      </c>
      <c r="I13" s="53">
        <v>0</v>
      </c>
      <c r="J13" s="53">
        <v>49.949999999999818</v>
      </c>
      <c r="K13" s="236">
        <v>0</v>
      </c>
      <c r="L13" s="69" t="str">
        <f t="shared" si="0"/>
        <v>Link</v>
      </c>
      <c r="M13" s="216"/>
      <c r="Q13" s="162"/>
    </row>
    <row r="14" spans="1:17" ht="18.95" customHeight="1" x14ac:dyDescent="0.25">
      <c r="A14" s="55"/>
      <c r="B14" s="55"/>
      <c r="C14" s="56"/>
      <c r="D14" s="57"/>
      <c r="E14" s="26" t="s">
        <v>56</v>
      </c>
      <c r="F14" s="283">
        <v>30.47</v>
      </c>
      <c r="G14" s="283">
        <v>30.47</v>
      </c>
      <c r="H14" s="380">
        <v>0</v>
      </c>
      <c r="I14" s="53">
        <v>0</v>
      </c>
      <c r="J14" s="53">
        <v>36.819999999999709</v>
      </c>
      <c r="K14" s="236">
        <v>0</v>
      </c>
      <c r="L14" s="69" t="str">
        <f t="shared" si="0"/>
        <v>Link</v>
      </c>
      <c r="M14" s="216"/>
      <c r="N14" s="53"/>
      <c r="Q14" s="162"/>
    </row>
    <row r="15" spans="1:17" ht="18.95" customHeight="1" x14ac:dyDescent="0.25">
      <c r="A15" s="56"/>
      <c r="B15" s="56"/>
      <c r="C15" s="56"/>
      <c r="D15" s="57"/>
      <c r="E15" s="26" t="s">
        <v>22</v>
      </c>
      <c r="F15" s="283">
        <v>52.03</v>
      </c>
      <c r="G15" s="283">
        <v>-2.1340000000008148</v>
      </c>
      <c r="H15" s="380">
        <v>50</v>
      </c>
      <c r="I15" s="53">
        <v>-106.70000000004075</v>
      </c>
      <c r="J15" s="53">
        <v>2708.2000000000407</v>
      </c>
      <c r="K15" s="236"/>
      <c r="L15" s="69" t="str">
        <f t="shared" si="0"/>
        <v>Link</v>
      </c>
      <c r="M15" s="207"/>
      <c r="N15" s="53"/>
      <c r="O15" s="53"/>
      <c r="Q15" s="162"/>
    </row>
    <row r="16" spans="1:17" ht="18.95" customHeight="1" x14ac:dyDescent="0.25">
      <c r="A16" s="55"/>
      <c r="B16" s="55"/>
      <c r="C16" s="56"/>
      <c r="D16" s="57"/>
      <c r="E16" s="26" t="s">
        <v>27</v>
      </c>
      <c r="F16" s="283">
        <v>32.450000000000003</v>
      </c>
      <c r="G16" s="283">
        <v>32.450000000000003</v>
      </c>
      <c r="H16" s="380">
        <v>0</v>
      </c>
      <c r="I16" s="53">
        <v>0</v>
      </c>
      <c r="J16" s="53">
        <v>1407.5400000000009</v>
      </c>
      <c r="K16" s="236">
        <v>0</v>
      </c>
      <c r="L16" s="69" t="str">
        <f t="shared" si="0"/>
        <v>Link</v>
      </c>
      <c r="M16" s="216"/>
      <c r="N16" s="293"/>
      <c r="O16" s="68"/>
      <c r="P16" s="53"/>
      <c r="Q16" s="162"/>
    </row>
    <row r="17" spans="1:17" ht="18.95" customHeight="1" x14ac:dyDescent="0.25">
      <c r="A17" s="55"/>
      <c r="B17" s="55"/>
      <c r="C17" s="56"/>
      <c r="E17" s="26" t="s">
        <v>207</v>
      </c>
      <c r="F17" s="283">
        <v>40.97</v>
      </c>
      <c r="G17" s="283">
        <v>40.97</v>
      </c>
      <c r="H17" s="380">
        <v>0</v>
      </c>
      <c r="I17" s="53">
        <v>0</v>
      </c>
      <c r="J17" s="53">
        <v>119.92000000000053</v>
      </c>
      <c r="K17" s="236">
        <v>0</v>
      </c>
      <c r="L17" s="69" t="str">
        <f t="shared" si="0"/>
        <v>Link</v>
      </c>
      <c r="M17" s="323"/>
      <c r="Q17" s="162"/>
    </row>
    <row r="18" spans="1:17" ht="18.95" customHeight="1" x14ac:dyDescent="0.25">
      <c r="A18" s="55"/>
      <c r="B18" s="55"/>
      <c r="C18" s="56"/>
      <c r="D18" s="57"/>
      <c r="E18" s="26" t="s">
        <v>15</v>
      </c>
      <c r="F18" s="283">
        <v>25.78</v>
      </c>
      <c r="G18" s="283">
        <v>25.78</v>
      </c>
      <c r="H18" s="380">
        <v>0</v>
      </c>
      <c r="I18" s="53">
        <v>0</v>
      </c>
      <c r="J18" s="53">
        <v>155.90000000000146</v>
      </c>
      <c r="K18" s="236">
        <v>0</v>
      </c>
      <c r="L18" s="69" t="str">
        <f t="shared" si="0"/>
        <v>Link</v>
      </c>
      <c r="M18" s="413"/>
      <c r="Q18" s="162"/>
    </row>
    <row r="19" spans="1:17" ht="18.95" customHeight="1" x14ac:dyDescent="0.25">
      <c r="A19" s="56"/>
      <c r="B19" s="56"/>
      <c r="C19" s="56"/>
      <c r="D19" s="57"/>
      <c r="E19" s="26" t="s">
        <v>24</v>
      </c>
      <c r="F19" s="283">
        <v>56.97</v>
      </c>
      <c r="G19" s="283">
        <v>56.97</v>
      </c>
      <c r="H19" s="380">
        <v>0</v>
      </c>
      <c r="I19" s="53">
        <v>0</v>
      </c>
      <c r="J19" s="53">
        <v>745.43999999999505</v>
      </c>
      <c r="K19" s="236">
        <v>0</v>
      </c>
      <c r="L19" s="69" t="str">
        <f t="shared" si="0"/>
        <v>Link</v>
      </c>
      <c r="M19" s="206"/>
      <c r="N19" s="68"/>
      <c r="O19" s="68"/>
      <c r="Q19" s="162"/>
    </row>
    <row r="20" spans="1:17" ht="18.95" customHeight="1" x14ac:dyDescent="0.25">
      <c r="A20" s="55"/>
      <c r="B20" s="56"/>
      <c r="C20" s="56"/>
      <c r="D20" s="57"/>
      <c r="E20" s="26" t="s">
        <v>50</v>
      </c>
      <c r="F20" s="283">
        <v>10.56</v>
      </c>
      <c r="G20" s="283">
        <v>17.266316284356215</v>
      </c>
      <c r="H20" s="380">
        <v>9678</v>
      </c>
      <c r="I20" s="53">
        <v>167103.40899999946</v>
      </c>
      <c r="J20" s="53">
        <v>-64903.728999999454</v>
      </c>
      <c r="K20" s="236">
        <v>-0.38840457767082215</v>
      </c>
      <c r="L20" s="69" t="str">
        <f t="shared" si="0"/>
        <v>Link</v>
      </c>
      <c r="M20" s="176"/>
      <c r="N20" s="68"/>
      <c r="O20" s="68"/>
      <c r="Q20" s="179"/>
    </row>
    <row r="21" spans="1:17" ht="18.95" customHeight="1" x14ac:dyDescent="0.25">
      <c r="A21" s="56"/>
      <c r="B21" s="56"/>
      <c r="C21" s="56"/>
      <c r="D21" s="57"/>
      <c r="E21" s="26" t="s">
        <v>34</v>
      </c>
      <c r="F21" s="283">
        <v>11.03</v>
      </c>
      <c r="G21" s="283">
        <v>16.206977756653998</v>
      </c>
      <c r="H21" s="380">
        <v>5260</v>
      </c>
      <c r="I21" s="53">
        <v>85248.703000000038</v>
      </c>
      <c r="J21" s="53">
        <v>-27230.903000000042</v>
      </c>
      <c r="K21" s="236">
        <v>-0.31942894192771504</v>
      </c>
      <c r="L21" s="69" t="str">
        <f t="shared" si="0"/>
        <v>Link</v>
      </c>
      <c r="M21" s="175"/>
      <c r="N21" s="53"/>
      <c r="P21" s="53"/>
      <c r="Q21" s="162"/>
    </row>
    <row r="22" spans="1:17" ht="18.95" customHeight="1" x14ac:dyDescent="0.25">
      <c r="A22" s="55"/>
      <c r="B22" s="55"/>
      <c r="C22" s="56"/>
      <c r="D22" s="57"/>
      <c r="E22" s="26" t="s">
        <v>47</v>
      </c>
      <c r="F22" s="283">
        <v>82.97</v>
      </c>
      <c r="G22" s="283">
        <v>82.97</v>
      </c>
      <c r="H22" s="380">
        <v>0</v>
      </c>
      <c r="I22" s="53">
        <v>0</v>
      </c>
      <c r="J22" s="53">
        <v>-168.6200000000008</v>
      </c>
      <c r="K22" s="236">
        <v>0</v>
      </c>
      <c r="L22" s="69" t="str">
        <f t="shared" si="0"/>
        <v>Link</v>
      </c>
      <c r="M22" s="175"/>
      <c r="P22" s="53"/>
      <c r="Q22" s="162"/>
    </row>
    <row r="23" spans="1:17" ht="18.95" customHeight="1" x14ac:dyDescent="0.25">
      <c r="A23" s="55"/>
      <c r="B23" s="55"/>
      <c r="C23" s="56"/>
      <c r="D23" s="57"/>
      <c r="E23" s="26" t="s">
        <v>209</v>
      </c>
      <c r="F23" s="283">
        <v>45.54</v>
      </c>
      <c r="G23" s="283">
        <v>45.54</v>
      </c>
      <c r="H23" s="380">
        <v>0</v>
      </c>
      <c r="I23" s="53">
        <v>0</v>
      </c>
      <c r="J23" s="53">
        <v>75.019999999999982</v>
      </c>
      <c r="K23" s="236">
        <v>0</v>
      </c>
      <c r="L23" s="69" t="str">
        <f t="shared" si="0"/>
        <v>Link</v>
      </c>
      <c r="M23" s="207"/>
      <c r="N23" s="53"/>
      <c r="Q23" s="162"/>
    </row>
    <row r="24" spans="1:17" ht="18.95" customHeight="1" x14ac:dyDescent="0.25">
      <c r="A24" s="55"/>
      <c r="B24" s="55"/>
      <c r="C24" s="56"/>
      <c r="E24" s="26" t="s">
        <v>35</v>
      </c>
      <c r="F24" s="283">
        <v>24.28</v>
      </c>
      <c r="G24" s="283">
        <v>29.68330769230765</v>
      </c>
      <c r="H24" s="380">
        <v>130</v>
      </c>
      <c r="I24" s="53">
        <v>3858.8299999999945</v>
      </c>
      <c r="J24" s="53">
        <v>-702.42999999999438</v>
      </c>
      <c r="K24" s="236">
        <v>-0.18203185939779554</v>
      </c>
      <c r="L24" s="69" t="str">
        <f t="shared" si="0"/>
        <v>Link</v>
      </c>
      <c r="M24" s="175"/>
      <c r="Q24" s="162"/>
    </row>
    <row r="25" spans="1:17" ht="18.95" customHeight="1" x14ac:dyDescent="0.25">
      <c r="A25" s="66"/>
      <c r="B25" s="67"/>
      <c r="C25" s="66"/>
      <c r="D25" s="57"/>
      <c r="E25" s="26" t="s">
        <v>210</v>
      </c>
      <c r="F25" s="283">
        <v>206.92</v>
      </c>
      <c r="G25" s="283">
        <v>206.92</v>
      </c>
      <c r="H25" s="380">
        <v>0</v>
      </c>
      <c r="I25" s="53">
        <v>0</v>
      </c>
      <c r="J25" s="53">
        <v>160.82999999999993</v>
      </c>
      <c r="K25" s="236">
        <v>0</v>
      </c>
      <c r="L25" s="69" t="str">
        <f t="shared" si="0"/>
        <v>Link</v>
      </c>
      <c r="M25" s="207"/>
      <c r="Q25" s="162"/>
    </row>
    <row r="26" spans="1:17" ht="18.95" customHeight="1" x14ac:dyDescent="0.25">
      <c r="A26" s="55"/>
      <c r="B26" s="55"/>
      <c r="C26" s="56"/>
      <c r="E26" s="26" t="s">
        <v>205</v>
      </c>
      <c r="F26" s="283">
        <v>78.180000000000007</v>
      </c>
      <c r="G26" s="283">
        <v>78.180000000000007</v>
      </c>
      <c r="H26" s="380">
        <v>0</v>
      </c>
      <c r="I26" s="53">
        <v>0</v>
      </c>
      <c r="J26" s="53">
        <v>263.43000000000029</v>
      </c>
      <c r="K26" s="236">
        <v>0</v>
      </c>
      <c r="L26" s="69" t="str">
        <f t="shared" si="0"/>
        <v>Link</v>
      </c>
      <c r="M26" s="207"/>
      <c r="N26" s="53"/>
      <c r="Q26" s="162"/>
    </row>
    <row r="27" spans="1:17" ht="18.95" customHeight="1" x14ac:dyDescent="0.25">
      <c r="A27" s="55"/>
      <c r="B27" s="55"/>
      <c r="C27" s="56"/>
      <c r="D27" s="57"/>
      <c r="E27" s="26" t="s">
        <v>39</v>
      </c>
      <c r="F27" s="283">
        <v>33.67</v>
      </c>
      <c r="G27" s="283">
        <v>33.67</v>
      </c>
      <c r="H27" s="380">
        <v>0</v>
      </c>
      <c r="I27" s="53">
        <v>0</v>
      </c>
      <c r="J27" s="53">
        <v>529.88000000000284</v>
      </c>
      <c r="K27" s="236">
        <v>0</v>
      </c>
      <c r="L27" s="69" t="str">
        <f t="shared" si="0"/>
        <v>Link</v>
      </c>
      <c r="M27" s="206"/>
      <c r="O27" s="391"/>
      <c r="P27" s="391"/>
      <c r="Q27" s="179"/>
    </row>
    <row r="28" spans="1:17" ht="18.95" customHeight="1" x14ac:dyDescent="0.25">
      <c r="A28" s="169"/>
      <c r="B28" s="55"/>
      <c r="C28" s="56"/>
      <c r="D28" s="57"/>
      <c r="E28" s="26" t="s">
        <v>0</v>
      </c>
      <c r="F28" s="283">
        <v>142.66999999999999</v>
      </c>
      <c r="G28" s="283">
        <v>142.66999999999999</v>
      </c>
      <c r="H28" s="380">
        <v>0</v>
      </c>
      <c r="I28" s="53">
        <v>0</v>
      </c>
      <c r="J28" s="53">
        <v>171.47000000000003</v>
      </c>
      <c r="K28" s="236">
        <v>0</v>
      </c>
      <c r="L28" s="69" t="str">
        <f t="shared" si="0"/>
        <v>Link</v>
      </c>
      <c r="M28" s="207"/>
      <c r="N28" s="293"/>
      <c r="O28" s="68"/>
      <c r="Q28" s="162"/>
    </row>
    <row r="29" spans="1:17" ht="18.95" customHeight="1" x14ac:dyDescent="0.25">
      <c r="A29" s="55"/>
      <c r="B29" s="55"/>
      <c r="C29" s="56"/>
      <c r="D29" s="57"/>
      <c r="E29" s="26" t="s">
        <v>51</v>
      </c>
      <c r="F29" s="283">
        <v>129.91999999999999</v>
      </c>
      <c r="G29" s="283">
        <v>129.91999999999999</v>
      </c>
      <c r="H29" s="380">
        <v>0</v>
      </c>
      <c r="I29" s="53">
        <v>0</v>
      </c>
      <c r="J29" s="53">
        <v>176.70000000000073</v>
      </c>
      <c r="K29" s="236">
        <v>0</v>
      </c>
      <c r="L29" s="69" t="str">
        <f t="shared" si="0"/>
        <v>Link</v>
      </c>
      <c r="M29" s="323"/>
      <c r="N29" s="53"/>
      <c r="O29" s="68"/>
      <c r="Q29" s="162"/>
    </row>
    <row r="30" spans="1:17" ht="18.95" customHeight="1" x14ac:dyDescent="0.25">
      <c r="A30" s="55"/>
      <c r="B30" s="55"/>
      <c r="C30" s="56"/>
      <c r="D30" s="57"/>
      <c r="E30" s="26" t="s">
        <v>42</v>
      </c>
      <c r="F30" s="283">
        <v>78.92</v>
      </c>
      <c r="G30" s="283">
        <v>78.92</v>
      </c>
      <c r="H30" s="380">
        <v>0</v>
      </c>
      <c r="I30" s="53">
        <v>0</v>
      </c>
      <c r="J30" s="53">
        <v>128.08999999999833</v>
      </c>
      <c r="K30" s="236">
        <v>0</v>
      </c>
      <c r="L30" s="69" t="str">
        <f t="shared" si="0"/>
        <v>Link</v>
      </c>
      <c r="M30" s="175"/>
      <c r="Q30" s="162"/>
    </row>
    <row r="31" spans="1:17" ht="18.95" customHeight="1" x14ac:dyDescent="0.25">
      <c r="A31" s="55"/>
      <c r="B31" s="55"/>
      <c r="C31" s="56"/>
      <c r="D31" s="57"/>
      <c r="E31" s="26" t="s">
        <v>54</v>
      </c>
      <c r="F31" s="283">
        <v>99.97</v>
      </c>
      <c r="G31" s="283">
        <v>99.97</v>
      </c>
      <c r="H31" s="380">
        <v>0</v>
      </c>
      <c r="I31" s="53">
        <v>0</v>
      </c>
      <c r="J31" s="53">
        <v>114.84999999999991</v>
      </c>
      <c r="K31" s="236">
        <v>0</v>
      </c>
      <c r="L31" s="69" t="str">
        <f t="shared" si="0"/>
        <v>Link</v>
      </c>
      <c r="M31" s="216"/>
      <c r="P31" s="53"/>
      <c r="Q31" s="162"/>
    </row>
    <row r="32" spans="1:17" ht="18.95" customHeight="1" x14ac:dyDescent="0.25">
      <c r="A32" s="55"/>
      <c r="B32" s="56"/>
      <c r="C32" s="56"/>
      <c r="D32" s="57"/>
      <c r="E32" s="26" t="s">
        <v>208</v>
      </c>
      <c r="F32" s="283">
        <v>48.45</v>
      </c>
      <c r="G32" s="283">
        <v>50.125</v>
      </c>
      <c r="H32" s="380">
        <v>40</v>
      </c>
      <c r="I32" s="53">
        <v>2005</v>
      </c>
      <c r="J32" s="53">
        <v>-67</v>
      </c>
      <c r="K32" s="236">
        <v>-3.3416458852867773E-2</v>
      </c>
      <c r="L32" s="69" t="str">
        <f t="shared" si="0"/>
        <v>Link</v>
      </c>
      <c r="M32" s="206"/>
      <c r="N32" s="68"/>
      <c r="O32" s="68"/>
      <c r="Q32" s="162"/>
    </row>
    <row r="33" spans="1:17" ht="18.95" customHeight="1" x14ac:dyDescent="0.25">
      <c r="A33" s="55"/>
      <c r="B33" s="55"/>
      <c r="C33" s="56"/>
      <c r="D33" s="57"/>
      <c r="E33" s="26" t="s">
        <v>53</v>
      </c>
      <c r="F33" s="283">
        <v>52.38</v>
      </c>
      <c r="G33" s="283">
        <v>52.38</v>
      </c>
      <c r="H33" s="380">
        <v>0</v>
      </c>
      <c r="I33" s="53">
        <v>0</v>
      </c>
      <c r="J33" s="53">
        <v>33.940000000000055</v>
      </c>
      <c r="K33" s="236">
        <v>0</v>
      </c>
      <c r="L33" s="69" t="str">
        <f t="shared" si="0"/>
        <v>Link</v>
      </c>
      <c r="M33" s="413"/>
      <c r="N33" s="293"/>
      <c r="O33" s="68"/>
      <c r="Q33" s="162"/>
    </row>
    <row r="34" spans="1:17" ht="18.95" customHeight="1" x14ac:dyDescent="0.25">
      <c r="A34" s="56"/>
      <c r="B34" s="55"/>
      <c r="C34" s="56"/>
      <c r="D34" s="57"/>
      <c r="E34" s="26"/>
      <c r="H34" s="380"/>
      <c r="K34" s="236"/>
      <c r="L34" s="69"/>
      <c r="M34" s="206"/>
      <c r="N34" s="53"/>
      <c r="Q34" s="162"/>
    </row>
    <row r="35" spans="1:17" ht="18.95" customHeight="1" x14ac:dyDescent="0.25">
      <c r="A35" s="55"/>
      <c r="B35" s="55"/>
      <c r="C35" s="56"/>
      <c r="D35" s="57"/>
      <c r="E35" s="26"/>
      <c r="H35" s="380"/>
      <c r="K35" s="236"/>
      <c r="L35" s="69"/>
      <c r="M35" s="216"/>
      <c r="N35" s="68"/>
      <c r="O35" s="68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81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82"/>
      <c r="D37" s="53"/>
      <c r="E37" s="54"/>
      <c r="F37" s="53"/>
      <c r="H37" s="381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82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A2:Q71">
    <sortCondition ref="E1"/>
  </sortState>
  <conditionalFormatting sqref="J2:J14 J16:J34">
    <cfRule type="expression" dxfId="433" priority="45">
      <formula>$J2&lt;0</formula>
    </cfRule>
  </conditionalFormatting>
  <conditionalFormatting sqref="J2:J14 J16:J34">
    <cfRule type="expression" dxfId="432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31" priority="39">
      <formula>E2=0</formula>
    </cfRule>
  </conditionalFormatting>
  <conditionalFormatting sqref="E3">
    <cfRule type="expression" dxfId="430" priority="38">
      <formula>H3=0</formula>
    </cfRule>
  </conditionalFormatting>
  <conditionalFormatting sqref="G2:G14 D35 G16:G34">
    <cfRule type="expression" dxfId="429" priority="37">
      <formula>E2=0</formula>
    </cfRule>
  </conditionalFormatting>
  <conditionalFormatting sqref="Q13">
    <cfRule type="expression" dxfId="428" priority="35">
      <formula>R13=0</formula>
    </cfRule>
  </conditionalFormatting>
  <conditionalFormatting sqref="F2:F14 F16:F34">
    <cfRule type="expression" dxfId="427" priority="34">
      <formula>H2=0</formula>
    </cfRule>
  </conditionalFormatting>
  <conditionalFormatting sqref="P22">
    <cfRule type="expression" dxfId="426" priority="33">
      <formula>R22=0</formula>
    </cfRule>
  </conditionalFormatting>
  <conditionalFormatting sqref="E35 H2:H14 H16:H34">
    <cfRule type="expression" dxfId="425" priority="31">
      <formula>E2=0</formula>
    </cfRule>
  </conditionalFormatting>
  <conditionalFormatting sqref="P19">
    <cfRule type="expression" dxfId="424" priority="30">
      <formula>P19=0</formula>
    </cfRule>
  </conditionalFormatting>
  <conditionalFormatting sqref="Q12">
    <cfRule type="expression" dxfId="423" priority="29">
      <formula>Q12=0</formula>
    </cfRule>
  </conditionalFormatting>
  <conditionalFormatting sqref="O9">
    <cfRule type="expression" dxfId="422" priority="28">
      <formula>O9=0</formula>
    </cfRule>
  </conditionalFormatting>
  <conditionalFormatting sqref="F35:F36 I2:I14 I16:I34">
    <cfRule type="expression" dxfId="421" priority="27">
      <formula>E2=0</formula>
    </cfRule>
  </conditionalFormatting>
  <conditionalFormatting sqref="P18">
    <cfRule type="expression" dxfId="420" priority="26">
      <formula>O18=0</formula>
    </cfRule>
  </conditionalFormatting>
  <conditionalFormatting sqref="Q11">
    <cfRule type="expression" dxfId="419" priority="25">
      <formula>P11=0</formula>
    </cfRule>
  </conditionalFormatting>
  <conditionalFormatting sqref="K39:K71 H35:H38 K2:K34">
    <cfRule type="expression" dxfId="418" priority="24">
      <formula>E2=0</formula>
    </cfRule>
  </conditionalFormatting>
  <conditionalFormatting sqref="K28">
    <cfRule type="expression" dxfId="417" priority="23">
      <formula>H28=0</formula>
    </cfRule>
  </conditionalFormatting>
  <conditionalFormatting sqref="K29">
    <cfRule type="expression" dxfId="416" priority="22">
      <formula>H29=0</formula>
    </cfRule>
  </conditionalFormatting>
  <conditionalFormatting sqref="G29">
    <cfRule type="expression" dxfId="415" priority="19">
      <formula>H29=0</formula>
    </cfRule>
  </conditionalFormatting>
  <conditionalFormatting sqref="E23:E32">
    <cfRule type="expression" dxfId="414" priority="16">
      <formula>H23=0</formula>
    </cfRule>
  </conditionalFormatting>
  <conditionalFormatting sqref="C37">
    <cfRule type="expression" dxfId="413" priority="13">
      <formula>E37=0</formula>
    </cfRule>
  </conditionalFormatting>
  <conditionalFormatting sqref="D36">
    <cfRule type="expression" dxfId="412" priority="11">
      <formula>E36=0</formula>
    </cfRule>
  </conditionalFormatting>
  <conditionalFormatting sqref="E36">
    <cfRule type="expression" dxfId="411" priority="10">
      <formula>E36=0</formula>
    </cfRule>
  </conditionalFormatting>
  <conditionalFormatting sqref="G35:G37">
    <cfRule type="expression" dxfId="410" priority="124">
      <formula>$G35&lt;0</formula>
    </cfRule>
  </conditionalFormatting>
  <conditionalFormatting sqref="G35:G37">
    <cfRule type="expression" dxfId="409" priority="126">
      <formula>$G35&gt;0</formula>
    </cfRule>
  </conditionalFormatting>
  <conditionalFormatting sqref="B6">
    <cfRule type="expression" dxfId="408" priority="131">
      <formula>E35=0</formula>
    </cfRule>
  </conditionalFormatting>
  <conditionalFormatting sqref="C6">
    <cfRule type="expression" dxfId="407" priority="132">
      <formula>E35=0</formula>
    </cfRule>
  </conditionalFormatting>
  <conditionalFormatting sqref="J15">
    <cfRule type="expression" dxfId="406" priority="9">
      <formula>$J15&lt;0</formula>
    </cfRule>
  </conditionalFormatting>
  <conditionalFormatting sqref="J15">
    <cfRule type="expression" dxfId="405" priority="8">
      <formula>$J15&gt;0</formula>
    </cfRule>
  </conditionalFormatting>
  <conditionalFormatting sqref="E15">
    <cfRule type="expression" dxfId="404" priority="6">
      <formula>H15=0</formula>
    </cfRule>
  </conditionalFormatting>
  <conditionalFormatting sqref="G15">
    <cfRule type="expression" dxfId="403" priority="5">
      <formula>H15=0</formula>
    </cfRule>
  </conditionalFormatting>
  <conditionalFormatting sqref="F15">
    <cfRule type="expression" dxfId="402" priority="4">
      <formula>H15=0</formula>
    </cfRule>
  </conditionalFormatting>
  <conditionalFormatting sqref="H15">
    <cfRule type="expression" dxfId="401" priority="3">
      <formula>H15=0</formula>
    </cfRule>
  </conditionalFormatting>
  <conditionalFormatting sqref="I15">
    <cfRule type="expression" dxfId="400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9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C106-H106</f>
        <v>9678</v>
      </c>
      <c r="W2" s="143">
        <v>42460</v>
      </c>
      <c r="X2" s="12">
        <v>10.52</v>
      </c>
      <c r="Y2" s="12">
        <v>11.24</v>
      </c>
      <c r="Z2" s="12">
        <v>10.42</v>
      </c>
      <c r="AA2" s="12">
        <v>11.14</v>
      </c>
      <c r="AB2" s="105">
        <v>40164700</v>
      </c>
      <c r="AC2" s="12">
        <v>11.14</v>
      </c>
      <c r="AD2">
        <f t="shared" ref="AD2:AD14" si="0">Y2-Z2</f>
        <v>0.82000000000000028</v>
      </c>
      <c r="AE2" s="148">
        <f t="shared" ref="AE2:AE14" si="1">AC2/AC3-1</f>
        <v>5.7929724596391452E-2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L3" s="1">
        <v>42439</v>
      </c>
      <c r="M3" s="2">
        <v>483.9</v>
      </c>
      <c r="O3" s="13" t="s">
        <v>58</v>
      </c>
      <c r="Q3" s="255">
        <f>IF(Q2=0, Q4, (F106-K106-M106)/Q2)</f>
        <v>17.266316284356215</v>
      </c>
      <c r="W3" s="143">
        <v>42459</v>
      </c>
      <c r="X3" s="12">
        <v>10.73</v>
      </c>
      <c r="Y3" s="12">
        <v>10.8</v>
      </c>
      <c r="Z3" s="12">
        <v>10.24</v>
      </c>
      <c r="AA3" s="12">
        <v>10.53</v>
      </c>
      <c r="AB3" s="105">
        <v>22269300</v>
      </c>
      <c r="AC3" s="12">
        <v>10.53</v>
      </c>
      <c r="AD3">
        <f t="shared" si="0"/>
        <v>0.5600000000000005</v>
      </c>
      <c r="AE3" s="148">
        <f t="shared" si="1"/>
        <v>1.2499999999999956E-2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10.56</v>
      </c>
      <c r="W4" s="143">
        <v>42458</v>
      </c>
      <c r="X4" s="12">
        <v>9.92</v>
      </c>
      <c r="Y4" s="12">
        <v>10.47</v>
      </c>
      <c r="Z4" s="12">
        <v>9.77</v>
      </c>
      <c r="AA4" s="12">
        <v>10.4</v>
      </c>
      <c r="AB4" s="105">
        <v>23883500</v>
      </c>
      <c r="AC4" s="12">
        <v>10.4</v>
      </c>
      <c r="AD4">
        <f t="shared" si="0"/>
        <v>0.70000000000000107</v>
      </c>
      <c r="AE4" s="148">
        <f t="shared" si="1"/>
        <v>2.3622047244094446E-2</v>
      </c>
      <c r="AJ4" s="265"/>
      <c r="AL4" s="263"/>
      <c r="AO4" s="263"/>
    </row>
    <row r="5" spans="1:41" x14ac:dyDescent="0.25">
      <c r="B5" s="422">
        <v>42187</v>
      </c>
      <c r="C5" s="4">
        <v>500</v>
      </c>
      <c r="D5" s="273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102199.68000000001</v>
      </c>
      <c r="T5" s="75"/>
      <c r="W5" s="143">
        <v>42457</v>
      </c>
      <c r="X5" s="12">
        <v>10.33</v>
      </c>
      <c r="Y5" s="12">
        <v>10.44</v>
      </c>
      <c r="Z5" s="12">
        <v>9.81</v>
      </c>
      <c r="AA5" s="12">
        <v>10.16</v>
      </c>
      <c r="AB5" s="105">
        <v>22577000</v>
      </c>
      <c r="AC5" s="12">
        <v>10.16</v>
      </c>
      <c r="AD5">
        <f t="shared" si="0"/>
        <v>0.62999999999999901</v>
      </c>
      <c r="AE5" s="148">
        <f t="shared" si="1"/>
        <v>-1.2633624878522709E-2</v>
      </c>
    </row>
    <row r="6" spans="1:41" x14ac:dyDescent="0.25">
      <c r="B6" s="422"/>
      <c r="C6" s="4">
        <v>500</v>
      </c>
      <c r="D6" s="273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167103.40899999946</v>
      </c>
      <c r="W6" s="143">
        <v>42453</v>
      </c>
      <c r="X6" s="12">
        <v>9.77</v>
      </c>
      <c r="Y6" s="12">
        <v>10.45</v>
      </c>
      <c r="Z6" s="12">
        <v>9.65</v>
      </c>
      <c r="AA6" s="12">
        <v>10.29</v>
      </c>
      <c r="AB6" s="105">
        <v>28251600</v>
      </c>
      <c r="AC6" s="12">
        <v>10.29</v>
      </c>
      <c r="AD6">
        <f t="shared" si="0"/>
        <v>0.79999999999999893</v>
      </c>
      <c r="AE6" s="148">
        <f t="shared" si="1"/>
        <v>9.8135426889107702E-3</v>
      </c>
    </row>
    <row r="7" spans="1:41" ht="15.75" x14ac:dyDescent="0.25">
      <c r="B7" s="422"/>
      <c r="C7" s="4">
        <v>500</v>
      </c>
      <c r="D7" s="273">
        <v>27.039332999999999</v>
      </c>
      <c r="E7" s="3">
        <v>2</v>
      </c>
      <c r="F7" s="3">
        <f t="shared" si="4"/>
        <v>13519.666499999999</v>
      </c>
      <c r="G7" s="419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K106+M106-F106,Q5-Q6)</f>
        <v>-64903.728999999454</v>
      </c>
      <c r="R7" s="403"/>
      <c r="U7" s="197"/>
      <c r="W7" s="143">
        <v>42452</v>
      </c>
      <c r="X7" s="12">
        <v>11.31</v>
      </c>
      <c r="Y7" s="12">
        <v>11.31</v>
      </c>
      <c r="Z7" s="12">
        <v>10.119999999999999</v>
      </c>
      <c r="AA7" s="12">
        <v>10.19</v>
      </c>
      <c r="AB7" s="105">
        <v>31207700</v>
      </c>
      <c r="AC7" s="12">
        <v>10.19</v>
      </c>
      <c r="AD7">
        <f t="shared" si="0"/>
        <v>1.1900000000000013</v>
      </c>
      <c r="AE7" s="148">
        <f t="shared" si="1"/>
        <v>-9.9027409372237085E-2</v>
      </c>
    </row>
    <row r="8" spans="1:41" x14ac:dyDescent="0.25">
      <c r="B8" s="422"/>
      <c r="C8" s="4">
        <v>500</v>
      </c>
      <c r="D8" s="273">
        <v>27.039332999999999</v>
      </c>
      <c r="E8" s="3">
        <v>3</v>
      </c>
      <c r="F8" s="3">
        <f t="shared" si="4"/>
        <v>13519.666499999999</v>
      </c>
      <c r="G8" s="419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90</v>
      </c>
      <c r="Q8" s="148">
        <f>(Q4-Q3)/Q3</f>
        <v>-0.38840457767082215</v>
      </c>
      <c r="W8" s="143">
        <v>42451</v>
      </c>
      <c r="X8" s="12">
        <v>11.26</v>
      </c>
      <c r="Y8" s="12">
        <v>11.58</v>
      </c>
      <c r="Z8" s="12">
        <v>11.25</v>
      </c>
      <c r="AA8" s="12">
        <v>11.31</v>
      </c>
      <c r="AB8" s="105">
        <v>22893900</v>
      </c>
      <c r="AC8" s="12">
        <v>11.31</v>
      </c>
      <c r="AD8">
        <f t="shared" si="0"/>
        <v>0.33000000000000007</v>
      </c>
      <c r="AE8" s="148">
        <f t="shared" si="1"/>
        <v>-1.0498687664041939E-2</v>
      </c>
    </row>
    <row r="9" spans="1:41" x14ac:dyDescent="0.25">
      <c r="B9" s="422"/>
      <c r="C9" s="4">
        <v>1000</v>
      </c>
      <c r="D9" s="273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2"/>
        <v>15100.819999999998</v>
      </c>
      <c r="W9" s="143">
        <v>42450</v>
      </c>
      <c r="X9" s="12">
        <v>11.47</v>
      </c>
      <c r="Y9" s="12">
        <v>11.84</v>
      </c>
      <c r="Z9" s="12">
        <v>11.26</v>
      </c>
      <c r="AA9" s="12">
        <v>11.43</v>
      </c>
      <c r="AB9" s="105">
        <v>26548400</v>
      </c>
      <c r="AC9" s="12">
        <v>11.43</v>
      </c>
      <c r="AD9">
        <f t="shared" si="0"/>
        <v>0.58000000000000007</v>
      </c>
      <c r="AE9" s="148">
        <f t="shared" si="1"/>
        <v>-1.7196904557179815E-2</v>
      </c>
    </row>
    <row r="10" spans="1:41" ht="15" customHeight="1" x14ac:dyDescent="0.25">
      <c r="B10" s="84">
        <v>42198</v>
      </c>
      <c r="C10" s="4">
        <v>100</v>
      </c>
      <c r="D10" s="273">
        <v>24.77</v>
      </c>
      <c r="E10" s="3">
        <v>0</v>
      </c>
      <c r="F10" s="3">
        <f t="shared" ref="F10:F19" si="5">C10*D10</f>
        <v>2477</v>
      </c>
      <c r="G10" s="421" t="s">
        <v>149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42447</v>
      </c>
      <c r="X10" s="12">
        <v>11.72</v>
      </c>
      <c r="Y10" s="12">
        <v>11.88</v>
      </c>
      <c r="Z10" s="12">
        <v>11.2</v>
      </c>
      <c r="AA10" s="12">
        <v>11.63</v>
      </c>
      <c r="AB10" s="105">
        <v>38975900</v>
      </c>
      <c r="AC10" s="12">
        <v>11.63</v>
      </c>
      <c r="AD10">
        <f t="shared" si="0"/>
        <v>0.68000000000000149</v>
      </c>
      <c r="AE10" s="148">
        <f t="shared" si="1"/>
        <v>1.5720524017467374E-2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5"/>
        <v>1217.5</v>
      </c>
      <c r="G11" s="421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42446</v>
      </c>
      <c r="X11" s="12">
        <v>11.72</v>
      </c>
      <c r="Y11" s="12">
        <v>11.75</v>
      </c>
      <c r="Z11" s="12">
        <v>11.31</v>
      </c>
      <c r="AA11" s="12">
        <v>11.45</v>
      </c>
      <c r="AB11" s="105">
        <v>30734600</v>
      </c>
      <c r="AC11" s="12">
        <v>11.45</v>
      </c>
      <c r="AD11">
        <f t="shared" si="0"/>
        <v>0.4399999999999995</v>
      </c>
      <c r="AE11" s="148">
        <f t="shared" si="1"/>
        <v>-6.0763888888889506E-3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421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42445</v>
      </c>
      <c r="X12" s="12">
        <v>11.59</v>
      </c>
      <c r="Y12" s="12">
        <v>11.83</v>
      </c>
      <c r="Z12" s="12">
        <v>11.09</v>
      </c>
      <c r="AA12" s="12">
        <v>11.52</v>
      </c>
      <c r="AB12" s="105">
        <v>32530200</v>
      </c>
      <c r="AC12" s="12">
        <v>11.52</v>
      </c>
      <c r="AD12">
        <f t="shared" si="0"/>
        <v>0.74000000000000021</v>
      </c>
      <c r="AE12" s="148">
        <f t="shared" si="1"/>
        <v>1.8567639257294433E-2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421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42444</v>
      </c>
      <c r="X13" s="12">
        <v>10.85</v>
      </c>
      <c r="Y13" s="12">
        <v>11.31</v>
      </c>
      <c r="Z13" s="12">
        <v>10.6</v>
      </c>
      <c r="AA13" s="12">
        <v>11.31</v>
      </c>
      <c r="AB13" s="105">
        <v>23865900</v>
      </c>
      <c r="AC13" s="12">
        <v>11.31</v>
      </c>
      <c r="AD13">
        <f t="shared" si="0"/>
        <v>0.71000000000000085</v>
      </c>
      <c r="AE13" s="148">
        <f t="shared" si="1"/>
        <v>1.9837691614066788E-2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421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42443</v>
      </c>
      <c r="X14" s="12">
        <v>10.86</v>
      </c>
      <c r="Y14" s="12">
        <v>11.32</v>
      </c>
      <c r="Z14" s="12">
        <v>10.68</v>
      </c>
      <c r="AA14" s="12">
        <v>11.09</v>
      </c>
      <c r="AB14" s="105">
        <v>28438300</v>
      </c>
      <c r="AC14" s="12">
        <v>11.09</v>
      </c>
      <c r="AD14">
        <f t="shared" si="0"/>
        <v>0.64000000000000057</v>
      </c>
      <c r="AE14" s="148">
        <f t="shared" si="1"/>
        <v>-6.2724014336917877E-3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421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42440</v>
      </c>
      <c r="X15" s="12">
        <v>11.14</v>
      </c>
      <c r="Y15" s="12">
        <v>11.35</v>
      </c>
      <c r="Z15" s="12">
        <v>10.95</v>
      </c>
      <c r="AA15" s="12">
        <v>11.16</v>
      </c>
      <c r="AB15" s="105">
        <v>31812100</v>
      </c>
      <c r="AC15" s="12">
        <v>11.16</v>
      </c>
      <c r="AD15">
        <f>Y15-Z15</f>
        <v>0.40000000000000036</v>
      </c>
      <c r="AE15" s="148">
        <f>AC15/AC16-1</f>
        <v>5.3824362606232246E-2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421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42439</v>
      </c>
      <c r="X16" s="12">
        <v>10.31</v>
      </c>
      <c r="Y16" s="12">
        <v>10.62</v>
      </c>
      <c r="Z16" s="12">
        <v>10.01</v>
      </c>
      <c r="AA16" s="12">
        <v>10.59</v>
      </c>
      <c r="AB16" s="105">
        <v>33980800</v>
      </c>
      <c r="AC16" s="12">
        <v>10.59</v>
      </c>
      <c r="AD16">
        <f t="shared" ref="AD16:AD68" si="7">Y16-Z16</f>
        <v>0.60999999999999943</v>
      </c>
      <c r="AE16" s="148">
        <f t="shared" ref="AE16:AE67" si="8">AC16/AC17-1</f>
        <v>1.0496183206106791E-2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421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42438</v>
      </c>
      <c r="X17" s="12">
        <v>10.51</v>
      </c>
      <c r="Y17" s="12">
        <v>10.68</v>
      </c>
      <c r="Z17" s="12">
        <v>10.08</v>
      </c>
      <c r="AA17" s="12">
        <v>10.48</v>
      </c>
      <c r="AB17" s="105">
        <v>30855500</v>
      </c>
      <c r="AC17" s="12">
        <v>10.48</v>
      </c>
      <c r="AD17">
        <f t="shared" si="7"/>
        <v>0.59999999999999964</v>
      </c>
      <c r="AE17" s="148">
        <f t="shared" si="8"/>
        <v>3.5573122529644285E-2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42437</v>
      </c>
      <c r="X18" s="12">
        <v>10.84</v>
      </c>
      <c r="Y18" s="12">
        <v>10.87</v>
      </c>
      <c r="Z18" s="12">
        <v>9.92</v>
      </c>
      <c r="AA18" s="12">
        <v>10.119999999999999</v>
      </c>
      <c r="AB18" s="105">
        <v>35384100</v>
      </c>
      <c r="AC18" s="12">
        <v>10.119999999999999</v>
      </c>
      <c r="AD18">
        <f t="shared" si="7"/>
        <v>0.94999999999999929</v>
      </c>
      <c r="AE18" s="148">
        <f t="shared" si="8"/>
        <v>-8.2502266545784297E-2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42436</v>
      </c>
      <c r="X19" s="12">
        <v>11.12</v>
      </c>
      <c r="Y19" s="12">
        <v>11.59</v>
      </c>
      <c r="Z19" s="12">
        <v>10.72</v>
      </c>
      <c r="AA19" s="12">
        <v>11.03</v>
      </c>
      <c r="AB19" s="105">
        <v>57377500</v>
      </c>
      <c r="AC19" s="12">
        <v>11.03</v>
      </c>
      <c r="AD19">
        <f t="shared" si="7"/>
        <v>0.86999999999999922</v>
      </c>
      <c r="AE19" s="148">
        <f t="shared" si="8"/>
        <v>2.7272727272726893E-3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42433</v>
      </c>
      <c r="X20" s="12">
        <v>10.36</v>
      </c>
      <c r="Y20" s="12">
        <v>11.48</v>
      </c>
      <c r="Z20" s="12">
        <v>10.08</v>
      </c>
      <c r="AA20" s="12">
        <v>11</v>
      </c>
      <c r="AB20" s="105">
        <v>86914500</v>
      </c>
      <c r="AC20" s="12">
        <v>11</v>
      </c>
      <c r="AD20">
        <f t="shared" si="7"/>
        <v>1.4000000000000004</v>
      </c>
      <c r="AE20" s="148">
        <f t="shared" si="8"/>
        <v>0.10330992978936804</v>
      </c>
    </row>
    <row r="21" spans="1:31" x14ac:dyDescent="0.25">
      <c r="B21" s="84">
        <v>42226</v>
      </c>
      <c r="C21" s="4">
        <v>100</v>
      </c>
      <c r="D21" s="273">
        <v>20.2</v>
      </c>
      <c r="E21" s="3">
        <v>0</v>
      </c>
      <c r="F21" s="3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42432</v>
      </c>
      <c r="X21" s="12">
        <v>9.0299999999999994</v>
      </c>
      <c r="Y21" s="12">
        <v>10</v>
      </c>
      <c r="Z21" s="12">
        <v>8.9700000000000006</v>
      </c>
      <c r="AA21" s="12">
        <v>9.9700000000000006</v>
      </c>
      <c r="AB21" s="105">
        <v>65378700</v>
      </c>
      <c r="AC21" s="12">
        <v>9.9700000000000006</v>
      </c>
      <c r="AD21">
        <f t="shared" si="7"/>
        <v>1.0299999999999994</v>
      </c>
      <c r="AE21" s="148">
        <f t="shared" si="8"/>
        <v>9.5604395604395709E-2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42431</v>
      </c>
      <c r="X22" s="12">
        <v>7.94</v>
      </c>
      <c r="Y22" s="12">
        <v>9.15</v>
      </c>
      <c r="Z22" s="12">
        <v>7.9</v>
      </c>
      <c r="AA22" s="12">
        <v>9.1</v>
      </c>
      <c r="AB22" s="105">
        <v>74464900</v>
      </c>
      <c r="AC22" s="12">
        <v>9.1</v>
      </c>
      <c r="AD22">
        <f t="shared" si="7"/>
        <v>1.25</v>
      </c>
      <c r="AE22" s="148">
        <f t="shared" si="8"/>
        <v>0.14321608040200995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42430</v>
      </c>
      <c r="X23" s="12">
        <v>8.2100000000000009</v>
      </c>
      <c r="Y23" s="12">
        <v>8.2100000000000009</v>
      </c>
      <c r="Z23" s="12">
        <v>7.56</v>
      </c>
      <c r="AA23" s="12">
        <v>7.96</v>
      </c>
      <c r="AB23" s="105">
        <v>273901400</v>
      </c>
      <c r="AC23" s="12">
        <v>7.96</v>
      </c>
      <c r="AD23">
        <f t="shared" si="7"/>
        <v>0.65000000000000124</v>
      </c>
      <c r="AE23" s="148">
        <f t="shared" si="8"/>
        <v>-3.0450669914738215E-2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42429</v>
      </c>
      <c r="X24" s="12">
        <v>8.49</v>
      </c>
      <c r="Y24" s="12">
        <v>8.5299999999999994</v>
      </c>
      <c r="Z24" s="12">
        <v>7.97</v>
      </c>
      <c r="AA24" s="12">
        <v>8.2100000000000009</v>
      </c>
      <c r="AB24" s="105">
        <v>35635000</v>
      </c>
      <c r="AC24" s="12">
        <v>8.2100000000000009</v>
      </c>
      <c r="AD24">
        <f t="shared" si="7"/>
        <v>0.55999999999999961</v>
      </c>
      <c r="AE24" s="148">
        <f t="shared" si="8"/>
        <v>2.2415940224159492E-2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42426</v>
      </c>
      <c r="X25" s="12">
        <v>7.75</v>
      </c>
      <c r="Y25" s="12">
        <v>8.1999999999999993</v>
      </c>
      <c r="Z25" s="12">
        <v>7.59</v>
      </c>
      <c r="AA25" s="12">
        <v>8.0299999999999994</v>
      </c>
      <c r="AB25" s="105">
        <v>36394800</v>
      </c>
      <c r="AC25" s="12">
        <v>8.0299999999999994</v>
      </c>
      <c r="AD25">
        <f t="shared" si="7"/>
        <v>0.60999999999999943</v>
      </c>
      <c r="AE25" s="148">
        <f t="shared" si="8"/>
        <v>8.6603518267929669E-2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42425</v>
      </c>
      <c r="X26" s="12">
        <v>7.25</v>
      </c>
      <c r="Y26" s="12">
        <v>7.43</v>
      </c>
      <c r="Z26" s="12">
        <v>6.96</v>
      </c>
      <c r="AA26" s="12">
        <v>7.39</v>
      </c>
      <c r="AB26" s="105">
        <v>20673100</v>
      </c>
      <c r="AC26" s="12">
        <v>7.39</v>
      </c>
      <c r="AD26">
        <f t="shared" si="7"/>
        <v>0.46999999999999975</v>
      </c>
      <c r="AE26" s="148">
        <f t="shared" si="8"/>
        <v>2.3545706371191022E-2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42424</v>
      </c>
      <c r="X27" s="12">
        <v>6.75</v>
      </c>
      <c r="Y27" s="12">
        <v>7.25</v>
      </c>
      <c r="Z27" s="12">
        <v>6.66</v>
      </c>
      <c r="AA27" s="12">
        <v>7.22</v>
      </c>
      <c r="AB27" s="105">
        <v>18774000</v>
      </c>
      <c r="AC27" s="12">
        <v>7.22</v>
      </c>
      <c r="AD27">
        <f t="shared" si="7"/>
        <v>0.58999999999999986</v>
      </c>
      <c r="AE27" s="148">
        <f t="shared" si="8"/>
        <v>2.7027027027026973E-2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42423</v>
      </c>
      <c r="X28" s="12">
        <v>7.3</v>
      </c>
      <c r="Y28" s="12">
        <v>7.46</v>
      </c>
      <c r="Z28" s="12">
        <v>6.9</v>
      </c>
      <c r="AA28" s="12">
        <v>7.03</v>
      </c>
      <c r="AB28" s="105">
        <v>27981300</v>
      </c>
      <c r="AC28" s="12">
        <v>7.03</v>
      </c>
      <c r="AD28">
        <f t="shared" si="7"/>
        <v>0.55999999999999961</v>
      </c>
      <c r="AE28" s="148">
        <f t="shared" si="8"/>
        <v>-6.1415220293724926E-2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42422</v>
      </c>
      <c r="X29" s="12">
        <v>6.97</v>
      </c>
      <c r="Y29" s="12">
        <v>7.5</v>
      </c>
      <c r="Z29" s="12">
        <v>6.85</v>
      </c>
      <c r="AA29" s="12">
        <v>7.49</v>
      </c>
      <c r="AB29" s="105">
        <v>34528900</v>
      </c>
      <c r="AC29" s="12">
        <v>7.49</v>
      </c>
      <c r="AD29">
        <f t="shared" si="7"/>
        <v>0.65000000000000036</v>
      </c>
      <c r="AE29" s="148">
        <f t="shared" si="8"/>
        <v>0.11292719167904908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42419</v>
      </c>
      <c r="X30" s="12">
        <v>6.85</v>
      </c>
      <c r="Y30" s="12">
        <v>6.88</v>
      </c>
      <c r="Z30" s="12">
        <v>6.52</v>
      </c>
      <c r="AA30" s="12">
        <v>6.73</v>
      </c>
      <c r="AB30" s="105">
        <v>38595300</v>
      </c>
      <c r="AC30" s="12">
        <v>6.73</v>
      </c>
      <c r="AD30">
        <f t="shared" si="7"/>
        <v>0.36000000000000032</v>
      </c>
      <c r="AE30" s="148">
        <f t="shared" si="8"/>
        <v>-2.8860028860028808E-2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42418</v>
      </c>
      <c r="X31" s="12">
        <v>7.6</v>
      </c>
      <c r="Y31" s="12">
        <v>7.62</v>
      </c>
      <c r="Z31" s="12">
        <v>6.7</v>
      </c>
      <c r="AA31" s="12">
        <v>6.93</v>
      </c>
      <c r="AB31" s="105">
        <v>54821400</v>
      </c>
      <c r="AC31" s="12">
        <v>6.93</v>
      </c>
      <c r="AD31">
        <f t="shared" si="7"/>
        <v>0.91999999999999993</v>
      </c>
      <c r="AE31" s="148">
        <f t="shared" si="8"/>
        <v>-6.4777327935222728E-2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42417</v>
      </c>
      <c r="X32" s="12">
        <v>7.67</v>
      </c>
      <c r="Y32" s="12">
        <v>7.72</v>
      </c>
      <c r="Z32" s="12">
        <v>6.75</v>
      </c>
      <c r="AA32" s="12">
        <v>7.41</v>
      </c>
      <c r="AB32" s="105">
        <v>63298300</v>
      </c>
      <c r="AC32" s="12">
        <v>7.41</v>
      </c>
      <c r="AD32">
        <f t="shared" si="7"/>
        <v>0.96999999999999975</v>
      </c>
      <c r="AE32" s="148">
        <f t="shared" si="8"/>
        <v>1.3513513513512265E-3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76">
        <v>42374</v>
      </c>
      <c r="H33" s="92">
        <v>2000</v>
      </c>
      <c r="I33" s="89">
        <v>12.81</v>
      </c>
      <c r="J33" s="47">
        <v>0.47</v>
      </c>
      <c r="K33" s="47">
        <f t="shared" ref="K33:K54" si="11">H33*I33-J33</f>
        <v>25619.53</v>
      </c>
      <c r="W33" s="143">
        <v>42416</v>
      </c>
      <c r="X33" s="12">
        <v>7.76</v>
      </c>
      <c r="Y33" s="12">
        <v>7.84</v>
      </c>
      <c r="Z33" s="12">
        <v>7.18</v>
      </c>
      <c r="AA33" s="12">
        <v>7.4</v>
      </c>
      <c r="AB33" s="105">
        <v>22388300</v>
      </c>
      <c r="AC33" s="12">
        <v>7.4</v>
      </c>
      <c r="AD33">
        <f t="shared" si="7"/>
        <v>0.66000000000000014</v>
      </c>
      <c r="AE33" s="148">
        <f t="shared" si="8"/>
        <v>-1.2016021361815787E-2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42412</v>
      </c>
      <c r="X34" s="12">
        <v>7.22</v>
      </c>
      <c r="Y34" s="12">
        <v>7.66</v>
      </c>
      <c r="Z34" s="12">
        <v>7.05</v>
      </c>
      <c r="AA34" s="12">
        <v>7.49</v>
      </c>
      <c r="AB34" s="105">
        <v>30427700</v>
      </c>
      <c r="AC34" s="12">
        <v>7.49</v>
      </c>
      <c r="AD34">
        <f t="shared" si="7"/>
        <v>0.61000000000000032</v>
      </c>
      <c r="AE34" s="148" t="e">
        <f t="shared" si="8"/>
        <v>#DIV/0!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42412</v>
      </c>
      <c r="X35" s="12" t="s">
        <v>177</v>
      </c>
      <c r="Y35" s="12"/>
      <c r="Z35" s="12"/>
      <c r="AA35" s="12"/>
      <c r="AB35" s="105"/>
      <c r="AC35" s="12"/>
      <c r="AD35">
        <f t="shared" si="7"/>
        <v>0</v>
      </c>
      <c r="AE35" s="148">
        <f t="shared" si="8"/>
        <v>-1</v>
      </c>
    </row>
    <row r="36" spans="2:31" x14ac:dyDescent="0.25">
      <c r="B36" s="1">
        <v>42270</v>
      </c>
      <c r="C36" s="4">
        <v>478</v>
      </c>
      <c r="D36" s="273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42411</v>
      </c>
      <c r="X36" s="12">
        <v>6.92</v>
      </c>
      <c r="Y36" s="12">
        <v>7.3</v>
      </c>
      <c r="Z36" s="12">
        <v>6.52</v>
      </c>
      <c r="AA36" s="12">
        <v>7.06</v>
      </c>
      <c r="AB36" s="105">
        <v>36853000</v>
      </c>
      <c r="AC36" s="12">
        <v>7.01</v>
      </c>
      <c r="AD36">
        <f t="shared" si="7"/>
        <v>0.78000000000000025</v>
      </c>
      <c r="AE36" s="148">
        <f t="shared" si="8"/>
        <v>-9.8870056497175618E-3</v>
      </c>
    </row>
    <row r="37" spans="2:31" x14ac:dyDescent="0.25">
      <c r="B37" s="1">
        <v>42292</v>
      </c>
      <c r="C37" s="7">
        <v>500</v>
      </c>
      <c r="D37" s="89">
        <v>18.55</v>
      </c>
      <c r="E37" s="47">
        <v>0</v>
      </c>
      <c r="F37" s="47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42410</v>
      </c>
      <c r="X37" s="12">
        <v>7.23</v>
      </c>
      <c r="Y37" s="12">
        <v>7.62</v>
      </c>
      <c r="Z37" s="12">
        <v>7.01</v>
      </c>
      <c r="AA37" s="12">
        <v>7.13</v>
      </c>
      <c r="AB37" s="105">
        <v>21711900</v>
      </c>
      <c r="AC37" s="12">
        <v>7.08</v>
      </c>
      <c r="AD37">
        <f t="shared" si="7"/>
        <v>0.61000000000000032</v>
      </c>
      <c r="AE37" s="148">
        <f t="shared" si="8"/>
        <v>-2.2099447513812209E-2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11"/>
        <v>3874.92</v>
      </c>
      <c r="W38" s="143">
        <v>42409</v>
      </c>
      <c r="X38" s="12">
        <v>7.63</v>
      </c>
      <c r="Y38" s="12">
        <v>7.71</v>
      </c>
      <c r="Z38" s="12">
        <v>7.03</v>
      </c>
      <c r="AA38" s="12">
        <v>7.29</v>
      </c>
      <c r="AB38" s="105">
        <v>24990000</v>
      </c>
      <c r="AC38" s="12">
        <v>7.24</v>
      </c>
      <c r="AD38">
        <f t="shared" si="7"/>
        <v>0.67999999999999972</v>
      </c>
      <c r="AE38" s="148">
        <f t="shared" si="8"/>
        <v>-6.7010309278350499E-2</v>
      </c>
    </row>
    <row r="39" spans="2:31" x14ac:dyDescent="0.25">
      <c r="B39" s="1">
        <v>42299</v>
      </c>
      <c r="C39" s="4">
        <v>500</v>
      </c>
      <c r="D39" s="273">
        <v>18.28</v>
      </c>
      <c r="E39" s="3">
        <v>0</v>
      </c>
      <c r="F39" s="3">
        <f t="shared" si="10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11"/>
        <v>18674.59</v>
      </c>
      <c r="W39" s="143">
        <v>42408</v>
      </c>
      <c r="X39" s="12">
        <v>8.26</v>
      </c>
      <c r="Y39" s="12">
        <v>8.4600000000000009</v>
      </c>
      <c r="Z39" s="12">
        <v>7.63</v>
      </c>
      <c r="AA39" s="12">
        <v>7.82</v>
      </c>
      <c r="AB39" s="105">
        <v>45568000</v>
      </c>
      <c r="AC39" s="12">
        <v>7.76</v>
      </c>
      <c r="AD39">
        <f t="shared" si="7"/>
        <v>0.83000000000000096</v>
      </c>
      <c r="AE39" s="148">
        <f t="shared" si="8"/>
        <v>-7.6190476190476253E-2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11"/>
        <v>7489.84</v>
      </c>
      <c r="W40" s="143">
        <v>42405</v>
      </c>
      <c r="X40" s="12">
        <v>9.07</v>
      </c>
      <c r="Y40" s="12">
        <v>9.1</v>
      </c>
      <c r="Z40" s="12">
        <v>8.34</v>
      </c>
      <c r="AA40" s="12">
        <v>8.4600000000000009</v>
      </c>
      <c r="AB40" s="105">
        <v>29574000</v>
      </c>
      <c r="AC40" s="12">
        <v>8.4</v>
      </c>
      <c r="AD40">
        <f t="shared" si="7"/>
        <v>0.75999999999999979</v>
      </c>
      <c r="AE40" s="148">
        <f t="shared" si="8"/>
        <v>-7.8947368421052544E-2</v>
      </c>
    </row>
    <row r="41" spans="2:31" ht="20.25" thickBot="1" x14ac:dyDescent="0.35">
      <c r="B41" s="270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11"/>
        <v>6929.85</v>
      </c>
      <c r="O41" s="420" t="s">
        <v>78</v>
      </c>
      <c r="P41" s="420"/>
      <c r="W41" s="143">
        <v>42404</v>
      </c>
      <c r="X41" s="12">
        <v>9.5500000000000007</v>
      </c>
      <c r="Y41" s="12">
        <v>10.28</v>
      </c>
      <c r="Z41" s="12">
        <v>9.09</v>
      </c>
      <c r="AA41" s="12">
        <v>9.19</v>
      </c>
      <c r="AB41" s="105">
        <v>33500300</v>
      </c>
      <c r="AC41" s="12">
        <v>9.1199999999999992</v>
      </c>
      <c r="AD41">
        <f t="shared" si="7"/>
        <v>1.1899999999999995</v>
      </c>
      <c r="AE41" s="148">
        <f t="shared" si="8"/>
        <v>-2.4598930481283476E-2</v>
      </c>
    </row>
    <row r="42" spans="2:31" ht="15.75" thickTop="1" x14ac:dyDescent="0.25">
      <c r="B42" s="270"/>
      <c r="C42" s="7">
        <v>340</v>
      </c>
      <c r="D42" s="89">
        <v>17.8</v>
      </c>
      <c r="E42" s="47">
        <v>0</v>
      </c>
      <c r="F42" s="47">
        <f t="shared" si="10"/>
        <v>6052</v>
      </c>
      <c r="G42" s="417" t="s">
        <v>244</v>
      </c>
      <c r="H42" s="92">
        <v>500</v>
      </c>
      <c r="I42" s="89">
        <v>7.73</v>
      </c>
      <c r="J42" s="47">
        <v>0.08</v>
      </c>
      <c r="K42" s="47">
        <f t="shared" si="11"/>
        <v>3864.92</v>
      </c>
      <c r="O42" s="93">
        <v>1.22</v>
      </c>
      <c r="P42" s="93">
        <f t="shared" ref="P42:P46" si="12">O42*$Q$4</f>
        <v>12.8832</v>
      </c>
      <c r="W42" s="143">
        <v>42403</v>
      </c>
      <c r="X42" s="12">
        <v>9.02</v>
      </c>
      <c r="Y42" s="12">
        <v>9.43</v>
      </c>
      <c r="Z42" s="12">
        <v>8.44</v>
      </c>
      <c r="AA42" s="12">
        <v>9.42</v>
      </c>
      <c r="AB42" s="105">
        <v>23844300</v>
      </c>
      <c r="AC42" s="12">
        <v>9.35</v>
      </c>
      <c r="AD42">
        <f t="shared" si="7"/>
        <v>0.99000000000000021</v>
      </c>
      <c r="AE42" s="148">
        <f t="shared" si="8"/>
        <v>7.7188940092165925E-2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417"/>
      <c r="H43" s="92">
        <v>500</v>
      </c>
      <c r="I43" s="89">
        <v>7.96</v>
      </c>
      <c r="J43" s="47">
        <v>0.09</v>
      </c>
      <c r="K43" s="47">
        <f t="shared" si="11"/>
        <v>3979.91</v>
      </c>
      <c r="O43" s="93">
        <v>1.21</v>
      </c>
      <c r="P43" s="93">
        <f t="shared" si="12"/>
        <v>12.7776</v>
      </c>
      <c r="W43" s="143">
        <v>42402</v>
      </c>
      <c r="X43" s="12">
        <v>9.32</v>
      </c>
      <c r="Y43" s="12">
        <v>9.35</v>
      </c>
      <c r="Z43" s="12">
        <v>8.69</v>
      </c>
      <c r="AA43" s="12">
        <v>8.74</v>
      </c>
      <c r="AB43" s="105">
        <v>19959900</v>
      </c>
      <c r="AC43" s="12">
        <v>8.68</v>
      </c>
      <c r="AD43">
        <f t="shared" si="7"/>
        <v>0.66000000000000014</v>
      </c>
      <c r="AE43" s="148">
        <f t="shared" si="8"/>
        <v>-0.10237849017580147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417"/>
      <c r="H44" s="92">
        <v>500</v>
      </c>
      <c r="I44" s="89">
        <v>8.0299999999999994</v>
      </c>
      <c r="J44" s="47">
        <v>0.09</v>
      </c>
      <c r="K44" s="47">
        <f t="shared" si="11"/>
        <v>4014.9099999999994</v>
      </c>
      <c r="M44" s="90"/>
      <c r="O44" s="93">
        <v>1.2</v>
      </c>
      <c r="P44" s="93">
        <f t="shared" si="12"/>
        <v>12.672000000000001</v>
      </c>
      <c r="W44" s="143">
        <v>42401</v>
      </c>
      <c r="X44" s="12">
        <v>9.3800000000000008</v>
      </c>
      <c r="Y44" s="12">
        <v>9.8000000000000007</v>
      </c>
      <c r="Z44" s="12">
        <v>9.2200000000000006</v>
      </c>
      <c r="AA44" s="12">
        <v>9.74</v>
      </c>
      <c r="AB44" s="105">
        <v>17658100</v>
      </c>
      <c r="AC44" s="12">
        <v>9.67</v>
      </c>
      <c r="AD44">
        <f t="shared" si="7"/>
        <v>0.58000000000000007</v>
      </c>
      <c r="AE44" s="148">
        <f t="shared" si="8"/>
        <v>1.0351966873705098E-3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417"/>
      <c r="H45" s="92">
        <v>1500</v>
      </c>
      <c r="I45" s="89">
        <v>8.1</v>
      </c>
      <c r="J45" s="47">
        <v>0.26</v>
      </c>
      <c r="K45" s="47">
        <f t="shared" si="11"/>
        <v>12149.74</v>
      </c>
      <c r="O45" s="93">
        <v>1.19</v>
      </c>
      <c r="P45" s="93">
        <f t="shared" si="12"/>
        <v>12.5664</v>
      </c>
      <c r="W45" s="143">
        <v>42398</v>
      </c>
      <c r="X45" s="12">
        <v>9.2200000000000006</v>
      </c>
      <c r="Y45" s="12">
        <v>9.85</v>
      </c>
      <c r="Z45" s="12">
        <v>9.17</v>
      </c>
      <c r="AA45" s="12">
        <v>9.73</v>
      </c>
      <c r="AB45" s="105">
        <v>20678000</v>
      </c>
      <c r="AC45" s="12">
        <v>9.66</v>
      </c>
      <c r="AD45">
        <f t="shared" si="7"/>
        <v>0.67999999999999972</v>
      </c>
      <c r="AE45" s="148">
        <f t="shared" si="8"/>
        <v>6.0373216245883654E-2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12"/>
        <v>12.460800000000001</v>
      </c>
      <c r="W46" s="143">
        <v>42397</v>
      </c>
      <c r="X46" s="12">
        <v>9.34</v>
      </c>
      <c r="Y46" s="12">
        <v>9.5500000000000007</v>
      </c>
      <c r="Z46" s="12">
        <v>8.84</v>
      </c>
      <c r="AA46" s="12">
        <v>9.17</v>
      </c>
      <c r="AB46" s="105">
        <v>20994400</v>
      </c>
      <c r="AC46" s="12">
        <v>9.11</v>
      </c>
      <c r="AD46">
        <f t="shared" si="7"/>
        <v>0.71000000000000085</v>
      </c>
      <c r="AE46" s="148">
        <f t="shared" si="8"/>
        <v>4.833141542002295E-2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4">O47*$Q$4</f>
        <v>12.3552</v>
      </c>
      <c r="W47" s="143">
        <v>42396</v>
      </c>
      <c r="X47" s="12">
        <v>8.34</v>
      </c>
      <c r="Y47" s="12">
        <v>9.35</v>
      </c>
      <c r="Z47" s="12">
        <v>8.18</v>
      </c>
      <c r="AA47" s="12">
        <v>8.75</v>
      </c>
      <c r="AB47" s="105">
        <v>27289200</v>
      </c>
      <c r="AC47" s="12">
        <v>8.69</v>
      </c>
      <c r="AD47">
        <f t="shared" si="7"/>
        <v>1.17</v>
      </c>
      <c r="AE47" s="148">
        <f t="shared" si="8"/>
        <v>3.5756853396901045E-2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11"/>
        <v>3984.91</v>
      </c>
      <c r="O48" s="93">
        <v>1.1599999999999999</v>
      </c>
      <c r="P48" s="93">
        <f t="shared" si="14"/>
        <v>12.249599999999999</v>
      </c>
      <c r="W48" s="143">
        <v>42395</v>
      </c>
      <c r="X48" s="12">
        <v>8.36</v>
      </c>
      <c r="Y48" s="12">
        <v>8.5</v>
      </c>
      <c r="Z48" s="12">
        <v>7.93</v>
      </c>
      <c r="AA48" s="12">
        <v>8.4499999999999993</v>
      </c>
      <c r="AB48" s="105">
        <v>16346000</v>
      </c>
      <c r="AC48" s="12">
        <v>8.39</v>
      </c>
      <c r="AD48">
        <f t="shared" si="7"/>
        <v>0.57000000000000028</v>
      </c>
      <c r="AE48" s="148">
        <f t="shared" si="8"/>
        <v>3.8366336633663511E-2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11"/>
        <v>3924.91</v>
      </c>
      <c r="O49" s="93">
        <v>1.1499999999999999</v>
      </c>
      <c r="P49" s="93">
        <f t="shared" si="14"/>
        <v>12.144</v>
      </c>
      <c r="W49" s="143">
        <v>42394</v>
      </c>
      <c r="X49" s="12">
        <v>8.75</v>
      </c>
      <c r="Y49" s="12">
        <v>9.19</v>
      </c>
      <c r="Z49" s="12">
        <v>8.1199999999999992</v>
      </c>
      <c r="AA49" s="12">
        <v>8.14</v>
      </c>
      <c r="AB49" s="105">
        <v>19509600</v>
      </c>
      <c r="AC49" s="12">
        <v>8.08</v>
      </c>
      <c r="AD49">
        <f t="shared" si="7"/>
        <v>1.0700000000000003</v>
      </c>
      <c r="AE49" s="148">
        <f t="shared" si="8"/>
        <v>-9.8214285714285809E-2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11"/>
        <v>4014.9099999999994</v>
      </c>
      <c r="L50" s="2"/>
      <c r="O50" s="93">
        <v>1.1399999999999999</v>
      </c>
      <c r="P50" s="93">
        <f t="shared" si="14"/>
        <v>12.038399999999999</v>
      </c>
      <c r="T50" s="144" t="s">
        <v>94</v>
      </c>
      <c r="W50" s="143">
        <v>42391</v>
      </c>
      <c r="X50" s="12">
        <v>10.19</v>
      </c>
      <c r="Y50" s="12">
        <v>10.63</v>
      </c>
      <c r="Z50" s="12">
        <v>8.64</v>
      </c>
      <c r="AA50" s="12">
        <v>9.02</v>
      </c>
      <c r="AB50" s="105">
        <v>38960100</v>
      </c>
      <c r="AC50" s="12">
        <v>8.9600000000000009</v>
      </c>
      <c r="AD50">
        <f t="shared" si="7"/>
        <v>1.9900000000000002</v>
      </c>
      <c r="AE50" s="148">
        <f t="shared" si="8"/>
        <v>2.6345933562428536E-2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11"/>
        <v>4189.91</v>
      </c>
      <c r="L51" s="2"/>
      <c r="O51" s="93">
        <v>1.1299999999999999</v>
      </c>
      <c r="P51" s="93">
        <f t="shared" si="14"/>
        <v>11.9328</v>
      </c>
      <c r="T51" s="145" t="s">
        <v>101</v>
      </c>
      <c r="U51" s="139">
        <v>11.14</v>
      </c>
      <c r="W51" s="143">
        <v>42390</v>
      </c>
      <c r="X51" s="12">
        <v>7.75</v>
      </c>
      <c r="Y51" s="12">
        <v>8.89</v>
      </c>
      <c r="Z51" s="12">
        <v>7.72</v>
      </c>
      <c r="AA51" s="12">
        <v>8.7899999999999991</v>
      </c>
      <c r="AB51" s="105">
        <v>37173900</v>
      </c>
      <c r="AC51" s="12">
        <v>8.73</v>
      </c>
      <c r="AD51">
        <f t="shared" si="7"/>
        <v>1.1700000000000008</v>
      </c>
      <c r="AE51" s="148">
        <f t="shared" si="8"/>
        <v>0.11923076923076925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11"/>
        <v>4289.91</v>
      </c>
      <c r="O52" s="93">
        <v>1.1200000000000001</v>
      </c>
      <c r="P52" s="93">
        <f t="shared" si="14"/>
        <v>11.827200000000001</v>
      </c>
      <c r="T52" s="146" t="s">
        <v>102</v>
      </c>
      <c r="U52" s="140" t="s">
        <v>134</v>
      </c>
      <c r="W52" s="143">
        <v>42389</v>
      </c>
      <c r="X52" s="12">
        <v>7.34</v>
      </c>
      <c r="Y52" s="12">
        <v>8.0399999999999991</v>
      </c>
      <c r="Z52" s="12">
        <v>7.08</v>
      </c>
      <c r="AA52" s="12">
        <v>7.86</v>
      </c>
      <c r="AB52" s="105">
        <v>45468000</v>
      </c>
      <c r="AC52" s="12">
        <v>7.8</v>
      </c>
      <c r="AD52">
        <f t="shared" si="7"/>
        <v>0.95999999999999908</v>
      </c>
      <c r="AE52" s="148">
        <f t="shared" si="8"/>
        <v>2.2280471821756187E-2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G53" s="421" t="s">
        <v>249</v>
      </c>
      <c r="H53" s="92">
        <v>400</v>
      </c>
      <c r="I53" s="89">
        <v>9.09</v>
      </c>
      <c r="J53" s="47">
        <v>0.1</v>
      </c>
      <c r="K53" s="47">
        <f t="shared" si="11"/>
        <v>3635.9</v>
      </c>
      <c r="O53" s="93">
        <v>1.1100000000000001</v>
      </c>
      <c r="P53" s="93">
        <f t="shared" si="14"/>
        <v>11.721600000000002</v>
      </c>
      <c r="T53" s="146" t="s">
        <v>103</v>
      </c>
      <c r="U53" s="140" t="s">
        <v>299</v>
      </c>
      <c r="W53" s="143">
        <v>42388</v>
      </c>
      <c r="X53" s="12">
        <v>8.2100000000000009</v>
      </c>
      <c r="Y53" s="12">
        <v>8.26</v>
      </c>
      <c r="Z53" s="12">
        <v>7.49</v>
      </c>
      <c r="AA53" s="12">
        <v>7.68</v>
      </c>
      <c r="AB53" s="105">
        <v>29537200</v>
      </c>
      <c r="AC53" s="12">
        <v>7.63</v>
      </c>
      <c r="AD53">
        <f t="shared" si="7"/>
        <v>0.76999999999999957</v>
      </c>
      <c r="AE53" s="148">
        <f t="shared" si="8"/>
        <v>-5.5693069306930743E-2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G54" s="421"/>
      <c r="H54" s="92">
        <v>100</v>
      </c>
      <c r="I54" s="89">
        <v>9.09</v>
      </c>
      <c r="J54" s="47">
        <v>0</v>
      </c>
      <c r="K54" s="47">
        <f t="shared" si="11"/>
        <v>909</v>
      </c>
      <c r="O54" s="93">
        <v>1.1000000000000001</v>
      </c>
      <c r="P54" s="93">
        <f>O54*$Q$4</f>
        <v>11.616000000000001</v>
      </c>
      <c r="T54" s="146" t="s">
        <v>104</v>
      </c>
      <c r="U54" s="140" t="s">
        <v>300</v>
      </c>
      <c r="W54" s="143">
        <v>42384</v>
      </c>
      <c r="X54" s="12">
        <v>8.14</v>
      </c>
      <c r="Y54" s="12">
        <v>8.3699999999999992</v>
      </c>
      <c r="Z54" s="12">
        <v>7.71</v>
      </c>
      <c r="AA54" s="12">
        <v>8.14</v>
      </c>
      <c r="AB54" s="105">
        <v>39565500</v>
      </c>
      <c r="AC54" s="12">
        <v>8.08</v>
      </c>
      <c r="AD54">
        <f t="shared" si="7"/>
        <v>0.65999999999999925</v>
      </c>
      <c r="AE54" s="148">
        <f t="shared" si="8"/>
        <v>-0.10321864594894559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G55" s="421"/>
      <c r="H55" s="92">
        <v>500</v>
      </c>
      <c r="I55" s="89">
        <v>8.81</v>
      </c>
      <c r="J55" s="47">
        <v>0.1</v>
      </c>
      <c r="K55" s="47">
        <f t="shared" ref="K55:K70" si="15">H55*I55-J55</f>
        <v>4404.8999999999996</v>
      </c>
      <c r="O55" s="93">
        <v>1.0900000000000001</v>
      </c>
      <c r="P55" s="93">
        <f t="shared" ref="P55:P74" si="16">O55*$Q$4</f>
        <v>11.510400000000001</v>
      </c>
      <c r="T55" s="146" t="s">
        <v>105</v>
      </c>
      <c r="U55" s="140">
        <v>13.63</v>
      </c>
      <c r="W55" s="143">
        <v>42383</v>
      </c>
      <c r="X55" s="12">
        <v>8.6999999999999993</v>
      </c>
      <c r="Y55" s="12">
        <v>9.24</v>
      </c>
      <c r="Z55" s="12">
        <v>8.36</v>
      </c>
      <c r="AA55" s="12">
        <v>9.07</v>
      </c>
      <c r="AB55" s="105">
        <v>33825800</v>
      </c>
      <c r="AC55" s="12">
        <v>9.01</v>
      </c>
      <c r="AD55">
        <f t="shared" si="7"/>
        <v>0.88000000000000078</v>
      </c>
      <c r="AE55" s="148">
        <f t="shared" si="8"/>
        <v>6.25E-2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5"/>
        <v>5789.87</v>
      </c>
      <c r="O56" s="93">
        <v>1.08</v>
      </c>
      <c r="P56" s="93">
        <f t="shared" si="16"/>
        <v>11.404800000000002</v>
      </c>
      <c r="T56" s="146" t="s">
        <v>106</v>
      </c>
      <c r="U56" s="140">
        <v>1.9835400000000001</v>
      </c>
      <c r="W56" s="143">
        <v>42382</v>
      </c>
      <c r="X56" s="12">
        <v>9.4</v>
      </c>
      <c r="Y56" s="12">
        <v>9.64</v>
      </c>
      <c r="Z56" s="12">
        <v>8.44</v>
      </c>
      <c r="AA56" s="12">
        <v>8.5399999999999991</v>
      </c>
      <c r="AB56" s="105">
        <v>26857700</v>
      </c>
      <c r="AC56" s="12">
        <v>8.48</v>
      </c>
      <c r="AD56">
        <f t="shared" si="7"/>
        <v>1.2000000000000011</v>
      </c>
      <c r="AE56" s="148">
        <f t="shared" si="8"/>
        <v>-7.0175438596491113E-2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5"/>
        <v>6269.86</v>
      </c>
      <c r="O57" s="93">
        <v>1.07</v>
      </c>
      <c r="P57" s="93">
        <f t="shared" si="16"/>
        <v>11.299200000000001</v>
      </c>
      <c r="T57" s="146" t="s">
        <v>107</v>
      </c>
      <c r="U57" s="140" t="s">
        <v>301</v>
      </c>
      <c r="W57" s="143">
        <v>42381</v>
      </c>
      <c r="X57" s="12">
        <v>9.6999999999999993</v>
      </c>
      <c r="Y57" s="12">
        <v>9.76</v>
      </c>
      <c r="Z57" s="12">
        <v>8.7100000000000009</v>
      </c>
      <c r="AA57" s="12">
        <v>9.19</v>
      </c>
      <c r="AB57" s="105">
        <v>25506000</v>
      </c>
      <c r="AC57" s="12">
        <v>9.1199999999999992</v>
      </c>
      <c r="AD57">
        <f t="shared" si="7"/>
        <v>1.0499999999999989</v>
      </c>
      <c r="AE57" s="148">
        <f t="shared" si="8"/>
        <v>-4.5026178010471374E-2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5"/>
        <v>4499.8999999999996</v>
      </c>
      <c r="O58" s="93">
        <v>1.06</v>
      </c>
      <c r="P58" s="93">
        <f t="shared" si="16"/>
        <v>11.193600000000002</v>
      </c>
      <c r="T58" s="146"/>
      <c r="U58" s="140"/>
      <c r="W58" s="143">
        <v>42380</v>
      </c>
      <c r="X58" s="12">
        <v>10.4</v>
      </c>
      <c r="Y58" s="12">
        <v>10.41</v>
      </c>
      <c r="Z58" s="12">
        <v>9.3699999999999992</v>
      </c>
      <c r="AA58" s="12">
        <v>9.6199999999999992</v>
      </c>
      <c r="AB58" s="105">
        <v>22275300</v>
      </c>
      <c r="AC58" s="12">
        <v>9.5500000000000007</v>
      </c>
      <c r="AD58">
        <f t="shared" si="7"/>
        <v>1.0400000000000009</v>
      </c>
      <c r="AE58" s="148">
        <f t="shared" si="8"/>
        <v>-7.1011673151750832E-2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5"/>
        <v>17234.62</v>
      </c>
      <c r="O59" s="93">
        <v>1.05</v>
      </c>
      <c r="P59" s="93">
        <f t="shared" si="16"/>
        <v>11.088000000000001</v>
      </c>
      <c r="T59" s="146" t="s">
        <v>108</v>
      </c>
      <c r="U59" s="140" t="s">
        <v>302</v>
      </c>
      <c r="W59" s="143">
        <v>42377</v>
      </c>
      <c r="X59" s="12">
        <v>10.78</v>
      </c>
      <c r="Y59" s="12">
        <v>10.91</v>
      </c>
      <c r="Z59" s="12">
        <v>9.86</v>
      </c>
      <c r="AA59" s="12">
        <v>10.35</v>
      </c>
      <c r="AB59" s="105">
        <v>34056400</v>
      </c>
      <c r="AC59" s="12">
        <v>10.28</v>
      </c>
      <c r="AD59">
        <f t="shared" si="7"/>
        <v>1.0500000000000007</v>
      </c>
      <c r="AE59" s="148">
        <f t="shared" si="8"/>
        <v>-2.9272898961284266E-2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5"/>
        <v>17159.63</v>
      </c>
      <c r="O60" s="93">
        <v>1.04</v>
      </c>
      <c r="P60" s="93">
        <f t="shared" si="16"/>
        <v>10.9824</v>
      </c>
      <c r="T60" s="146" t="s">
        <v>109</v>
      </c>
      <c r="U60" s="140" t="s">
        <v>226</v>
      </c>
      <c r="W60" s="143">
        <v>42376</v>
      </c>
      <c r="X60" s="12">
        <v>10.83</v>
      </c>
      <c r="Y60" s="12">
        <v>11.18</v>
      </c>
      <c r="Z60" s="12">
        <v>10.55</v>
      </c>
      <c r="AA60" s="12">
        <v>10.67</v>
      </c>
      <c r="AB60" s="105">
        <v>20172900</v>
      </c>
      <c r="AC60" s="12">
        <v>10.59</v>
      </c>
      <c r="AD60">
        <f t="shared" si="7"/>
        <v>0.62999999999999901</v>
      </c>
      <c r="AE60" s="148">
        <f t="shared" si="8"/>
        <v>-5.4464285714285632E-2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5"/>
        <v>5742.37</v>
      </c>
      <c r="O61" s="93">
        <v>1.03</v>
      </c>
      <c r="P61" s="93">
        <f t="shared" si="16"/>
        <v>10.876800000000001</v>
      </c>
      <c r="T61" s="146" t="s">
        <v>110</v>
      </c>
      <c r="U61" s="141">
        <v>15200</v>
      </c>
      <c r="W61" s="143">
        <v>42375</v>
      </c>
      <c r="X61" s="12">
        <v>12.25</v>
      </c>
      <c r="Y61" s="12">
        <v>12.27</v>
      </c>
      <c r="Z61" s="12">
        <v>11.14</v>
      </c>
      <c r="AA61" s="12">
        <v>11.28</v>
      </c>
      <c r="AB61" s="105">
        <v>15837500</v>
      </c>
      <c r="AC61" s="12">
        <v>11.2</v>
      </c>
      <c r="AD61">
        <f t="shared" si="7"/>
        <v>1.129999999999999</v>
      </c>
      <c r="AE61" s="148">
        <f t="shared" si="8"/>
        <v>-0.11602209944751385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7">C62*D62+E62</f>
        <v>29795.040000000001</v>
      </c>
      <c r="G62" s="419">
        <v>42447</v>
      </c>
      <c r="H62" s="92">
        <v>650</v>
      </c>
      <c r="I62" s="89">
        <v>11.56</v>
      </c>
      <c r="J62" s="47">
        <v>0.25</v>
      </c>
      <c r="K62" s="47">
        <f t="shared" si="15"/>
        <v>7513.75</v>
      </c>
      <c r="O62" s="93">
        <v>1.02</v>
      </c>
      <c r="P62" s="93">
        <f t="shared" si="16"/>
        <v>10.7712</v>
      </c>
      <c r="T62" s="146" t="s">
        <v>113</v>
      </c>
      <c r="U62" s="141">
        <v>36133300</v>
      </c>
      <c r="W62" s="143">
        <v>42374</v>
      </c>
      <c r="X62" s="12">
        <v>12.79</v>
      </c>
      <c r="Y62" s="12">
        <v>12.86</v>
      </c>
      <c r="Z62" s="12">
        <v>12.33</v>
      </c>
      <c r="AA62" s="12">
        <v>12.76</v>
      </c>
      <c r="AB62" s="105">
        <v>9777000</v>
      </c>
      <c r="AC62" s="12">
        <v>12.67</v>
      </c>
      <c r="AD62">
        <f t="shared" si="7"/>
        <v>0.52999999999999936</v>
      </c>
      <c r="AE62" s="148">
        <f t="shared" si="8"/>
        <v>-4.7132757266300507E-3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7"/>
        <v>32599.999999999996</v>
      </c>
      <c r="G63" s="419"/>
      <c r="H63" s="92">
        <v>350</v>
      </c>
      <c r="I63" s="89">
        <v>11.56</v>
      </c>
      <c r="J63" s="47">
        <v>0</v>
      </c>
      <c r="K63" s="47">
        <f t="shared" si="15"/>
        <v>4046</v>
      </c>
      <c r="O63" s="93">
        <v>1.01</v>
      </c>
      <c r="P63" s="93">
        <f t="shared" si="16"/>
        <v>10.665600000000001</v>
      </c>
      <c r="T63" s="146" t="s">
        <v>111</v>
      </c>
      <c r="U63" s="140" t="s">
        <v>303</v>
      </c>
      <c r="W63" s="143">
        <v>42373</v>
      </c>
      <c r="X63" s="12">
        <v>12.56</v>
      </c>
      <c r="Y63" s="12">
        <v>13</v>
      </c>
      <c r="Z63" s="12">
        <v>12.38</v>
      </c>
      <c r="AA63" s="12">
        <v>12.82</v>
      </c>
      <c r="AB63" s="105">
        <v>12667600</v>
      </c>
      <c r="AC63" s="12">
        <v>12.73</v>
      </c>
      <c r="AD63">
        <f t="shared" si="7"/>
        <v>0.61999999999999922</v>
      </c>
      <c r="AE63" s="148">
        <f t="shared" si="8"/>
        <v>1.8399999999999972E-2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7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5"/>
        <v>11619.75</v>
      </c>
      <c r="O64" s="93">
        <v>1</v>
      </c>
      <c r="P64" s="93">
        <f t="shared" si="16"/>
        <v>10.56</v>
      </c>
      <c r="T64" s="146" t="s">
        <v>114</v>
      </c>
      <c r="U64" s="140" t="s">
        <v>134</v>
      </c>
      <c r="W64" s="143">
        <v>42369</v>
      </c>
      <c r="X64" s="12">
        <v>12.33</v>
      </c>
      <c r="Y64" s="12">
        <v>12.66</v>
      </c>
      <c r="Z64" s="12">
        <v>12.22</v>
      </c>
      <c r="AA64" s="12">
        <v>12.59</v>
      </c>
      <c r="AB64" s="105">
        <v>10141000</v>
      </c>
      <c r="AC64" s="12">
        <v>12.5</v>
      </c>
      <c r="AD64">
        <f t="shared" si="7"/>
        <v>0.4399999999999995</v>
      </c>
      <c r="AE64" s="148">
        <f t="shared" si="8"/>
        <v>1.7087062652563212E-2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7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5"/>
        <v>11449.75</v>
      </c>
      <c r="O65" s="93">
        <v>0.99</v>
      </c>
      <c r="P65" s="93">
        <f t="shared" si="16"/>
        <v>10.4544</v>
      </c>
      <c r="T65" s="146" t="s">
        <v>115</v>
      </c>
      <c r="U65" s="140">
        <v>-3.26</v>
      </c>
      <c r="W65" s="143">
        <v>42368</v>
      </c>
      <c r="X65" s="12">
        <v>12.73</v>
      </c>
      <c r="Y65" s="12">
        <v>13.07</v>
      </c>
      <c r="Z65" s="12">
        <v>12.35</v>
      </c>
      <c r="AA65" s="12">
        <v>12.38</v>
      </c>
      <c r="AB65" s="105">
        <v>9897900</v>
      </c>
      <c r="AC65" s="12">
        <v>12.29</v>
      </c>
      <c r="AD65">
        <f t="shared" si="7"/>
        <v>0.72000000000000064</v>
      </c>
      <c r="AE65" s="148">
        <f t="shared" si="8"/>
        <v>-5.0231839258114364E-2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7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5"/>
        <v>563.99</v>
      </c>
      <c r="O66" s="93">
        <v>0.98</v>
      </c>
      <c r="P66" s="93">
        <f t="shared" si="16"/>
        <v>10.348800000000001</v>
      </c>
      <c r="T66" s="146" t="s">
        <v>112</v>
      </c>
      <c r="U66" s="140" t="s">
        <v>304</v>
      </c>
      <c r="W66" s="143">
        <v>42367</v>
      </c>
      <c r="X66" s="12">
        <v>13.35</v>
      </c>
      <c r="Y66" s="12">
        <v>13.44</v>
      </c>
      <c r="Z66" s="12">
        <v>12.76</v>
      </c>
      <c r="AA66" s="12">
        <v>13.03</v>
      </c>
      <c r="AB66" s="105">
        <v>8141900</v>
      </c>
      <c r="AC66" s="12">
        <v>12.94</v>
      </c>
      <c r="AD66">
        <f t="shared" si="7"/>
        <v>0.67999999999999972</v>
      </c>
      <c r="AE66" s="148">
        <f t="shared" si="8"/>
        <v>3.8789759503490284E-3</v>
      </c>
    </row>
    <row r="67" spans="1:31" x14ac:dyDescent="0.25">
      <c r="B67" s="276">
        <v>42374</v>
      </c>
      <c r="C67" s="7">
        <v>2000</v>
      </c>
      <c r="D67" s="89">
        <v>12.73</v>
      </c>
      <c r="E67" s="47">
        <v>0</v>
      </c>
      <c r="F67" s="47">
        <f t="shared" si="17"/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5"/>
        <v>21499.53</v>
      </c>
      <c r="O67" s="93">
        <v>0.97</v>
      </c>
      <c r="P67" s="93">
        <f t="shared" si="16"/>
        <v>10.2432</v>
      </c>
      <c r="W67" s="143">
        <v>42366</v>
      </c>
      <c r="X67" s="12">
        <v>13.53</v>
      </c>
      <c r="Y67" s="12">
        <v>13.57</v>
      </c>
      <c r="Z67" s="12">
        <v>12.82</v>
      </c>
      <c r="AA67" s="12">
        <v>12.98</v>
      </c>
      <c r="AB67" s="105">
        <v>9519500</v>
      </c>
      <c r="AC67" s="12">
        <v>12.89</v>
      </c>
      <c r="AD67">
        <f t="shared" si="7"/>
        <v>0.75</v>
      </c>
      <c r="AE67" s="148">
        <f t="shared" si="8"/>
        <v>-6.7968185104844481E-2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7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5"/>
        <v>17517.12</v>
      </c>
      <c r="O68" s="93">
        <v>0.96</v>
      </c>
      <c r="P68" s="93">
        <f t="shared" si="16"/>
        <v>10.137600000000001</v>
      </c>
      <c r="W68" s="143">
        <v>42362</v>
      </c>
      <c r="X68" s="12">
        <v>13.98</v>
      </c>
      <c r="Y68" s="12">
        <v>14.11</v>
      </c>
      <c r="Z68" s="12">
        <v>13.59</v>
      </c>
      <c r="AA68" s="12">
        <v>13.93</v>
      </c>
      <c r="AB68" s="105">
        <v>5709500</v>
      </c>
      <c r="AC68" s="12">
        <v>13.83</v>
      </c>
      <c r="AD68">
        <f t="shared" si="7"/>
        <v>0.51999999999999957</v>
      </c>
      <c r="AE68" s="148" t="e">
        <f>AC68/AC69-1</f>
        <v>#DIV/0!</v>
      </c>
    </row>
    <row r="69" spans="1:31" x14ac:dyDescent="0.25">
      <c r="B69" s="1">
        <v>42375</v>
      </c>
      <c r="C69" s="4">
        <v>1000</v>
      </c>
      <c r="D69" s="273">
        <v>11.7</v>
      </c>
      <c r="E69" s="3">
        <v>0</v>
      </c>
      <c r="F69" s="3">
        <f t="shared" si="17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5"/>
        <v>21039.54</v>
      </c>
      <c r="O69" s="93">
        <v>0.95</v>
      </c>
      <c r="P69" s="93">
        <f t="shared" si="16"/>
        <v>10.032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7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5"/>
        <v>21099.54</v>
      </c>
      <c r="O70" s="93">
        <v>0.94</v>
      </c>
      <c r="P70" s="93">
        <f t="shared" si="16"/>
        <v>9.9263999999999992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7"/>
        <v>3417.5</v>
      </c>
      <c r="O71" s="93">
        <v>0.93</v>
      </c>
      <c r="P71" s="93">
        <f t="shared" si="16"/>
        <v>9.8208000000000002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7"/>
        <v>1446</v>
      </c>
      <c r="O72" s="93">
        <v>0.92</v>
      </c>
      <c r="P72" s="93">
        <f t="shared" si="16"/>
        <v>9.7152000000000012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7"/>
        <v>3750</v>
      </c>
      <c r="O73" s="93">
        <v>0.91</v>
      </c>
      <c r="P73" s="93">
        <f t="shared" si="16"/>
        <v>9.6096000000000004</v>
      </c>
    </row>
    <row r="74" spans="1:31" ht="15" customHeight="1" x14ac:dyDescent="0.25">
      <c r="B74" s="417" t="s">
        <v>237</v>
      </c>
      <c r="C74" s="7">
        <v>3000</v>
      </c>
      <c r="D74" s="89">
        <v>7.55</v>
      </c>
      <c r="E74" s="47">
        <v>0</v>
      </c>
      <c r="F74" s="47">
        <f t="shared" si="17"/>
        <v>22650</v>
      </c>
      <c r="O74" s="93">
        <v>0.9</v>
      </c>
      <c r="P74" s="93">
        <f t="shared" si="16"/>
        <v>9.5040000000000013</v>
      </c>
    </row>
    <row r="75" spans="1:31" x14ac:dyDescent="0.25">
      <c r="B75" s="417"/>
      <c r="C75" s="7">
        <v>500</v>
      </c>
      <c r="D75" s="89">
        <v>6.75</v>
      </c>
      <c r="E75" s="47">
        <v>0</v>
      </c>
      <c r="F75" s="47">
        <f t="shared" si="17"/>
        <v>3375</v>
      </c>
      <c r="O75" s="93">
        <v>0.89</v>
      </c>
      <c r="P75" s="93">
        <f t="shared" ref="P75:P79" si="18">O75*$Q$4</f>
        <v>9.3984000000000005</v>
      </c>
    </row>
    <row r="76" spans="1:31" x14ac:dyDescent="0.25">
      <c r="B76" s="417"/>
      <c r="C76" s="7">
        <v>300</v>
      </c>
      <c r="D76" s="89">
        <v>6.75</v>
      </c>
      <c r="E76" s="47">
        <v>0</v>
      </c>
      <c r="F76" s="47">
        <f t="shared" ref="F76:F85" si="19">C76*D76+E76</f>
        <v>2025</v>
      </c>
      <c r="O76" s="93">
        <v>0.88</v>
      </c>
      <c r="P76" s="93">
        <f t="shared" si="18"/>
        <v>9.2927999999999997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9"/>
        <v>4578</v>
      </c>
      <c r="O77" s="93">
        <v>0.87</v>
      </c>
      <c r="P77" s="93">
        <f t="shared" si="18"/>
        <v>9.1872000000000007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9"/>
        <v>15900</v>
      </c>
      <c r="O78" s="93">
        <v>0.86</v>
      </c>
      <c r="P78" s="93">
        <f t="shared" si="18"/>
        <v>9.0815999999999999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9"/>
        <v>16400</v>
      </c>
      <c r="O79" s="93">
        <v>0.85</v>
      </c>
      <c r="P79" s="93">
        <f t="shared" si="18"/>
        <v>8.9760000000000009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9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9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9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9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9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9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ref="F86:F102" si="20">C86*D86+E86</f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20"/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20"/>
        <v>17167.5</v>
      </c>
    </row>
    <row r="89" spans="2:7" x14ac:dyDescent="0.25">
      <c r="B89" s="419">
        <v>42447</v>
      </c>
      <c r="C89" s="7">
        <v>1500</v>
      </c>
      <c r="D89" s="89">
        <v>11.42</v>
      </c>
      <c r="E89" s="47">
        <v>0</v>
      </c>
      <c r="F89" s="47">
        <f t="shared" si="20"/>
        <v>17130</v>
      </c>
    </row>
    <row r="90" spans="2:7" x14ac:dyDescent="0.25">
      <c r="B90" s="423"/>
      <c r="C90" s="7">
        <v>500</v>
      </c>
      <c r="D90" s="89">
        <v>11.42</v>
      </c>
      <c r="E90" s="47">
        <v>0</v>
      </c>
      <c r="F90" s="47">
        <f t="shared" si="20"/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20"/>
        <v>7505</v>
      </c>
    </row>
    <row r="92" spans="2:7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20"/>
        <v>15417</v>
      </c>
    </row>
    <row r="93" spans="2:7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20"/>
        <v>11380</v>
      </c>
    </row>
    <row r="94" spans="2:7" x14ac:dyDescent="0.25">
      <c r="B94" s="419">
        <v>42451</v>
      </c>
      <c r="C94" s="7">
        <v>50</v>
      </c>
      <c r="D94" s="89">
        <v>11.22</v>
      </c>
      <c r="E94" s="47">
        <v>0</v>
      </c>
      <c r="F94" s="47">
        <f t="shared" si="20"/>
        <v>561</v>
      </c>
    </row>
    <row r="95" spans="2:7" x14ac:dyDescent="0.25">
      <c r="B95" s="419"/>
      <c r="C95" s="7">
        <v>350</v>
      </c>
      <c r="D95" s="89">
        <v>11.22</v>
      </c>
      <c r="E95" s="47">
        <v>0</v>
      </c>
      <c r="F95" s="47">
        <f t="shared" si="20"/>
        <v>3927</v>
      </c>
    </row>
    <row r="96" spans="2:7" x14ac:dyDescent="0.25">
      <c r="B96" s="417" t="s">
        <v>292</v>
      </c>
      <c r="C96" s="7">
        <v>650</v>
      </c>
      <c r="D96" s="89">
        <v>11.22</v>
      </c>
      <c r="E96" s="47">
        <v>0</v>
      </c>
      <c r="F96" s="47">
        <f t="shared" si="20"/>
        <v>7293</v>
      </c>
    </row>
    <row r="97" spans="1:13" x14ac:dyDescent="0.25">
      <c r="B97" s="418"/>
      <c r="C97" s="7">
        <v>500</v>
      </c>
      <c r="D97" s="89">
        <v>11.01</v>
      </c>
      <c r="E97" s="47">
        <v>0</v>
      </c>
      <c r="F97" s="47">
        <f t="shared" si="20"/>
        <v>5505</v>
      </c>
    </row>
    <row r="98" spans="1:13" x14ac:dyDescent="0.25">
      <c r="B98" s="418"/>
      <c r="C98" s="7">
        <v>500</v>
      </c>
      <c r="D98" s="89">
        <v>10.75</v>
      </c>
      <c r="E98" s="47">
        <v>0</v>
      </c>
      <c r="F98" s="47">
        <f t="shared" si="20"/>
        <v>5375</v>
      </c>
    </row>
    <row r="99" spans="1:13" x14ac:dyDescent="0.25">
      <c r="B99" s="418"/>
      <c r="C99" s="7">
        <v>1000</v>
      </c>
      <c r="D99" s="89">
        <v>10.4</v>
      </c>
      <c r="E99" s="47">
        <v>0</v>
      </c>
      <c r="F99" s="47">
        <f t="shared" si="20"/>
        <v>10400</v>
      </c>
    </row>
    <row r="100" spans="1:13" x14ac:dyDescent="0.25">
      <c r="B100" s="418"/>
      <c r="C100" s="7">
        <v>1000</v>
      </c>
      <c r="D100" s="89">
        <v>10.185</v>
      </c>
      <c r="E100" s="47">
        <v>0</v>
      </c>
      <c r="F100" s="47">
        <f t="shared" si="20"/>
        <v>10185</v>
      </c>
    </row>
    <row r="101" spans="1:13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20"/>
        <v>20860</v>
      </c>
    </row>
    <row r="102" spans="1:13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20"/>
        <v>20840</v>
      </c>
    </row>
    <row r="103" spans="1:13" x14ac:dyDescent="0.25">
      <c r="C103" s="4"/>
    </row>
    <row r="106" spans="1:13" x14ac:dyDescent="0.25">
      <c r="A106" s="35" t="s">
        <v>81</v>
      </c>
      <c r="B106" s="16"/>
      <c r="C106" s="82">
        <f>SUM(C2:C102)</f>
        <v>73836</v>
      </c>
      <c r="D106" s="21"/>
      <c r="E106" s="21"/>
      <c r="F106" s="21">
        <f>SUM(F2:F102)</f>
        <v>1034831.5290000001</v>
      </c>
      <c r="G106" s="16"/>
      <c r="H106" s="82">
        <f>SUM(H2:H70)</f>
        <v>64158</v>
      </c>
      <c r="I106" s="91"/>
      <c r="J106" s="21"/>
      <c r="K106" s="21">
        <f>SUM(K2:K71)</f>
        <v>866393.72000000067</v>
      </c>
      <c r="L106" s="16"/>
      <c r="M106" s="21">
        <f>SUM(M2:M12)</f>
        <v>1334.4</v>
      </c>
    </row>
    <row r="109" spans="1:13" x14ac:dyDescent="0.25">
      <c r="B109" s="209" t="s">
        <v>117</v>
      </c>
      <c r="C109" s="209" t="s">
        <v>167</v>
      </c>
      <c r="D109" s="219" t="s">
        <v>166</v>
      </c>
      <c r="E109" s="212" t="s">
        <v>168</v>
      </c>
      <c r="F109" s="213" t="s">
        <v>65</v>
      </c>
      <c r="G109" s="253" t="s">
        <v>172</v>
      </c>
      <c r="H109" s="213" t="s">
        <v>90</v>
      </c>
      <c r="I109" s="253" t="s">
        <v>179</v>
      </c>
    </row>
    <row r="110" spans="1:13" x14ac:dyDescent="0.25">
      <c r="B110" s="211">
        <v>42305</v>
      </c>
      <c r="C110" s="12">
        <v>2000</v>
      </c>
      <c r="D110" s="275">
        <v>34.06</v>
      </c>
      <c r="E110" s="43">
        <v>17.68</v>
      </c>
      <c r="F110" s="43">
        <v>-32767.45</v>
      </c>
      <c r="G110" s="43">
        <f>IF(C110=0, 0,D110*C110)</f>
        <v>68120</v>
      </c>
      <c r="H110" s="261">
        <f>IF(C110=0, D110, (E110-D110)/D110)</f>
        <v>-0.48091603053435117</v>
      </c>
      <c r="I110" s="43"/>
    </row>
    <row r="111" spans="1:13" x14ac:dyDescent="0.25">
      <c r="B111" s="211">
        <v>42307</v>
      </c>
      <c r="C111" s="12">
        <v>0</v>
      </c>
      <c r="D111" s="275" t="s">
        <v>134</v>
      </c>
      <c r="E111" s="43">
        <v>17.55</v>
      </c>
      <c r="F111" s="43">
        <v>-30722.2</v>
      </c>
      <c r="G111" s="43">
        <f>IF(C111=0, 0,D111*C111)</f>
        <v>0</v>
      </c>
      <c r="H111" s="261" t="str">
        <f>IF(C111=0, D111, (E111-D111)/D111)</f>
        <v>N/A</v>
      </c>
      <c r="I111" s="43"/>
    </row>
    <row r="112" spans="1:13" x14ac:dyDescent="0.25">
      <c r="B112" s="211">
        <v>42310</v>
      </c>
      <c r="C112" s="12">
        <v>0</v>
      </c>
      <c r="D112" s="275" t="s">
        <v>134</v>
      </c>
      <c r="E112" s="43">
        <v>19.010000000000002</v>
      </c>
      <c r="F112" s="43">
        <v>-30693.25</v>
      </c>
      <c r="G112" s="43">
        <f>IF(C112=0, 0,D112*C112)</f>
        <v>0</v>
      </c>
      <c r="H112" s="261" t="str">
        <f>IF(C112=0, D112, (E112-D112)/D112)</f>
        <v>N/A</v>
      </c>
      <c r="I112" s="43"/>
    </row>
    <row r="113" spans="2:9" x14ac:dyDescent="0.25">
      <c r="B113" s="211">
        <v>42314</v>
      </c>
      <c r="C113" s="12">
        <v>2500</v>
      </c>
      <c r="D113" s="275">
        <v>30.24</v>
      </c>
      <c r="E113" s="43">
        <v>18.29</v>
      </c>
      <c r="F113" s="43">
        <v>-29878.25</v>
      </c>
      <c r="G113" s="43">
        <f t="shared" ref="G113:G149" si="21">IF(C113=0, 0,D113*C113)</f>
        <v>75600</v>
      </c>
      <c r="H113" s="261">
        <f t="shared" ref="H113:H149" si="22">IF(C113=0, D113, (E113-D113)/D113)</f>
        <v>-0.39517195767195767</v>
      </c>
      <c r="I113" s="43"/>
    </row>
    <row r="114" spans="2:9" x14ac:dyDescent="0.25">
      <c r="B114" s="211">
        <v>42318</v>
      </c>
      <c r="C114" s="12">
        <v>0</v>
      </c>
      <c r="D114" s="275" t="s">
        <v>134</v>
      </c>
      <c r="E114" s="43">
        <v>18.78</v>
      </c>
      <c r="F114" s="43">
        <v>-28604.09</v>
      </c>
      <c r="G114" s="43">
        <f t="shared" si="21"/>
        <v>0</v>
      </c>
      <c r="H114" s="261" t="str">
        <f t="shared" si="22"/>
        <v>N/A</v>
      </c>
      <c r="I114" s="43"/>
    </row>
    <row r="115" spans="2:9" x14ac:dyDescent="0.25">
      <c r="B115" s="211">
        <v>42328</v>
      </c>
      <c r="C115" s="12">
        <v>3078</v>
      </c>
      <c r="D115" s="275">
        <v>26.76</v>
      </c>
      <c r="E115" s="43">
        <v>17.440000000000001</v>
      </c>
      <c r="F115" s="43">
        <v>-28696.448999999906</v>
      </c>
      <c r="G115" s="43">
        <f t="shared" si="21"/>
        <v>82367.28</v>
      </c>
      <c r="H115" s="261">
        <f t="shared" si="22"/>
        <v>-0.34828101644245141</v>
      </c>
      <c r="I115" s="43"/>
    </row>
    <row r="116" spans="2:9" x14ac:dyDescent="0.25">
      <c r="B116" s="211">
        <v>42331</v>
      </c>
      <c r="C116" s="12">
        <v>0</v>
      </c>
      <c r="D116" s="275" t="s">
        <v>134</v>
      </c>
      <c r="E116" s="43">
        <v>17.53</v>
      </c>
      <c r="F116" s="43">
        <v>-28051.068999999901</v>
      </c>
      <c r="G116" s="43">
        <f t="shared" si="21"/>
        <v>0</v>
      </c>
      <c r="H116" s="261" t="str">
        <f t="shared" si="22"/>
        <v>N/A</v>
      </c>
      <c r="I116" s="43"/>
    </row>
    <row r="117" spans="2:9" x14ac:dyDescent="0.25">
      <c r="B117" s="211">
        <v>42335</v>
      </c>
      <c r="C117" s="12">
        <v>3078</v>
      </c>
      <c r="D117" s="275">
        <v>26.85</v>
      </c>
      <c r="E117" s="43">
        <v>17.73</v>
      </c>
      <c r="F117" s="43">
        <f>C117*(E117-D117)</f>
        <v>-28071.360000000004</v>
      </c>
      <c r="G117" s="43">
        <f>D117*C117</f>
        <v>82644.3</v>
      </c>
      <c r="H117" s="260">
        <f>(E117-D117)/D117</f>
        <v>-0.33966480446927377</v>
      </c>
      <c r="I117" s="43"/>
    </row>
    <row r="118" spans="2:9" x14ac:dyDescent="0.25">
      <c r="B118" s="211">
        <v>42335</v>
      </c>
      <c r="C118" s="12">
        <v>3578</v>
      </c>
      <c r="D118" s="275">
        <v>25.55</v>
      </c>
      <c r="E118" s="43">
        <v>17.440000000000001</v>
      </c>
      <c r="F118" s="43">
        <f t="shared" ref="F118:F149" si="23">C118*(E118-D118)</f>
        <v>-29017.579999999998</v>
      </c>
      <c r="G118" s="43">
        <f t="shared" ref="G118:G147" si="24">D118*C118</f>
        <v>91417.900000000009</v>
      </c>
      <c r="H118" s="260">
        <f t="shared" ref="H118:H147" si="25">(E118-D118)/D118</f>
        <v>-0.31741682974559682</v>
      </c>
      <c r="I118" s="43"/>
    </row>
    <row r="119" spans="2:9" x14ac:dyDescent="0.25">
      <c r="B119" s="211">
        <v>42340</v>
      </c>
      <c r="C119" s="12">
        <v>4178</v>
      </c>
      <c r="D119" s="275">
        <v>24.29</v>
      </c>
      <c r="E119" s="43">
        <v>16.670000000000002</v>
      </c>
      <c r="F119" s="43">
        <f t="shared" si="23"/>
        <v>-31836.35999999999</v>
      </c>
      <c r="G119" s="43">
        <f t="shared" si="24"/>
        <v>101483.62</v>
      </c>
      <c r="H119" s="260">
        <f t="shared" si="25"/>
        <v>-0.31370934540963352</v>
      </c>
      <c r="I119" s="43"/>
    </row>
    <row r="120" spans="2:9" x14ac:dyDescent="0.25">
      <c r="B120" s="211">
        <v>42342</v>
      </c>
      <c r="C120" s="12">
        <v>4678</v>
      </c>
      <c r="D120" s="275">
        <v>23.39</v>
      </c>
      <c r="E120" s="43">
        <v>16.12</v>
      </c>
      <c r="F120" s="43">
        <f t="shared" si="23"/>
        <v>-34009.06</v>
      </c>
      <c r="G120" s="43">
        <f t="shared" si="24"/>
        <v>109418.42</v>
      </c>
      <c r="H120" s="260">
        <f t="shared" si="25"/>
        <v>-0.31081658828559211</v>
      </c>
      <c r="I120" s="43"/>
    </row>
    <row r="121" spans="2:9" x14ac:dyDescent="0.25">
      <c r="B121" s="211">
        <v>42342</v>
      </c>
      <c r="C121" s="12">
        <v>4178</v>
      </c>
      <c r="D121" s="275">
        <v>24.26</v>
      </c>
      <c r="E121" s="43">
        <v>16.12</v>
      </c>
      <c r="F121" s="43">
        <f t="shared" si="23"/>
        <v>-34008.920000000006</v>
      </c>
      <c r="G121" s="43">
        <f t="shared" si="24"/>
        <v>101358.28000000001</v>
      </c>
      <c r="H121" s="260">
        <f t="shared" si="25"/>
        <v>-0.33553173948887055</v>
      </c>
      <c r="I121" s="43"/>
    </row>
    <row r="122" spans="2:9" x14ac:dyDescent="0.25">
      <c r="B122" s="211">
        <v>42345</v>
      </c>
      <c r="C122" s="12">
        <v>4678</v>
      </c>
      <c r="D122" s="275">
        <v>23.24</v>
      </c>
      <c r="E122" s="43">
        <v>14.78</v>
      </c>
      <c r="F122" s="43">
        <f t="shared" si="23"/>
        <v>-39575.879999999997</v>
      </c>
      <c r="G122" s="43">
        <f t="shared" si="24"/>
        <v>108716.71999999999</v>
      </c>
      <c r="H122" s="260">
        <f t="shared" si="25"/>
        <v>-0.36402753872633387</v>
      </c>
      <c r="I122" s="43"/>
    </row>
    <row r="123" spans="2:9" x14ac:dyDescent="0.25">
      <c r="B123" s="211">
        <v>42347</v>
      </c>
      <c r="C123" s="12">
        <v>4778</v>
      </c>
      <c r="D123" s="275">
        <v>23.06</v>
      </c>
      <c r="E123" s="43">
        <v>14.92</v>
      </c>
      <c r="F123" s="43">
        <f t="shared" si="23"/>
        <v>-38892.919999999991</v>
      </c>
      <c r="G123" s="43">
        <f t="shared" si="24"/>
        <v>110180.68</v>
      </c>
      <c r="H123" s="260">
        <f t="shared" si="25"/>
        <v>-0.3529921942758022</v>
      </c>
      <c r="I123" s="43"/>
    </row>
    <row r="124" spans="2:9" x14ac:dyDescent="0.25">
      <c r="B124" s="211">
        <v>42348</v>
      </c>
      <c r="C124" s="12">
        <v>4178</v>
      </c>
      <c r="D124" s="275">
        <v>24.23</v>
      </c>
      <c r="E124" s="43">
        <v>14.74</v>
      </c>
      <c r="F124" s="43">
        <f t="shared" si="23"/>
        <v>-39649.22</v>
      </c>
      <c r="G124" s="43">
        <f t="shared" si="24"/>
        <v>101232.94</v>
      </c>
      <c r="H124" s="260">
        <f t="shared" si="25"/>
        <v>-0.39166322740404458</v>
      </c>
      <c r="I124" s="43"/>
    </row>
    <row r="125" spans="2:9" x14ac:dyDescent="0.25">
      <c r="B125" s="211">
        <v>42349</v>
      </c>
      <c r="C125" s="12">
        <v>3678</v>
      </c>
      <c r="D125" s="275">
        <v>25.57</v>
      </c>
      <c r="E125" s="43">
        <v>14.34</v>
      </c>
      <c r="F125" s="43">
        <f t="shared" si="23"/>
        <v>-41303.94</v>
      </c>
      <c r="G125" s="43">
        <f t="shared" si="24"/>
        <v>94046.46</v>
      </c>
      <c r="H125" s="260">
        <f t="shared" si="25"/>
        <v>-0.43918654673445445</v>
      </c>
      <c r="I125" s="43"/>
    </row>
    <row r="126" spans="2:9" x14ac:dyDescent="0.25">
      <c r="B126" s="211">
        <v>42352</v>
      </c>
      <c r="C126" s="12">
        <v>4178</v>
      </c>
      <c r="D126" s="275">
        <v>24.18</v>
      </c>
      <c r="E126" s="43">
        <v>13.96</v>
      </c>
      <c r="F126" s="43">
        <f t="shared" si="23"/>
        <v>-42699.159999999996</v>
      </c>
      <c r="G126" s="43">
        <f t="shared" si="24"/>
        <v>101024.04</v>
      </c>
      <c r="H126" s="260">
        <f t="shared" si="25"/>
        <v>-0.42266335814722905</v>
      </c>
      <c r="I126" s="43"/>
    </row>
    <row r="127" spans="2:9" x14ac:dyDescent="0.25">
      <c r="B127" s="211">
        <v>42355</v>
      </c>
      <c r="C127" s="12">
        <v>4678</v>
      </c>
      <c r="D127" s="275">
        <v>22.98</v>
      </c>
      <c r="E127" s="43">
        <v>12.78</v>
      </c>
      <c r="F127" s="43">
        <f t="shared" si="23"/>
        <v>-47715.600000000006</v>
      </c>
      <c r="G127" s="43">
        <f t="shared" si="24"/>
        <v>107500.44</v>
      </c>
      <c r="H127" s="260">
        <f t="shared" si="25"/>
        <v>-0.44386422976501311</v>
      </c>
      <c r="I127" s="43"/>
    </row>
    <row r="128" spans="2:9" x14ac:dyDescent="0.25">
      <c r="B128" s="211">
        <v>42356</v>
      </c>
      <c r="C128" s="12">
        <v>5178</v>
      </c>
      <c r="D128" s="275">
        <v>21.99</v>
      </c>
      <c r="E128" s="43">
        <v>12.95</v>
      </c>
      <c r="F128" s="43">
        <f t="shared" si="23"/>
        <v>-46809.119999999995</v>
      </c>
      <c r="G128" s="43">
        <f t="shared" si="24"/>
        <v>113864.21999999999</v>
      </c>
      <c r="H128" s="260">
        <f t="shared" si="25"/>
        <v>-0.41109595270577537</v>
      </c>
      <c r="I128" s="43"/>
    </row>
    <row r="129" spans="2:9" x14ac:dyDescent="0.25">
      <c r="B129" s="211">
        <v>42356</v>
      </c>
      <c r="C129" s="12">
        <v>6178</v>
      </c>
      <c r="D129" s="275">
        <v>20.48</v>
      </c>
      <c r="E129" s="43">
        <v>12.76</v>
      </c>
      <c r="F129" s="43">
        <f t="shared" si="23"/>
        <v>-47694.16</v>
      </c>
      <c r="G129" s="43">
        <f t="shared" si="24"/>
        <v>126525.44</v>
      </c>
      <c r="H129" s="260">
        <f t="shared" si="25"/>
        <v>-0.376953125</v>
      </c>
      <c r="I129" s="43"/>
    </row>
    <row r="130" spans="2:9" x14ac:dyDescent="0.25">
      <c r="B130" s="211">
        <v>42356</v>
      </c>
      <c r="C130" s="12">
        <v>6400</v>
      </c>
      <c r="D130" s="275">
        <v>20.2</v>
      </c>
      <c r="E130" s="43">
        <v>12.68</v>
      </c>
      <c r="F130" s="43">
        <f t="shared" si="23"/>
        <v>-48128</v>
      </c>
      <c r="G130" s="43">
        <f t="shared" si="24"/>
        <v>129280</v>
      </c>
      <c r="H130" s="260">
        <f t="shared" si="25"/>
        <v>-0.37227722772277227</v>
      </c>
      <c r="I130" s="43"/>
    </row>
    <row r="131" spans="2:9" x14ac:dyDescent="0.25">
      <c r="B131" s="211">
        <v>42359</v>
      </c>
      <c r="C131" s="12">
        <v>5178</v>
      </c>
      <c r="D131" s="275">
        <v>21.96</v>
      </c>
      <c r="E131" s="43">
        <v>12.66</v>
      </c>
      <c r="F131" s="43">
        <f t="shared" si="23"/>
        <v>-48155.4</v>
      </c>
      <c r="G131" s="43">
        <f t="shared" si="24"/>
        <v>113708.88</v>
      </c>
      <c r="H131" s="260">
        <f t="shared" si="25"/>
        <v>-0.42349726775956287</v>
      </c>
      <c r="I131" s="43"/>
    </row>
    <row r="132" spans="2:9" x14ac:dyDescent="0.25">
      <c r="B132" s="211">
        <v>42361</v>
      </c>
      <c r="C132" s="12">
        <v>4178</v>
      </c>
      <c r="D132" s="275">
        <v>24.07</v>
      </c>
      <c r="E132" s="43">
        <v>13.96</v>
      </c>
      <c r="F132" s="43">
        <f t="shared" si="23"/>
        <v>-42239.579999999994</v>
      </c>
      <c r="G132" s="43">
        <f t="shared" si="24"/>
        <v>100564.46</v>
      </c>
      <c r="H132" s="260">
        <f t="shared" si="25"/>
        <v>-0.42002492729538843</v>
      </c>
      <c r="I132" s="43"/>
    </row>
    <row r="133" spans="2:9" x14ac:dyDescent="0.25">
      <c r="B133" s="211">
        <v>42361</v>
      </c>
      <c r="C133" s="12">
        <v>4178</v>
      </c>
      <c r="D133" s="275">
        <v>24.03</v>
      </c>
      <c r="E133" s="43">
        <v>13.96</v>
      </c>
      <c r="F133" s="43">
        <f t="shared" si="23"/>
        <v>-42072.46</v>
      </c>
      <c r="G133" s="43">
        <f t="shared" si="24"/>
        <v>100397.34000000001</v>
      </c>
      <c r="H133" s="260">
        <f t="shared" si="25"/>
        <v>-0.41905950894714938</v>
      </c>
      <c r="I133" s="43"/>
    </row>
    <row r="134" spans="2:9" x14ac:dyDescent="0.25">
      <c r="B134" s="211">
        <v>42366</v>
      </c>
      <c r="C134" s="12">
        <v>6678</v>
      </c>
      <c r="D134" s="275">
        <v>19.91</v>
      </c>
      <c r="E134" s="43">
        <v>13.09</v>
      </c>
      <c r="F134" s="43">
        <f t="shared" si="23"/>
        <v>-45543.96</v>
      </c>
      <c r="G134" s="43">
        <f t="shared" si="24"/>
        <v>132958.98000000001</v>
      </c>
      <c r="H134" s="260">
        <f t="shared" si="25"/>
        <v>-0.34254143646408841</v>
      </c>
      <c r="I134" s="43"/>
    </row>
    <row r="135" spans="2:9" x14ac:dyDescent="0.25">
      <c r="B135" s="211">
        <v>42367</v>
      </c>
      <c r="C135" s="320">
        <v>8678</v>
      </c>
      <c r="D135" s="383">
        <v>18.32</v>
      </c>
      <c r="E135" s="43">
        <v>13.03</v>
      </c>
      <c r="F135" s="43">
        <f t="shared" si="23"/>
        <v>-45906.62000000001</v>
      </c>
      <c r="G135" s="43">
        <f t="shared" si="24"/>
        <v>158980.96</v>
      </c>
      <c r="H135" s="260">
        <f t="shared" si="25"/>
        <v>-0.28875545851528389</v>
      </c>
      <c r="I135" s="43"/>
    </row>
    <row r="136" spans="2:9" x14ac:dyDescent="0.25">
      <c r="B136" s="211">
        <v>42368</v>
      </c>
      <c r="C136" s="414">
        <v>9678</v>
      </c>
      <c r="D136" s="415">
        <v>17.73</v>
      </c>
      <c r="E136" s="43">
        <v>12.38</v>
      </c>
      <c r="F136" s="43">
        <f t="shared" si="23"/>
        <v>-51777.299999999996</v>
      </c>
      <c r="G136" s="43">
        <f t="shared" si="24"/>
        <v>171590.94</v>
      </c>
      <c r="H136" s="260">
        <f t="shared" si="25"/>
        <v>-0.30174844895657077</v>
      </c>
      <c r="I136" s="43"/>
    </row>
    <row r="137" spans="2:9" x14ac:dyDescent="0.25">
      <c r="B137" s="211">
        <v>42369</v>
      </c>
      <c r="C137" s="320">
        <v>8678</v>
      </c>
      <c r="D137" s="383">
        <v>18.312999999999999</v>
      </c>
      <c r="E137" s="43">
        <v>12.59</v>
      </c>
      <c r="F137" s="43">
        <f t="shared" si="23"/>
        <v>-49664.193999999989</v>
      </c>
      <c r="G137" s="43">
        <f t="shared" si="24"/>
        <v>158920.21399999998</v>
      </c>
      <c r="H137" s="260">
        <f t="shared" si="25"/>
        <v>-0.3125102386282968</v>
      </c>
      <c r="I137" s="43"/>
    </row>
    <row r="138" spans="2:9" x14ac:dyDescent="0.25">
      <c r="B138" s="211">
        <v>42374</v>
      </c>
      <c r="C138" s="320">
        <v>7678</v>
      </c>
      <c r="D138" s="383">
        <v>19.010000000000002</v>
      </c>
      <c r="E138" s="43">
        <v>12.76</v>
      </c>
      <c r="F138" s="43">
        <f t="shared" si="23"/>
        <v>-47987.500000000015</v>
      </c>
      <c r="G138" s="43">
        <f t="shared" si="24"/>
        <v>145958.78</v>
      </c>
      <c r="H138" s="260">
        <f t="shared" si="25"/>
        <v>-0.32877432930036832</v>
      </c>
      <c r="I138" s="43"/>
    </row>
    <row r="139" spans="2:9" x14ac:dyDescent="0.25">
      <c r="B139" s="211">
        <v>42375</v>
      </c>
      <c r="C139" s="320">
        <v>8678</v>
      </c>
      <c r="D139" s="383">
        <v>18.257000000000001</v>
      </c>
      <c r="E139" s="43">
        <v>12.76</v>
      </c>
      <c r="F139" s="43">
        <f t="shared" si="23"/>
        <v>-47702.966000000015</v>
      </c>
      <c r="G139" s="43">
        <f t="shared" si="24"/>
        <v>158434.24600000001</v>
      </c>
      <c r="H139" s="260">
        <f t="shared" si="25"/>
        <v>-0.30108999287944355</v>
      </c>
      <c r="I139" s="390"/>
    </row>
    <row r="140" spans="2:9" x14ac:dyDescent="0.25">
      <c r="B140" s="211">
        <v>42375</v>
      </c>
      <c r="C140" s="414">
        <v>9678</v>
      </c>
      <c r="D140" s="415">
        <v>17.579999999999998</v>
      </c>
      <c r="E140" s="43">
        <v>11.28</v>
      </c>
      <c r="F140" s="43">
        <f t="shared" si="23"/>
        <v>-60971.399999999987</v>
      </c>
      <c r="G140" s="43">
        <f t="shared" si="24"/>
        <v>170139.24</v>
      </c>
      <c r="H140" s="260">
        <f t="shared" si="25"/>
        <v>-0.35836177474402725</v>
      </c>
      <c r="I140" s="390"/>
    </row>
    <row r="141" spans="2:9" x14ac:dyDescent="0.25">
      <c r="B141" s="211">
        <v>42398</v>
      </c>
      <c r="C141" s="297">
        <v>9278</v>
      </c>
      <c r="D141" s="322">
        <v>17.93</v>
      </c>
      <c r="E141" s="43">
        <v>9.56</v>
      </c>
      <c r="F141" s="43">
        <f t="shared" si="23"/>
        <v>-77656.859999999986</v>
      </c>
      <c r="G141" s="43">
        <f t="shared" si="24"/>
        <v>166354.54</v>
      </c>
      <c r="H141" s="260">
        <f t="shared" si="25"/>
        <v>-0.46681539319576126</v>
      </c>
      <c r="I141" s="390"/>
    </row>
    <row r="142" spans="2:9" x14ac:dyDescent="0.25">
      <c r="B142" s="211">
        <v>42402</v>
      </c>
      <c r="C142" s="320">
        <v>9678</v>
      </c>
      <c r="D142" s="383">
        <v>17.559999999999999</v>
      </c>
      <c r="E142" s="43">
        <v>8.74</v>
      </c>
      <c r="F142" s="43">
        <f t="shared" si="23"/>
        <v>-85359.959999999992</v>
      </c>
      <c r="G142" s="43">
        <f t="shared" si="24"/>
        <v>169945.68</v>
      </c>
      <c r="H142" s="260">
        <f t="shared" si="25"/>
        <v>-0.50227790432801822</v>
      </c>
      <c r="I142" s="390"/>
    </row>
    <row r="143" spans="2:9" x14ac:dyDescent="0.25">
      <c r="B143" s="211">
        <v>42411</v>
      </c>
      <c r="C143" s="320">
        <v>9678</v>
      </c>
      <c r="D143" s="383">
        <v>17.553999999999998</v>
      </c>
      <c r="E143" s="43">
        <v>7.13</v>
      </c>
      <c r="F143" s="43">
        <f t="shared" si="23"/>
        <v>-100883.47199999999</v>
      </c>
      <c r="G143" s="43">
        <f t="shared" si="24"/>
        <v>169887.61199999999</v>
      </c>
      <c r="H143" s="260">
        <f t="shared" si="25"/>
        <v>-0.59382476928335426</v>
      </c>
      <c r="I143" s="390"/>
    </row>
    <row r="144" spans="2:9" x14ac:dyDescent="0.25">
      <c r="B144" s="211">
        <v>42412</v>
      </c>
      <c r="C144" s="320">
        <v>9678</v>
      </c>
      <c r="D144" s="383">
        <v>17.55</v>
      </c>
      <c r="E144" s="43">
        <v>7.46</v>
      </c>
      <c r="F144" s="43">
        <f t="shared" si="23"/>
        <v>-97651.02</v>
      </c>
      <c r="G144" s="43">
        <f t="shared" si="24"/>
        <v>169848.9</v>
      </c>
      <c r="H144" s="260">
        <f t="shared" si="25"/>
        <v>-0.57492877492877492</v>
      </c>
      <c r="I144" s="390"/>
    </row>
    <row r="145" spans="2:9" x14ac:dyDescent="0.25">
      <c r="B145" s="211">
        <v>42416</v>
      </c>
      <c r="C145" s="320">
        <v>9178</v>
      </c>
      <c r="D145" s="383">
        <v>18.084</v>
      </c>
      <c r="E145" s="43">
        <v>7.49</v>
      </c>
      <c r="F145" s="43">
        <f t="shared" si="23"/>
        <v>-97231.731999999989</v>
      </c>
      <c r="G145" s="43">
        <f t="shared" si="24"/>
        <v>165974.95199999999</v>
      </c>
      <c r="H145" s="260">
        <f t="shared" si="25"/>
        <v>-0.58582172085821715</v>
      </c>
      <c r="I145" s="390"/>
    </row>
    <row r="146" spans="2:9" x14ac:dyDescent="0.25">
      <c r="B146" s="211">
        <v>42416</v>
      </c>
      <c r="C146" s="414">
        <v>9678</v>
      </c>
      <c r="D146" s="415">
        <v>17.536999999999999</v>
      </c>
      <c r="E146" s="43">
        <v>7.49</v>
      </c>
      <c r="F146" s="43">
        <f t="shared" si="23"/>
        <v>-97234.865999999995</v>
      </c>
      <c r="G146" s="43">
        <f t="shared" si="24"/>
        <v>169723.08599999998</v>
      </c>
      <c r="H146" s="260">
        <f t="shared" si="25"/>
        <v>-0.57290300507498426</v>
      </c>
      <c r="I146" s="390"/>
    </row>
    <row r="147" spans="2:9" x14ac:dyDescent="0.25">
      <c r="B147" s="211">
        <v>42418</v>
      </c>
      <c r="C147" s="320">
        <v>13478</v>
      </c>
      <c r="D147" s="383">
        <v>14.673999999999999</v>
      </c>
      <c r="E147" s="43">
        <v>6.93</v>
      </c>
      <c r="F147" s="43">
        <f t="shared" si="23"/>
        <v>-104373.632</v>
      </c>
      <c r="G147" s="43">
        <f t="shared" si="24"/>
        <v>197776.17199999999</v>
      </c>
      <c r="H147" s="260">
        <f t="shared" si="25"/>
        <v>-0.52773613193403301</v>
      </c>
      <c r="I147" s="390"/>
    </row>
    <row r="148" spans="2:9" x14ac:dyDescent="0.25">
      <c r="B148" s="211">
        <v>42422</v>
      </c>
      <c r="C148" s="320">
        <v>10978</v>
      </c>
      <c r="D148" s="383">
        <v>16.314</v>
      </c>
      <c r="E148" s="43">
        <v>7.49</v>
      </c>
      <c r="F148" s="43">
        <f t="shared" si="23"/>
        <v>-96869.872000000003</v>
      </c>
      <c r="G148" s="43">
        <f t="shared" si="21"/>
        <v>179095.092</v>
      </c>
      <c r="H148" s="261">
        <f t="shared" si="22"/>
        <v>-0.54088512933676591</v>
      </c>
      <c r="I148" s="390"/>
    </row>
    <row r="149" spans="2:9" x14ac:dyDescent="0.25">
      <c r="B149" s="211">
        <v>42422</v>
      </c>
      <c r="C149" s="320">
        <v>9978</v>
      </c>
      <c r="D149" s="383">
        <v>17.199000000000002</v>
      </c>
      <c r="E149" s="43">
        <v>7.49</v>
      </c>
      <c r="F149" s="266">
        <f t="shared" si="23"/>
        <v>-96876.402000000016</v>
      </c>
      <c r="G149" s="43">
        <f t="shared" si="21"/>
        <v>171611.622</v>
      </c>
      <c r="H149" s="261">
        <f t="shared" si="22"/>
        <v>-0.56450956450956458</v>
      </c>
      <c r="I149" s="390"/>
    </row>
    <row r="150" spans="2:9" x14ac:dyDescent="0.25">
      <c r="B150" s="211">
        <v>42426</v>
      </c>
      <c r="C150" s="320">
        <v>9678</v>
      </c>
      <c r="D150" s="383">
        <v>17.489000000000001</v>
      </c>
      <c r="E150" s="43">
        <v>7.49</v>
      </c>
      <c r="F150" s="266">
        <f t="shared" ref="F150:F158" si="26">C150*(E150-D150)</f>
        <v>-96770.322</v>
      </c>
      <c r="G150" s="43">
        <f t="shared" ref="G150" si="27">IF(C150=0, 0,D150*C150)</f>
        <v>169258.54200000002</v>
      </c>
      <c r="H150" s="261">
        <f t="shared" ref="H150" si="28">IF(C150=0, D150, (E150-D150)/D150)</f>
        <v>-0.57173080221853734</v>
      </c>
      <c r="I150" s="390"/>
    </row>
    <row r="151" spans="2:9" x14ac:dyDescent="0.25">
      <c r="B151" s="211">
        <v>42426</v>
      </c>
      <c r="C151" s="320">
        <v>9178</v>
      </c>
      <c r="D151" s="383">
        <v>18.02</v>
      </c>
      <c r="E151" s="43">
        <v>7.76</v>
      </c>
      <c r="F151" s="266">
        <f t="shared" si="26"/>
        <v>-94166.28</v>
      </c>
      <c r="G151" s="43">
        <f t="shared" ref="G151:G158" si="29">IF(C151=0, 0,D151*C151)</f>
        <v>165387.56</v>
      </c>
      <c r="H151" s="261">
        <f t="shared" ref="H151:H158" si="30">IF(C151=0, D151, (E151-D151)/D151)</f>
        <v>-0.5693673695893452</v>
      </c>
      <c r="I151" s="390"/>
    </row>
    <row r="152" spans="2:9" x14ac:dyDescent="0.25">
      <c r="B152" s="211">
        <v>42426</v>
      </c>
      <c r="C152" s="320">
        <v>8178</v>
      </c>
      <c r="D152" s="383">
        <v>19.245999999999999</v>
      </c>
      <c r="E152" s="43">
        <v>8</v>
      </c>
      <c r="F152" s="266">
        <f t="shared" si="26"/>
        <v>-91969.787999999986</v>
      </c>
      <c r="G152" s="43">
        <f t="shared" si="29"/>
        <v>157393.788</v>
      </c>
      <c r="H152" s="261">
        <f t="shared" si="30"/>
        <v>-0.58432921126467829</v>
      </c>
      <c r="I152" s="390"/>
    </row>
    <row r="153" spans="2:9" x14ac:dyDescent="0.25">
      <c r="B153" s="211">
        <v>42426</v>
      </c>
      <c r="C153" s="320">
        <v>6678</v>
      </c>
      <c r="D153" s="383">
        <v>21.75</v>
      </c>
      <c r="E153" s="43">
        <v>8.1</v>
      </c>
      <c r="F153" s="266">
        <f t="shared" si="26"/>
        <v>-91154.7</v>
      </c>
      <c r="G153" s="43">
        <f t="shared" si="29"/>
        <v>145246.5</v>
      </c>
      <c r="H153" s="261">
        <f t="shared" si="30"/>
        <v>-0.62758620689655176</v>
      </c>
      <c r="I153" s="390"/>
    </row>
    <row r="154" spans="2:9" x14ac:dyDescent="0.25">
      <c r="B154" s="211">
        <v>42426</v>
      </c>
      <c r="C154" s="320">
        <v>8678</v>
      </c>
      <c r="D154" s="383">
        <v>18.568999999999999</v>
      </c>
      <c r="E154" s="43">
        <v>7.94</v>
      </c>
      <c r="F154" s="266">
        <f t="shared" si="26"/>
        <v>-92238.461999999985</v>
      </c>
      <c r="G154" s="43">
        <f t="shared" si="29"/>
        <v>161141.78199999998</v>
      </c>
      <c r="H154" s="261">
        <f t="shared" si="30"/>
        <v>-0.57240562227368186</v>
      </c>
      <c r="I154" s="390"/>
    </row>
    <row r="155" spans="2:9" x14ac:dyDescent="0.25">
      <c r="B155" s="211">
        <v>42429</v>
      </c>
      <c r="C155" s="320">
        <v>7678</v>
      </c>
      <c r="D155" s="383">
        <v>19.876000000000001</v>
      </c>
      <c r="E155" s="43">
        <v>8.2100000000000009</v>
      </c>
      <c r="F155" s="266">
        <f t="shared" si="26"/>
        <v>-89571.54800000001</v>
      </c>
      <c r="G155" s="43">
        <f t="shared" si="29"/>
        <v>152607.92800000001</v>
      </c>
      <c r="H155" s="261">
        <f t="shared" si="30"/>
        <v>-0.58693902193600322</v>
      </c>
      <c r="I155" s="390"/>
    </row>
    <row r="156" spans="2:9" x14ac:dyDescent="0.25">
      <c r="B156" s="211">
        <v>42429</v>
      </c>
      <c r="C156" s="320">
        <v>9678</v>
      </c>
      <c r="D156" s="383">
        <v>17.463000000000001</v>
      </c>
      <c r="E156" s="43">
        <v>8.2100000000000009</v>
      </c>
      <c r="F156" s="266">
        <f t="shared" si="26"/>
        <v>-89550.534</v>
      </c>
      <c r="G156" s="43">
        <f t="shared" si="29"/>
        <v>169006.91400000002</v>
      </c>
      <c r="H156" s="261">
        <f t="shared" si="30"/>
        <v>-0.5298631392086125</v>
      </c>
      <c r="I156" s="390"/>
    </row>
    <row r="157" spans="2:9" x14ac:dyDescent="0.25">
      <c r="B157" s="211">
        <v>42429</v>
      </c>
      <c r="C157" s="320">
        <v>9178</v>
      </c>
      <c r="D157" s="383">
        <v>17.981000000000002</v>
      </c>
      <c r="E157" s="43">
        <v>8.2100000000000009</v>
      </c>
      <c r="F157" s="266">
        <f t="shared" si="26"/>
        <v>-89678.238000000012</v>
      </c>
      <c r="G157" s="43">
        <f t="shared" si="29"/>
        <v>165029.61800000002</v>
      </c>
      <c r="H157" s="261">
        <f t="shared" si="30"/>
        <v>-0.5434069295367332</v>
      </c>
      <c r="I157" s="390"/>
    </row>
    <row r="158" spans="2:9" x14ac:dyDescent="0.25">
      <c r="B158" s="211">
        <v>42429</v>
      </c>
      <c r="C158" s="414">
        <v>9678</v>
      </c>
      <c r="D158" s="415">
        <v>17.459</v>
      </c>
      <c r="E158" s="43">
        <v>8.2100000000000009</v>
      </c>
      <c r="F158" s="266">
        <f t="shared" si="26"/>
        <v>-89511.821999999986</v>
      </c>
      <c r="G158" s="43">
        <f t="shared" si="29"/>
        <v>168968.20199999999</v>
      </c>
      <c r="H158" s="261">
        <f t="shared" si="30"/>
        <v>-0.5297554270004009</v>
      </c>
      <c r="I158" s="390"/>
    </row>
    <row r="159" spans="2:9" x14ac:dyDescent="0.25">
      <c r="B159" s="211">
        <v>42429</v>
      </c>
      <c r="C159" s="320">
        <v>9178</v>
      </c>
      <c r="D159" s="383">
        <v>17.975999999999999</v>
      </c>
      <c r="E159" s="43">
        <v>8.2100000000000009</v>
      </c>
      <c r="F159" s="266">
        <f t="shared" ref="F159:F170" si="31">C159*(E159-D159)</f>
        <v>-89632.347999999984</v>
      </c>
      <c r="G159" s="43">
        <f t="shared" ref="G159:G170" si="32">IF(C159=0, 0,D159*C159)</f>
        <v>164983.728</v>
      </c>
      <c r="H159" s="261">
        <f t="shared" ref="H159:H175" si="33">IF(C159=0, D159, (E159-D159)/D159)</f>
        <v>-0.54327992879394738</v>
      </c>
      <c r="I159" s="390" t="s">
        <v>259</v>
      </c>
    </row>
    <row r="160" spans="2:9" x14ac:dyDescent="0.25">
      <c r="B160" s="211">
        <v>42430</v>
      </c>
      <c r="C160" s="320">
        <v>10178</v>
      </c>
      <c r="D160" s="383">
        <v>16.974</v>
      </c>
      <c r="E160" s="43">
        <v>7.8</v>
      </c>
      <c r="F160" s="266">
        <f t="shared" si="31"/>
        <v>-93372.971999999994</v>
      </c>
      <c r="G160" s="43">
        <f t="shared" si="32"/>
        <v>172761.372</v>
      </c>
      <c r="H160" s="261">
        <f t="shared" si="33"/>
        <v>-0.54047366560622123</v>
      </c>
      <c r="I160" s="390"/>
    </row>
    <row r="161" spans="2:9" x14ac:dyDescent="0.25">
      <c r="B161" s="211">
        <v>42430</v>
      </c>
      <c r="C161" s="320">
        <v>9678</v>
      </c>
      <c r="D161" s="383">
        <v>17.440000000000001</v>
      </c>
      <c r="E161" s="43">
        <v>7.96</v>
      </c>
      <c r="F161" s="266">
        <f t="shared" si="31"/>
        <v>-91747.44</v>
      </c>
      <c r="G161" s="43">
        <f t="shared" si="32"/>
        <v>168784.32</v>
      </c>
      <c r="H161" s="261">
        <f t="shared" si="33"/>
        <v>-0.54357798165137616</v>
      </c>
      <c r="I161" s="390"/>
    </row>
    <row r="162" spans="2:9" x14ac:dyDescent="0.25">
      <c r="B162" s="211">
        <v>42431</v>
      </c>
      <c r="C162" s="320">
        <v>8678</v>
      </c>
      <c r="D162" s="383">
        <v>18.405999999999999</v>
      </c>
      <c r="E162" s="43">
        <v>9.1</v>
      </c>
      <c r="F162" s="266">
        <f t="shared" si="31"/>
        <v>-80757.467999999993</v>
      </c>
      <c r="G162" s="43">
        <f t="shared" si="32"/>
        <v>159727.26799999998</v>
      </c>
      <c r="H162" s="261">
        <f t="shared" si="33"/>
        <v>-0.50559600130392257</v>
      </c>
      <c r="I162" s="390"/>
    </row>
    <row r="163" spans="2:9" x14ac:dyDescent="0.25">
      <c r="B163" s="211">
        <v>42432</v>
      </c>
      <c r="C163" s="297">
        <v>9278</v>
      </c>
      <c r="D163" s="322">
        <v>17.771999999999998</v>
      </c>
      <c r="E163" s="43">
        <v>9.9700000000000006</v>
      </c>
      <c r="F163" s="266">
        <f t="shared" si="31"/>
        <v>-72386.955999999976</v>
      </c>
      <c r="G163" s="43">
        <f t="shared" si="32"/>
        <v>164888.61599999998</v>
      </c>
      <c r="H163" s="261">
        <f t="shared" si="33"/>
        <v>-0.43900517668242173</v>
      </c>
      <c r="I163" s="390"/>
    </row>
    <row r="164" spans="2:9" x14ac:dyDescent="0.25">
      <c r="B164" s="211">
        <v>42433</v>
      </c>
      <c r="C164" s="12">
        <v>9278</v>
      </c>
      <c r="D164" s="275">
        <v>17.771999999999998</v>
      </c>
      <c r="E164" s="43">
        <v>11</v>
      </c>
      <c r="F164" s="266">
        <f t="shared" si="31"/>
        <v>-62830.615999999987</v>
      </c>
      <c r="G164" s="43">
        <f t="shared" si="32"/>
        <v>164888.61599999998</v>
      </c>
      <c r="H164" s="261">
        <f t="shared" si="33"/>
        <v>-0.38104884087328378</v>
      </c>
      <c r="I164" s="390"/>
    </row>
    <row r="165" spans="2:9" x14ac:dyDescent="0.25">
      <c r="B165" s="211">
        <v>42439</v>
      </c>
      <c r="C165" s="320">
        <v>9278</v>
      </c>
      <c r="D165" s="383">
        <v>17.718</v>
      </c>
      <c r="E165" s="384">
        <v>10.59</v>
      </c>
      <c r="F165" s="266">
        <f t="shared" si="31"/>
        <v>-66133.584000000003</v>
      </c>
      <c r="G165" s="43">
        <f t="shared" si="32"/>
        <v>164387.60399999999</v>
      </c>
      <c r="H165" s="261">
        <f t="shared" si="33"/>
        <v>-0.40230274297324753</v>
      </c>
      <c r="I165" s="390" t="s">
        <v>258</v>
      </c>
    </row>
    <row r="166" spans="2:9" x14ac:dyDescent="0.25">
      <c r="B166" s="211">
        <v>42440</v>
      </c>
      <c r="C166" s="12">
        <v>9278</v>
      </c>
      <c r="D166" s="275">
        <v>17.712</v>
      </c>
      <c r="E166" s="43">
        <v>11.12</v>
      </c>
      <c r="F166" s="266">
        <f t="shared" si="31"/>
        <v>-61160.576000000008</v>
      </c>
      <c r="G166" s="43">
        <f t="shared" si="32"/>
        <v>164331.93599999999</v>
      </c>
      <c r="H166" s="261">
        <f t="shared" si="33"/>
        <v>-0.37217705510388438</v>
      </c>
      <c r="I166" s="43"/>
    </row>
    <row r="167" spans="2:9" x14ac:dyDescent="0.25">
      <c r="B167" s="211">
        <v>42446</v>
      </c>
      <c r="C167" s="12">
        <v>9278</v>
      </c>
      <c r="D167" s="275">
        <v>17.704999999999998</v>
      </c>
      <c r="E167" s="43">
        <v>11.45</v>
      </c>
      <c r="F167" s="266">
        <f t="shared" si="31"/>
        <v>-58033.889999999992</v>
      </c>
      <c r="G167" s="43">
        <f t="shared" si="32"/>
        <v>164266.99</v>
      </c>
      <c r="H167" s="261">
        <f t="shared" si="33"/>
        <v>-0.353290031064671</v>
      </c>
      <c r="I167" s="43"/>
    </row>
    <row r="168" spans="2:9" x14ac:dyDescent="0.25">
      <c r="B168" s="211">
        <v>42447</v>
      </c>
      <c r="C168" s="12">
        <v>7928</v>
      </c>
      <c r="D168" s="275">
        <v>18.734999999999999</v>
      </c>
      <c r="E168" s="43">
        <v>11.63</v>
      </c>
      <c r="F168" s="266">
        <f t="shared" si="31"/>
        <v>-56328.439999999988</v>
      </c>
      <c r="G168" s="43">
        <f t="shared" si="32"/>
        <v>148531.07999999999</v>
      </c>
      <c r="H168" s="261">
        <f t="shared" si="33"/>
        <v>-0.37923672271150249</v>
      </c>
      <c r="I168" s="407"/>
    </row>
    <row r="169" spans="2:9" x14ac:dyDescent="0.25">
      <c r="B169" s="211">
        <v>42450</v>
      </c>
      <c r="C169" s="297">
        <v>9278</v>
      </c>
      <c r="D169" s="322">
        <v>17.670000000000002</v>
      </c>
      <c r="E169" s="43">
        <v>11.43</v>
      </c>
      <c r="F169" s="266">
        <f t="shared" si="31"/>
        <v>-57894.720000000016</v>
      </c>
      <c r="G169" s="43">
        <f t="shared" si="32"/>
        <v>163942.26</v>
      </c>
      <c r="H169" s="261">
        <f t="shared" si="33"/>
        <v>-0.35314091680814946</v>
      </c>
      <c r="I169" s="407"/>
    </row>
    <row r="170" spans="2:9" x14ac:dyDescent="0.25">
      <c r="B170" s="211">
        <v>42451</v>
      </c>
      <c r="C170" s="12">
        <v>9628</v>
      </c>
      <c r="D170" s="275">
        <v>17.428000000000001</v>
      </c>
      <c r="E170" s="43">
        <v>11.31</v>
      </c>
      <c r="F170" s="266">
        <f t="shared" si="31"/>
        <v>-58904.104000000007</v>
      </c>
      <c r="G170" s="43">
        <f t="shared" si="32"/>
        <v>167796.78400000001</v>
      </c>
      <c r="H170" s="261">
        <f t="shared" si="33"/>
        <v>-0.35104429653431263</v>
      </c>
      <c r="I170" s="43"/>
    </row>
    <row r="171" spans="2:9" x14ac:dyDescent="0.25">
      <c r="B171" s="211">
        <v>42453</v>
      </c>
      <c r="C171" s="12">
        <v>13278</v>
      </c>
      <c r="D171" s="275">
        <v>15.5565</v>
      </c>
      <c r="E171" s="43">
        <v>10.29</v>
      </c>
      <c r="F171" s="266">
        <f>C171*(E171-D171)</f>
        <v>-69928.587000000014</v>
      </c>
      <c r="G171" s="43">
        <f>IF(C171=0, 0,D171*C171)</f>
        <v>206559.20699999999</v>
      </c>
      <c r="H171" s="261">
        <f t="shared" si="33"/>
        <v>-0.33854016006171056</v>
      </c>
      <c r="I171" s="43"/>
    </row>
    <row r="172" spans="2:9" x14ac:dyDescent="0.25">
      <c r="B172" s="211">
        <v>42459</v>
      </c>
      <c r="C172" s="12">
        <v>11278</v>
      </c>
      <c r="D172" s="275">
        <v>16.408899999999999</v>
      </c>
      <c r="E172" s="43">
        <v>10.53</v>
      </c>
      <c r="F172" s="266">
        <f>C172*(E172-D172)</f>
        <v>-66302.234199999992</v>
      </c>
      <c r="G172" s="43">
        <f>IF(C172=0, 0,D172*C172)</f>
        <v>185059.5742</v>
      </c>
      <c r="H172" s="261">
        <f t="shared" si="33"/>
        <v>-0.35827508242478168</v>
      </c>
      <c r="I172" s="43"/>
    </row>
    <row r="173" spans="2:9" x14ac:dyDescent="0.25">
      <c r="B173" s="211">
        <v>42460</v>
      </c>
      <c r="C173" s="414">
        <v>9678</v>
      </c>
      <c r="D173" s="415">
        <v>17.311699999999998</v>
      </c>
      <c r="E173" s="43">
        <v>11.14</v>
      </c>
      <c r="F173" s="266">
        <f>C173*(E173-D173)</f>
        <v>-59729.712599999977</v>
      </c>
      <c r="G173" s="43">
        <f>IF(C173=0, 0,D173*C173)</f>
        <v>167542.63259999998</v>
      </c>
      <c r="H173" s="261">
        <f t="shared" si="33"/>
        <v>-0.35650456049954643</v>
      </c>
      <c r="I173" s="407" t="s">
        <v>269</v>
      </c>
    </row>
    <row r="174" spans="2:9" x14ac:dyDescent="0.25">
      <c r="B174" s="211">
        <v>42461</v>
      </c>
      <c r="C174" s="12">
        <v>11678</v>
      </c>
      <c r="D174" s="275">
        <v>16.116</v>
      </c>
      <c r="E174" s="43">
        <v>10.53</v>
      </c>
      <c r="F174" s="266">
        <f>C174*(E174-D174)</f>
        <v>-65233.308000000005</v>
      </c>
      <c r="G174" s="43">
        <f>IF(C174=0, 0,D174*C174)</f>
        <v>188202.64799999999</v>
      </c>
      <c r="H174" s="261">
        <f t="shared" si="33"/>
        <v>-0.34661206254653765</v>
      </c>
      <c r="I174" s="43"/>
    </row>
    <row r="175" spans="2:9" x14ac:dyDescent="0.25">
      <c r="B175" s="211">
        <v>42461</v>
      </c>
      <c r="C175" s="414">
        <v>9678</v>
      </c>
      <c r="D175" s="415">
        <v>17.266200000000001</v>
      </c>
      <c r="E175" s="43">
        <v>10.56</v>
      </c>
      <c r="F175" s="266">
        <f>C175*(E175-D175)</f>
        <v>-64902.603600000009</v>
      </c>
      <c r="G175" s="43">
        <f>IF(C175=0, 0,D175*C175)</f>
        <v>167102.28360000002</v>
      </c>
      <c r="H175" s="261">
        <f t="shared" si="33"/>
        <v>-0.388400458699656</v>
      </c>
      <c r="I175" s="43"/>
    </row>
    <row r="176" spans="2:9" x14ac:dyDescent="0.25">
      <c r="B176" s="211"/>
      <c r="C176" s="12"/>
      <c r="D176" s="275"/>
      <c r="E176" s="43"/>
      <c r="F176" s="266"/>
      <c r="G176" s="43"/>
      <c r="H176" s="261"/>
      <c r="I176" s="43"/>
    </row>
    <row r="177" spans="2:9" x14ac:dyDescent="0.25">
      <c r="B177" s="211"/>
      <c r="C177" s="12"/>
      <c r="D177" s="275"/>
      <c r="E177" s="43"/>
      <c r="F177" s="266"/>
      <c r="G177" s="43"/>
      <c r="H177" s="261"/>
      <c r="I177" s="43"/>
    </row>
    <row r="178" spans="2:9" x14ac:dyDescent="0.25">
      <c r="B178" s="211"/>
      <c r="C178" s="12"/>
      <c r="D178" s="275"/>
      <c r="E178" s="43"/>
      <c r="F178" s="266"/>
      <c r="G178" s="43"/>
      <c r="H178" s="261"/>
      <c r="I178" s="43"/>
    </row>
    <row r="179" spans="2:9" x14ac:dyDescent="0.25">
      <c r="B179" s="211"/>
      <c r="C179" s="12"/>
      <c r="D179" s="275"/>
      <c r="E179" s="43"/>
      <c r="F179" s="266"/>
      <c r="G179" s="43"/>
      <c r="H179" s="261"/>
      <c r="I179" s="43"/>
    </row>
  </sheetData>
  <mergeCells count="11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</mergeCells>
  <conditionalFormatting sqref="Q7 F117:F179 H117:H179">
    <cfRule type="expression" dxfId="399" priority="22">
      <formula>F7&gt;0</formula>
    </cfRule>
    <cfRule type="expression" dxfId="398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10:F116">
    <cfRule type="expression" dxfId="397" priority="15">
      <formula>F110&gt;0</formula>
    </cfRule>
    <cfRule type="expression" dxfId="396" priority="16">
      <formula>F110&lt;0</formula>
    </cfRule>
  </conditionalFormatting>
  <conditionalFormatting sqref="H110:H116">
    <cfRule type="expression" dxfId="395" priority="11">
      <formula>H110&gt;0</formula>
    </cfRule>
    <cfRule type="expression" dxfId="394" priority="12">
      <formula>H110&lt;0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42460</v>
      </c>
      <c r="X2" s="44">
        <v>14.78</v>
      </c>
      <c r="Y2" s="44">
        <v>15.18</v>
      </c>
      <c r="Z2" s="44">
        <v>14.72</v>
      </c>
      <c r="AA2" s="44">
        <v>15.17</v>
      </c>
      <c r="AB2" s="114">
        <v>3069000</v>
      </c>
      <c r="AC2" s="11">
        <v>15.17</v>
      </c>
      <c r="AD2" s="2">
        <f>Y2-Z2</f>
        <v>0.45999999999999908</v>
      </c>
      <c r="AE2" s="148">
        <f>AC2/AC3-1</f>
        <v>2.7081922816519999E-2</v>
      </c>
    </row>
    <row r="3" spans="1:43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30.137020000000017</v>
      </c>
      <c r="W3" s="133">
        <v>42459</v>
      </c>
      <c r="X3" s="44">
        <v>14.71</v>
      </c>
      <c r="Y3" s="44">
        <v>14.92</v>
      </c>
      <c r="Z3" s="44">
        <v>14.61</v>
      </c>
      <c r="AA3" s="44">
        <v>14.77</v>
      </c>
      <c r="AB3" s="114">
        <v>3346500</v>
      </c>
      <c r="AC3" s="11">
        <v>14.77</v>
      </c>
      <c r="AD3" s="2">
        <f t="shared" ref="AD3:AD66" si="2">Y3-Z3</f>
        <v>0.3100000000000005</v>
      </c>
      <c r="AE3" s="148">
        <f t="shared" ref="AE3:AE66" si="3">AC3/AC4-1</f>
        <v>1.1643835616438336E-2</v>
      </c>
      <c r="AJ3" s="265"/>
      <c r="AL3" s="263"/>
      <c r="AO3" s="263"/>
    </row>
    <row r="4" spans="1:43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15.41</v>
      </c>
      <c r="T4" s="1">
        <v>42263</v>
      </c>
      <c r="U4" s="37" t="s">
        <v>98</v>
      </c>
      <c r="W4" s="133">
        <v>42458</v>
      </c>
      <c r="X4" s="44">
        <v>14.25</v>
      </c>
      <c r="Y4" s="44">
        <v>14.62</v>
      </c>
      <c r="Z4" s="44">
        <v>13.99</v>
      </c>
      <c r="AA4" s="44">
        <v>14.6</v>
      </c>
      <c r="AB4" s="114">
        <v>3446000</v>
      </c>
      <c r="AC4" s="11">
        <v>14.6</v>
      </c>
      <c r="AD4" s="2">
        <f t="shared" si="2"/>
        <v>0.62999999999999901</v>
      </c>
      <c r="AE4" s="148">
        <f t="shared" si="3"/>
        <v>1.8841591067690233E-2</v>
      </c>
      <c r="AL4" s="263"/>
      <c r="AO4" s="263"/>
    </row>
    <row r="5" spans="1:43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23115</v>
      </c>
      <c r="T5" s="1">
        <v>42313</v>
      </c>
      <c r="U5" s="37" t="s">
        <v>129</v>
      </c>
      <c r="W5" s="133">
        <v>42457</v>
      </c>
      <c r="X5" s="44">
        <v>14.25</v>
      </c>
      <c r="Y5" s="44">
        <v>14.35</v>
      </c>
      <c r="Z5" s="44">
        <v>13.93</v>
      </c>
      <c r="AA5" s="44">
        <v>14.33</v>
      </c>
      <c r="AB5" s="114">
        <v>1847100</v>
      </c>
      <c r="AC5" s="11">
        <v>14.33</v>
      </c>
      <c r="AD5" s="2">
        <f t="shared" si="2"/>
        <v>0.41999999999999993</v>
      </c>
      <c r="AE5" s="148">
        <f t="shared" si="3"/>
        <v>1.0578279266572732E-2</v>
      </c>
      <c r="AL5" s="263"/>
      <c r="AO5" s="263"/>
    </row>
    <row r="6" spans="1:43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45205.530000000028</v>
      </c>
      <c r="W6" s="133">
        <v>42453</v>
      </c>
      <c r="X6" s="44">
        <v>14.11</v>
      </c>
      <c r="Y6" s="44">
        <v>14.27</v>
      </c>
      <c r="Z6" s="44">
        <v>13.8</v>
      </c>
      <c r="AA6" s="44">
        <v>14.18</v>
      </c>
      <c r="AB6" s="114">
        <v>2279300</v>
      </c>
      <c r="AC6" s="11">
        <v>14.18</v>
      </c>
      <c r="AD6" s="2">
        <f t="shared" si="2"/>
        <v>0.46999999999999886</v>
      </c>
      <c r="AE6" s="148">
        <f t="shared" si="3"/>
        <v>-4.2134831460673983E-3</v>
      </c>
      <c r="AL6" s="263"/>
      <c r="AO6" s="263"/>
    </row>
    <row r="7" spans="1:43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-22090.530000000028</v>
      </c>
      <c r="R7" s="208" t="s">
        <v>201</v>
      </c>
      <c r="W7" s="133">
        <v>42452</v>
      </c>
      <c r="X7" s="44">
        <v>14.6</v>
      </c>
      <c r="Y7" s="44">
        <v>14.6</v>
      </c>
      <c r="Z7" s="44">
        <v>14.21</v>
      </c>
      <c r="AA7" s="44">
        <v>14.24</v>
      </c>
      <c r="AB7" s="114">
        <v>1947800</v>
      </c>
      <c r="AC7" s="11">
        <v>14.24</v>
      </c>
      <c r="AD7" s="2">
        <f t="shared" si="2"/>
        <v>0.38999999999999879</v>
      </c>
      <c r="AE7" s="148">
        <f t="shared" si="3"/>
        <v>-2.7986348122866933E-2</v>
      </c>
      <c r="AL7" s="263"/>
      <c r="AO7" s="263"/>
    </row>
    <row r="8" spans="1:43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-0.48866875357948492</v>
      </c>
      <c r="R8" s="178"/>
      <c r="W8" s="133">
        <v>42451</v>
      </c>
      <c r="X8" s="44">
        <v>14.58</v>
      </c>
      <c r="Y8" s="44">
        <v>14.82</v>
      </c>
      <c r="Z8" s="44">
        <v>14.47</v>
      </c>
      <c r="AA8" s="44">
        <v>14.65</v>
      </c>
      <c r="AB8" s="114">
        <v>2078200</v>
      </c>
      <c r="AC8" s="11">
        <v>14.65</v>
      </c>
      <c r="AD8" s="2">
        <f t="shared" si="2"/>
        <v>0.34999999999999964</v>
      </c>
      <c r="AE8" s="148">
        <f t="shared" si="3"/>
        <v>-6.8212824010915885E-4</v>
      </c>
      <c r="AL8" s="263"/>
      <c r="AO8" s="263"/>
    </row>
    <row r="9" spans="1:43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42450</v>
      </c>
      <c r="X9" s="44">
        <v>14.92</v>
      </c>
      <c r="Y9" s="44">
        <v>14.94</v>
      </c>
      <c r="Z9" s="44">
        <v>14.51</v>
      </c>
      <c r="AA9" s="44">
        <v>14.66</v>
      </c>
      <c r="AB9" s="114">
        <v>2360300</v>
      </c>
      <c r="AC9" s="11">
        <v>14.66</v>
      </c>
      <c r="AD9" s="2">
        <f t="shared" si="2"/>
        <v>0.42999999999999972</v>
      </c>
      <c r="AE9" s="148">
        <f t="shared" si="3"/>
        <v>-2.1361815754339153E-2</v>
      </c>
      <c r="AL9" s="263"/>
      <c r="AO9" s="263"/>
    </row>
    <row r="10" spans="1:43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42447</v>
      </c>
      <c r="X10" s="44">
        <v>14.66</v>
      </c>
      <c r="Y10" s="44">
        <v>15.01</v>
      </c>
      <c r="Z10" s="44">
        <v>14.63</v>
      </c>
      <c r="AA10" s="44">
        <v>14.98</v>
      </c>
      <c r="AB10" s="114">
        <v>3375700</v>
      </c>
      <c r="AC10" s="11">
        <v>14.98</v>
      </c>
      <c r="AD10" s="2">
        <f t="shared" si="2"/>
        <v>0.37999999999999901</v>
      </c>
      <c r="AE10" s="148">
        <f t="shared" si="3"/>
        <v>2.1828103683492417E-2</v>
      </c>
      <c r="AL10" s="263"/>
      <c r="AO10" s="263"/>
    </row>
    <row r="11" spans="1:43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42446</v>
      </c>
      <c r="X11" s="44">
        <v>14.68</v>
      </c>
      <c r="Y11" s="44">
        <v>14.97</v>
      </c>
      <c r="Z11" s="44">
        <v>14.39</v>
      </c>
      <c r="AA11" s="44">
        <v>14.66</v>
      </c>
      <c r="AB11" s="114">
        <v>3834900</v>
      </c>
      <c r="AC11" s="11">
        <v>14.66</v>
      </c>
      <c r="AD11" s="2">
        <f t="shared" si="2"/>
        <v>0.58000000000000007</v>
      </c>
      <c r="AE11" s="148">
        <f t="shared" si="3"/>
        <v>7.5601374570446467E-3</v>
      </c>
      <c r="AL11" s="263"/>
      <c r="AO11" s="263"/>
    </row>
    <row r="12" spans="1:43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42445</v>
      </c>
      <c r="X12" s="44">
        <v>14.3</v>
      </c>
      <c r="Y12" s="44">
        <v>14.8</v>
      </c>
      <c r="Z12" s="44">
        <v>14.28</v>
      </c>
      <c r="AA12" s="44">
        <v>14.55</v>
      </c>
      <c r="AB12" s="114">
        <v>3554600</v>
      </c>
      <c r="AC12" s="11">
        <v>14.55</v>
      </c>
      <c r="AD12" s="2">
        <f t="shared" si="2"/>
        <v>0.52000000000000135</v>
      </c>
      <c r="AE12" s="148">
        <f t="shared" si="3"/>
        <v>1.8907563025210239E-2</v>
      </c>
      <c r="AL12" s="263"/>
      <c r="AO12" s="263"/>
    </row>
    <row r="13" spans="1:43" x14ac:dyDescent="0.25">
      <c r="B13" s="1">
        <v>42207</v>
      </c>
      <c r="C13" s="4">
        <v>20</v>
      </c>
      <c r="D13" s="273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42444</v>
      </c>
      <c r="X13" s="44">
        <v>14.34</v>
      </c>
      <c r="Y13" s="44">
        <v>14.4</v>
      </c>
      <c r="Z13" s="44">
        <v>14</v>
      </c>
      <c r="AA13" s="44">
        <v>14.28</v>
      </c>
      <c r="AB13" s="114">
        <v>2064600</v>
      </c>
      <c r="AC13" s="11">
        <v>14.28</v>
      </c>
      <c r="AD13" s="2">
        <f t="shared" si="2"/>
        <v>0.40000000000000036</v>
      </c>
      <c r="AE13" s="148">
        <f t="shared" si="3"/>
        <v>-1.1764705882352899E-2</v>
      </c>
    </row>
    <row r="14" spans="1:43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4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42443</v>
      </c>
      <c r="X14" s="44">
        <v>14.55</v>
      </c>
      <c r="Y14" s="44">
        <v>14.64</v>
      </c>
      <c r="Z14" s="44">
        <v>14.07</v>
      </c>
      <c r="AA14" s="44">
        <v>14.45</v>
      </c>
      <c r="AB14" s="114">
        <v>2221800</v>
      </c>
      <c r="AC14" s="11">
        <v>14.45</v>
      </c>
      <c r="AD14" s="2">
        <f t="shared" si="2"/>
        <v>0.57000000000000028</v>
      </c>
      <c r="AE14" s="148">
        <f t="shared" si="3"/>
        <v>-1.4324693042292003E-2</v>
      </c>
    </row>
    <row r="15" spans="1:43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4"/>
      <c r="H15" s="198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42440</v>
      </c>
      <c r="X15" s="44">
        <v>14.33</v>
      </c>
      <c r="Y15" s="44">
        <v>14.83</v>
      </c>
      <c r="Z15" s="44">
        <v>14.32</v>
      </c>
      <c r="AA15" s="44">
        <v>14.66</v>
      </c>
      <c r="AB15" s="114">
        <v>4014000</v>
      </c>
      <c r="AC15" s="11">
        <v>14.66</v>
      </c>
      <c r="AD15" s="2">
        <f t="shared" si="2"/>
        <v>0.50999999999999979</v>
      </c>
      <c r="AE15" s="148">
        <f t="shared" si="3"/>
        <v>3.3850493653032387E-2</v>
      </c>
      <c r="AL15" s="263"/>
      <c r="AO15" s="263"/>
      <c r="AP15" s="263"/>
    </row>
    <row r="16" spans="1:43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4"/>
      <c r="H16" s="198">
        <v>500</v>
      </c>
      <c r="I16" s="273">
        <v>12.77</v>
      </c>
      <c r="J16" s="3">
        <v>0</v>
      </c>
      <c r="K16" s="3">
        <f t="shared" ref="K16" si="5">H16*I16-J16</f>
        <v>6385</v>
      </c>
      <c r="V16" s="2"/>
      <c r="W16" s="133">
        <v>42439</v>
      </c>
      <c r="X16" s="44">
        <v>13.8</v>
      </c>
      <c r="Y16" s="44">
        <v>14.26</v>
      </c>
      <c r="Z16" s="44">
        <v>13.65</v>
      </c>
      <c r="AA16" s="44">
        <v>14.18</v>
      </c>
      <c r="AB16" s="114">
        <v>2281100</v>
      </c>
      <c r="AC16" s="11">
        <v>14.18</v>
      </c>
      <c r="AD16" s="2">
        <f t="shared" si="2"/>
        <v>0.60999999999999943</v>
      </c>
      <c r="AE16" s="148">
        <f t="shared" si="3"/>
        <v>2.8281363306744023E-2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3" si="6">H17*I17-J17</f>
        <v>33749.379999999997</v>
      </c>
      <c r="V17" s="2"/>
      <c r="W17" s="133">
        <v>42438</v>
      </c>
      <c r="X17" s="44">
        <v>13.62</v>
      </c>
      <c r="Y17" s="44">
        <v>14.08</v>
      </c>
      <c r="Z17" s="44">
        <v>13.39</v>
      </c>
      <c r="AA17" s="44">
        <v>13.79</v>
      </c>
      <c r="AB17" s="114">
        <v>2807200</v>
      </c>
      <c r="AC17" s="11">
        <v>13.79</v>
      </c>
      <c r="AD17" s="2">
        <f t="shared" si="2"/>
        <v>0.6899999999999995</v>
      </c>
      <c r="AE17" s="148">
        <f t="shared" si="3"/>
        <v>1.9970414201183395E-2</v>
      </c>
      <c r="AL17" s="263"/>
      <c r="AO17" s="263"/>
      <c r="AP17" s="263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42437</v>
      </c>
      <c r="X18" s="44">
        <v>14.01</v>
      </c>
      <c r="Y18" s="44">
        <v>14.01</v>
      </c>
      <c r="Z18" s="44">
        <v>13.35</v>
      </c>
      <c r="AA18" s="44">
        <v>13.52</v>
      </c>
      <c r="AB18" s="114">
        <v>5087400</v>
      </c>
      <c r="AC18" s="11">
        <v>13.52</v>
      </c>
      <c r="AD18" s="2">
        <f t="shared" si="2"/>
        <v>0.66000000000000014</v>
      </c>
      <c r="AE18" s="148">
        <f t="shared" si="3"/>
        <v>-4.721634954193088E-2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42436</v>
      </c>
      <c r="X19" s="44">
        <v>14.11</v>
      </c>
      <c r="Y19" s="44">
        <v>14.63</v>
      </c>
      <c r="Z19" s="44">
        <v>14.09</v>
      </c>
      <c r="AA19" s="44">
        <v>14.19</v>
      </c>
      <c r="AB19" s="114">
        <v>3971800</v>
      </c>
      <c r="AC19" s="11">
        <v>14.19</v>
      </c>
      <c r="AD19" s="2">
        <f t="shared" si="2"/>
        <v>0.54000000000000092</v>
      </c>
      <c r="AE19" s="148">
        <f t="shared" si="3"/>
        <v>3.5360678925033806E-3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296">
        <v>13.05</v>
      </c>
      <c r="J20" s="17">
        <v>7.0000000000000007E-2</v>
      </c>
      <c r="K20" s="17">
        <f t="shared" si="6"/>
        <v>3262.43</v>
      </c>
      <c r="W20" s="133">
        <v>42433</v>
      </c>
      <c r="X20" s="44">
        <v>13.84</v>
      </c>
      <c r="Y20" s="44">
        <v>14.42</v>
      </c>
      <c r="Z20" s="44">
        <v>13.75</v>
      </c>
      <c r="AA20" s="44">
        <v>14.14</v>
      </c>
      <c r="AB20" s="114">
        <v>5784200</v>
      </c>
      <c r="AC20" s="11">
        <v>14.14</v>
      </c>
      <c r="AD20" s="2">
        <f t="shared" si="2"/>
        <v>0.66999999999999993</v>
      </c>
      <c r="AE20" s="148">
        <f t="shared" si="3"/>
        <v>1.8731988472622474E-2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83">
        <v>500</v>
      </c>
      <c r="I21" s="296">
        <v>12.65</v>
      </c>
      <c r="J21" s="17">
        <v>0.14000000000000001</v>
      </c>
      <c r="K21" s="17">
        <f t="shared" si="6"/>
        <v>6324.86</v>
      </c>
      <c r="W21" s="133">
        <v>42432</v>
      </c>
      <c r="X21" s="44">
        <v>13.37</v>
      </c>
      <c r="Y21" s="44">
        <v>13.97</v>
      </c>
      <c r="Z21" s="44">
        <v>13.24</v>
      </c>
      <c r="AA21" s="44">
        <v>13.88</v>
      </c>
      <c r="AB21" s="114">
        <v>4594400</v>
      </c>
      <c r="AC21" s="11">
        <v>13.88</v>
      </c>
      <c r="AD21" s="2">
        <f t="shared" si="2"/>
        <v>0.73000000000000043</v>
      </c>
      <c r="AE21" s="148">
        <f t="shared" si="3"/>
        <v>4.3609022556390986E-2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198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42431</v>
      </c>
      <c r="X22" s="44">
        <v>12.79</v>
      </c>
      <c r="Y22" s="44">
        <v>13.32</v>
      </c>
      <c r="Z22" s="44">
        <v>12.51</v>
      </c>
      <c r="AA22" s="44">
        <v>13.3</v>
      </c>
      <c r="AB22" s="114">
        <v>3502900</v>
      </c>
      <c r="AC22" s="11">
        <v>13.3</v>
      </c>
      <c r="AD22" s="2">
        <f t="shared" si="2"/>
        <v>0.8100000000000005</v>
      </c>
      <c r="AE22" s="148">
        <f t="shared" si="3"/>
        <v>3.7441497659906453E-2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42460</v>
      </c>
      <c r="H23" s="8">
        <v>500</v>
      </c>
      <c r="I23" s="296">
        <v>14.95</v>
      </c>
      <c r="J23" s="17">
        <v>0.16</v>
      </c>
      <c r="K23" s="17">
        <f t="shared" si="6"/>
        <v>7474.84</v>
      </c>
      <c r="M23" s="2"/>
      <c r="W23" s="133">
        <v>42430</v>
      </c>
      <c r="X23" s="44">
        <v>12.73</v>
      </c>
      <c r="Y23" s="44">
        <v>12.89</v>
      </c>
      <c r="Z23" s="44">
        <v>12.55</v>
      </c>
      <c r="AA23" s="44">
        <v>12.82</v>
      </c>
      <c r="AB23" s="114">
        <v>2350700</v>
      </c>
      <c r="AC23" s="11">
        <v>12.82</v>
      </c>
      <c r="AD23" s="2">
        <f t="shared" si="2"/>
        <v>0.33999999999999986</v>
      </c>
      <c r="AE23" s="148">
        <f t="shared" si="3"/>
        <v>2.070063694267521E-2</v>
      </c>
    </row>
    <row r="24" spans="2:42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42429</v>
      </c>
      <c r="X24" s="44">
        <v>12.29</v>
      </c>
      <c r="Y24" s="44">
        <v>12.66</v>
      </c>
      <c r="Z24" s="44">
        <v>12.29</v>
      </c>
      <c r="AA24" s="44">
        <v>12.56</v>
      </c>
      <c r="AB24" s="114">
        <v>4042100</v>
      </c>
      <c r="AC24" s="11">
        <v>12.56</v>
      </c>
      <c r="AD24" s="2">
        <f t="shared" si="2"/>
        <v>0.37000000000000099</v>
      </c>
      <c r="AE24" s="148">
        <f t="shared" si="3"/>
        <v>1.5359741309620256E-2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42426</v>
      </c>
      <c r="X25" s="44">
        <v>12.63</v>
      </c>
      <c r="Y25" s="44">
        <v>12.83</v>
      </c>
      <c r="Z25" s="44">
        <v>12.36</v>
      </c>
      <c r="AA25" s="44">
        <v>12.37</v>
      </c>
      <c r="AB25" s="114">
        <v>3629900</v>
      </c>
      <c r="AC25" s="11">
        <v>12.37</v>
      </c>
      <c r="AD25" s="2">
        <f t="shared" si="2"/>
        <v>0.47000000000000064</v>
      </c>
      <c r="AE25" s="148">
        <f t="shared" si="3"/>
        <v>-1.198083067092659E-2</v>
      </c>
      <c r="AL25" s="263"/>
      <c r="AO25" s="263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42425</v>
      </c>
      <c r="X26" s="44">
        <v>12.65</v>
      </c>
      <c r="Y26" s="44">
        <v>12.77</v>
      </c>
      <c r="Z26" s="44">
        <v>12.27</v>
      </c>
      <c r="AA26" s="44">
        <v>12.52</v>
      </c>
      <c r="AB26" s="114">
        <v>4678200</v>
      </c>
      <c r="AC26" s="11">
        <v>12.52</v>
      </c>
      <c r="AD26" s="2">
        <f t="shared" si="2"/>
        <v>0.5</v>
      </c>
      <c r="AE26" s="148">
        <f t="shared" si="3"/>
        <v>-3.1847133757962887E-3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42424</v>
      </c>
      <c r="X27" s="44">
        <v>12.13</v>
      </c>
      <c r="Y27" s="44">
        <v>12.63</v>
      </c>
      <c r="Z27" s="44">
        <v>11.9</v>
      </c>
      <c r="AA27" s="44">
        <v>12.56</v>
      </c>
      <c r="AB27" s="114">
        <v>3574200</v>
      </c>
      <c r="AC27" s="11">
        <v>12.56</v>
      </c>
      <c r="AD27" s="2">
        <f t="shared" si="2"/>
        <v>0.73000000000000043</v>
      </c>
      <c r="AE27" s="148">
        <f t="shared" si="3"/>
        <v>2.8665028665028736E-2</v>
      </c>
      <c r="AL27" s="263"/>
      <c r="AO27" s="263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42423</v>
      </c>
      <c r="X28" s="44">
        <v>12.23</v>
      </c>
      <c r="Y28" s="44">
        <v>12.36</v>
      </c>
      <c r="Z28" s="44">
        <v>12.07</v>
      </c>
      <c r="AA28" s="44">
        <v>12.21</v>
      </c>
      <c r="AB28" s="114">
        <v>4738300</v>
      </c>
      <c r="AC28" s="11">
        <v>12.21</v>
      </c>
      <c r="AD28" s="2">
        <f t="shared" si="2"/>
        <v>0.28999999999999915</v>
      </c>
      <c r="AE28" s="148">
        <f t="shared" si="3"/>
        <v>-7.3170731707317138E-3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42422</v>
      </c>
      <c r="X29" s="44">
        <v>12.21</v>
      </c>
      <c r="Y29" s="44">
        <v>12.59</v>
      </c>
      <c r="Z29" s="44">
        <v>12.21</v>
      </c>
      <c r="AA29" s="44">
        <v>12.3</v>
      </c>
      <c r="AB29" s="114">
        <v>5903600</v>
      </c>
      <c r="AC29" s="11">
        <v>12.3</v>
      </c>
      <c r="AD29" s="2">
        <f t="shared" si="2"/>
        <v>0.37999999999999901</v>
      </c>
      <c r="AE29" s="148">
        <f t="shared" si="3"/>
        <v>7.3710073710073765E-3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42419</v>
      </c>
      <c r="X30" s="44">
        <v>12.88</v>
      </c>
      <c r="Y30" s="44">
        <v>12.89</v>
      </c>
      <c r="Z30" s="44">
        <v>12.21</v>
      </c>
      <c r="AA30" s="44">
        <v>12.21</v>
      </c>
      <c r="AB30" s="114">
        <v>4789000</v>
      </c>
      <c r="AC30" s="11">
        <v>12.21</v>
      </c>
      <c r="AD30" s="2">
        <f t="shared" si="2"/>
        <v>0.67999999999999972</v>
      </c>
      <c r="AE30" s="148">
        <f t="shared" si="3"/>
        <v>-6.0046189376443349E-2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42418</v>
      </c>
      <c r="X31" s="44">
        <v>13.05</v>
      </c>
      <c r="Y31" s="44">
        <v>13.13</v>
      </c>
      <c r="Z31" s="44">
        <v>12.64</v>
      </c>
      <c r="AA31" s="44">
        <v>12.99</v>
      </c>
      <c r="AB31" s="114">
        <v>4003600</v>
      </c>
      <c r="AC31" s="11">
        <v>12.99</v>
      </c>
      <c r="AD31" s="2">
        <f t="shared" si="2"/>
        <v>0.49000000000000021</v>
      </c>
      <c r="AE31" s="148">
        <f t="shared" si="3"/>
        <v>-7.6394194041252694E-3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42417</v>
      </c>
      <c r="X32" s="44">
        <v>12.99</v>
      </c>
      <c r="Y32" s="44">
        <v>13.46</v>
      </c>
      <c r="Z32" s="44">
        <v>12.88</v>
      </c>
      <c r="AA32" s="44">
        <v>13.09</v>
      </c>
      <c r="AB32" s="114">
        <v>7358600</v>
      </c>
      <c r="AC32" s="11">
        <v>13.09</v>
      </c>
      <c r="AD32" s="2">
        <f t="shared" si="2"/>
        <v>0.58000000000000007</v>
      </c>
      <c r="AE32" s="148">
        <f t="shared" si="3"/>
        <v>7.6982294072363011E-3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42416</v>
      </c>
      <c r="X33" s="44">
        <v>12.56</v>
      </c>
      <c r="Y33" s="44">
        <v>13.12</v>
      </c>
      <c r="Z33" s="44">
        <v>12.5</v>
      </c>
      <c r="AA33" s="44">
        <v>12.99</v>
      </c>
      <c r="AB33" s="114">
        <v>6316600</v>
      </c>
      <c r="AC33" s="11">
        <v>12.99</v>
      </c>
      <c r="AD33" s="2">
        <f t="shared" si="2"/>
        <v>0.61999999999999922</v>
      </c>
      <c r="AE33" s="148">
        <f t="shared" si="3"/>
        <v>5.1821862348178094E-2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42412</v>
      </c>
      <c r="X34" s="44">
        <v>13.07</v>
      </c>
      <c r="Y34" s="44">
        <v>13.45</v>
      </c>
      <c r="Z34" s="44">
        <v>11.53</v>
      </c>
      <c r="AA34" s="44">
        <v>12.35</v>
      </c>
      <c r="AB34" s="114">
        <v>12239600</v>
      </c>
      <c r="AC34" s="11">
        <v>12.35</v>
      </c>
      <c r="AD34" s="2">
        <f t="shared" si="2"/>
        <v>1.92</v>
      </c>
      <c r="AE34" s="148">
        <f t="shared" si="3"/>
        <v>-6.5102195306586008E-2</v>
      </c>
    </row>
    <row r="35" spans="2:41" x14ac:dyDescent="0.25">
      <c r="B35" s="1">
        <v>42297</v>
      </c>
      <c r="C35" s="4">
        <v>500</v>
      </c>
      <c r="D35" s="273">
        <v>16.100000000000001</v>
      </c>
      <c r="E35" s="3">
        <v>0</v>
      </c>
      <c r="F35" s="3">
        <f t="shared" si="7"/>
        <v>8050.0000000000009</v>
      </c>
      <c r="G35" s="1"/>
      <c r="W35" s="133">
        <v>42411</v>
      </c>
      <c r="X35" s="44">
        <v>14.12</v>
      </c>
      <c r="Y35" s="44">
        <v>14.12</v>
      </c>
      <c r="Z35" s="44">
        <v>13.14</v>
      </c>
      <c r="AA35" s="44">
        <v>13.21</v>
      </c>
      <c r="AB35" s="114">
        <v>8851900</v>
      </c>
      <c r="AC35" s="11">
        <v>13.21</v>
      </c>
      <c r="AD35" s="2">
        <f t="shared" si="2"/>
        <v>0.97999999999999865</v>
      </c>
      <c r="AE35" s="148">
        <f t="shared" si="3"/>
        <v>-8.0723729993040894E-2</v>
      </c>
      <c r="AL35" s="263"/>
      <c r="AO35" s="263"/>
    </row>
    <row r="36" spans="2:41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42410</v>
      </c>
      <c r="X36" s="44">
        <v>14.48</v>
      </c>
      <c r="Y36" s="44">
        <v>14.7</v>
      </c>
      <c r="Z36" s="44">
        <v>14.04</v>
      </c>
      <c r="AA36" s="44">
        <v>14.37</v>
      </c>
      <c r="AB36" s="114">
        <v>3225300</v>
      </c>
      <c r="AC36" s="11">
        <v>14.37</v>
      </c>
      <c r="AD36" s="2">
        <f t="shared" si="2"/>
        <v>0.66000000000000014</v>
      </c>
      <c r="AE36" s="148">
        <f t="shared" si="3"/>
        <v>-1.440329218107006E-2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4" si="8">C37*D37+E37</f>
        <v>2994.95</v>
      </c>
      <c r="G37" s="1"/>
      <c r="W37" s="133">
        <v>42409</v>
      </c>
      <c r="X37" s="44">
        <v>14.03</v>
      </c>
      <c r="Y37" s="44">
        <v>14.78</v>
      </c>
      <c r="Z37" s="44">
        <v>13.88</v>
      </c>
      <c r="AA37" s="44">
        <v>14.58</v>
      </c>
      <c r="AB37" s="114">
        <v>4819900</v>
      </c>
      <c r="AC37" s="11">
        <v>14.58</v>
      </c>
      <c r="AD37" s="2">
        <f t="shared" si="2"/>
        <v>0.89999999999999858</v>
      </c>
      <c r="AE37" s="148">
        <f t="shared" si="3"/>
        <v>3.1117397454031082E-2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42408</v>
      </c>
      <c r="X38" s="44">
        <v>15.2</v>
      </c>
      <c r="Y38" s="44">
        <v>15.22</v>
      </c>
      <c r="Z38" s="44">
        <v>13.79</v>
      </c>
      <c r="AA38" s="44">
        <v>14.14</v>
      </c>
      <c r="AB38" s="114">
        <v>9036100</v>
      </c>
      <c r="AC38" s="11">
        <v>14.14</v>
      </c>
      <c r="AD38" s="2">
        <f t="shared" si="2"/>
        <v>1.4300000000000015</v>
      </c>
      <c r="AE38" s="148">
        <f t="shared" si="3"/>
        <v>-7.6420640104506887E-2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42405</v>
      </c>
      <c r="X39" s="44">
        <v>15.68</v>
      </c>
      <c r="Y39" s="44">
        <v>16.07</v>
      </c>
      <c r="Z39" s="44">
        <v>15.31</v>
      </c>
      <c r="AA39" s="44">
        <v>15.31</v>
      </c>
      <c r="AB39" s="114">
        <v>10245300</v>
      </c>
      <c r="AC39" s="11">
        <v>15.31</v>
      </c>
      <c r="AD39" s="2">
        <f t="shared" si="2"/>
        <v>0.75999999999999979</v>
      </c>
      <c r="AE39" s="148">
        <f t="shared" si="3"/>
        <v>-3.1625553447185317E-2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42404</v>
      </c>
      <c r="X40" s="44">
        <v>15.96</v>
      </c>
      <c r="Y40" s="44">
        <v>16.489999999999998</v>
      </c>
      <c r="Z40" s="44">
        <v>15.7</v>
      </c>
      <c r="AA40" s="44">
        <v>15.81</v>
      </c>
      <c r="AB40" s="114">
        <v>10597800</v>
      </c>
      <c r="AC40" s="11">
        <v>15.81</v>
      </c>
      <c r="AD40" s="2">
        <f t="shared" si="2"/>
        <v>0.78999999999999915</v>
      </c>
      <c r="AE40" s="148">
        <f t="shared" si="3"/>
        <v>-8.1555834378920222E-3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42403</v>
      </c>
      <c r="X41" s="44">
        <v>15.33</v>
      </c>
      <c r="Y41" s="44">
        <v>15.96</v>
      </c>
      <c r="Z41" s="44">
        <v>15.26</v>
      </c>
      <c r="AA41" s="44">
        <v>15.94</v>
      </c>
      <c r="AB41" s="114">
        <v>12289400</v>
      </c>
      <c r="AC41" s="11">
        <v>15.94</v>
      </c>
      <c r="AD41" s="2">
        <f t="shared" si="2"/>
        <v>0.70000000000000107</v>
      </c>
      <c r="AE41" s="148">
        <f t="shared" si="3"/>
        <v>5.0065876152832756E-2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42402</v>
      </c>
      <c r="X42" s="44">
        <v>15.1</v>
      </c>
      <c r="Y42" s="44">
        <v>15.25</v>
      </c>
      <c r="Z42" s="44">
        <v>14.62</v>
      </c>
      <c r="AA42" s="44">
        <v>15.18</v>
      </c>
      <c r="AB42" s="114">
        <v>2810800</v>
      </c>
      <c r="AC42" s="11">
        <v>15.18</v>
      </c>
      <c r="AD42" s="2">
        <f t="shared" si="2"/>
        <v>0.63000000000000078</v>
      </c>
      <c r="AE42" s="148">
        <f t="shared" si="3"/>
        <v>-5.2424639580602728E-3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42401</v>
      </c>
      <c r="X43" s="44">
        <v>15.25</v>
      </c>
      <c r="Y43" s="44">
        <v>15.58</v>
      </c>
      <c r="Z43" s="44">
        <v>14.92</v>
      </c>
      <c r="AA43" s="44">
        <v>15.26</v>
      </c>
      <c r="AB43" s="114">
        <v>4631100</v>
      </c>
      <c r="AC43" s="11">
        <v>15.26</v>
      </c>
      <c r="AD43" s="2">
        <f t="shared" si="2"/>
        <v>0.66000000000000014</v>
      </c>
      <c r="AE43" s="148">
        <f t="shared" si="3"/>
        <v>-3.2658393207054548E-3</v>
      </c>
    </row>
    <row r="44" spans="2:41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42398</v>
      </c>
      <c r="X44" s="44">
        <v>14.66</v>
      </c>
      <c r="Y44" s="44">
        <v>15.38</v>
      </c>
      <c r="Z44" s="44">
        <v>14.58</v>
      </c>
      <c r="AA44" s="44">
        <v>15.31</v>
      </c>
      <c r="AB44" s="114">
        <v>4889600</v>
      </c>
      <c r="AC44" s="11">
        <v>15.31</v>
      </c>
      <c r="AD44" s="2">
        <f t="shared" si="2"/>
        <v>0.80000000000000071</v>
      </c>
      <c r="AE44" s="148">
        <f t="shared" si="3"/>
        <v>6.1719833564493731E-2</v>
      </c>
    </row>
    <row r="45" spans="2:41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42397</v>
      </c>
      <c r="X45" s="44">
        <v>14.49</v>
      </c>
      <c r="Y45" s="44">
        <v>14.86</v>
      </c>
      <c r="Z45" s="44">
        <v>14.23</v>
      </c>
      <c r="AA45" s="44">
        <v>14.42</v>
      </c>
      <c r="AB45" s="114">
        <v>3390800</v>
      </c>
      <c r="AC45" s="11">
        <v>14.42</v>
      </c>
      <c r="AD45" s="2">
        <f t="shared" si="2"/>
        <v>0.62999999999999901</v>
      </c>
      <c r="AE45" s="148">
        <f t="shared" si="3"/>
        <v>1.1929824561403457E-2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20" t="s">
        <v>78</v>
      </c>
      <c r="P46" s="420"/>
      <c r="Q46" s="2"/>
      <c r="T46" s="115" t="s">
        <v>94</v>
      </c>
      <c r="U46" s="119"/>
      <c r="W46" s="133">
        <v>42396</v>
      </c>
      <c r="X46" s="44">
        <v>13.72</v>
      </c>
      <c r="Y46" s="44">
        <v>14.28</v>
      </c>
      <c r="Z46" s="44">
        <v>13.42</v>
      </c>
      <c r="AA46" s="44">
        <v>14.25</v>
      </c>
      <c r="AB46" s="114">
        <v>5982600</v>
      </c>
      <c r="AC46" s="11">
        <v>14.25</v>
      </c>
      <c r="AD46" s="2">
        <f t="shared" si="2"/>
        <v>0.85999999999999943</v>
      </c>
      <c r="AE46" s="148">
        <f t="shared" si="3"/>
        <v>2.813852813852824E-2</v>
      </c>
    </row>
    <row r="47" spans="2:41" ht="15.75" thickTop="1" x14ac:dyDescent="0.25">
      <c r="B47" s="419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16.951000000000001</v>
      </c>
      <c r="Q47" s="2"/>
      <c r="T47" s="118" t="s">
        <v>101</v>
      </c>
      <c r="U47" s="116">
        <v>14.6</v>
      </c>
      <c r="W47" s="133">
        <v>42395</v>
      </c>
      <c r="X47" s="44">
        <v>13.48</v>
      </c>
      <c r="Y47" s="44">
        <v>14.04</v>
      </c>
      <c r="Z47" s="44">
        <v>13.2</v>
      </c>
      <c r="AA47" s="44">
        <v>13.86</v>
      </c>
      <c r="AB47" s="114">
        <v>3564200</v>
      </c>
      <c r="AC47" s="11">
        <v>13.86</v>
      </c>
      <c r="AD47" s="2">
        <f t="shared" si="2"/>
        <v>0.83999999999999986</v>
      </c>
      <c r="AE47" s="148">
        <f t="shared" si="3"/>
        <v>3.8202247191011285E-2</v>
      </c>
    </row>
    <row r="48" spans="2:41" x14ac:dyDescent="0.25">
      <c r="B48" s="419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16.796900000000001</v>
      </c>
      <c r="Q48" s="2"/>
      <c r="T48" s="118" t="s">
        <v>102</v>
      </c>
      <c r="U48" s="116">
        <v>14.71</v>
      </c>
      <c r="W48" s="133">
        <v>42394</v>
      </c>
      <c r="X48" s="44">
        <v>14.35</v>
      </c>
      <c r="Y48" s="44">
        <v>14.35</v>
      </c>
      <c r="Z48" s="44">
        <v>13.29</v>
      </c>
      <c r="AA48" s="44">
        <v>13.35</v>
      </c>
      <c r="AB48" s="114">
        <v>4504600</v>
      </c>
      <c r="AC48" s="11">
        <v>13.35</v>
      </c>
      <c r="AD48" s="2">
        <f t="shared" si="2"/>
        <v>1.0600000000000005</v>
      </c>
      <c r="AE48" s="148">
        <f t="shared" si="3"/>
        <v>-7.9944865609924198E-2</v>
      </c>
    </row>
    <row r="49" spans="1:42" x14ac:dyDescent="0.25">
      <c r="B49" s="1">
        <v>42402</v>
      </c>
      <c r="C49" s="4">
        <v>200</v>
      </c>
      <c r="D49" s="273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16.642800000000001</v>
      </c>
      <c r="Q49" s="2"/>
      <c r="T49" s="118" t="s">
        <v>103</v>
      </c>
      <c r="U49" s="116" t="s">
        <v>293</v>
      </c>
      <c r="W49" s="133">
        <v>42391</v>
      </c>
      <c r="X49" s="44">
        <v>14.82</v>
      </c>
      <c r="Y49" s="44">
        <v>15.18</v>
      </c>
      <c r="Z49" s="44">
        <v>14.12</v>
      </c>
      <c r="AA49" s="44">
        <v>14.51</v>
      </c>
      <c r="AB49" s="114">
        <v>8083100</v>
      </c>
      <c r="AC49" s="11">
        <v>14.51</v>
      </c>
      <c r="AD49" s="2">
        <f t="shared" si="2"/>
        <v>1.0600000000000005</v>
      </c>
      <c r="AE49" s="148">
        <f t="shared" si="3"/>
        <v>-2.0632737276478075E-3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16.488700000000001</v>
      </c>
      <c r="Q50" s="2"/>
      <c r="T50" s="118" t="s">
        <v>104</v>
      </c>
      <c r="U50" s="116" t="s">
        <v>294</v>
      </c>
      <c r="W50" s="133">
        <v>42390</v>
      </c>
      <c r="X50" s="44">
        <v>14.16</v>
      </c>
      <c r="Y50" s="44">
        <v>14.88</v>
      </c>
      <c r="Z50" s="44">
        <v>14.01</v>
      </c>
      <c r="AA50" s="44">
        <v>14.54</v>
      </c>
      <c r="AB50" s="114">
        <v>7137900</v>
      </c>
      <c r="AC50" s="11">
        <v>14.54</v>
      </c>
      <c r="AD50" s="2">
        <f t="shared" si="2"/>
        <v>0.87000000000000099</v>
      </c>
      <c r="AE50" s="148">
        <f t="shared" si="3"/>
        <v>2.5387870239774291E-2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16.334600000000002</v>
      </c>
      <c r="Q51" s="2"/>
      <c r="T51" s="118" t="s">
        <v>105</v>
      </c>
      <c r="U51" s="116">
        <v>19.87</v>
      </c>
      <c r="W51" s="133">
        <v>42389</v>
      </c>
      <c r="X51" s="44">
        <v>13.81</v>
      </c>
      <c r="Y51" s="44">
        <v>14.38</v>
      </c>
      <c r="Z51" s="44">
        <v>12.98</v>
      </c>
      <c r="AA51" s="44">
        <v>14.18</v>
      </c>
      <c r="AB51" s="114">
        <v>6022300</v>
      </c>
      <c r="AC51" s="11">
        <v>14.18</v>
      </c>
      <c r="AD51" s="2">
        <f t="shared" si="2"/>
        <v>1.4000000000000004</v>
      </c>
      <c r="AE51" s="148">
        <f t="shared" si="3"/>
        <v>1.2134189864382527E-2</v>
      </c>
    </row>
    <row r="52" spans="1:42" x14ac:dyDescent="0.25">
      <c r="B52" s="1">
        <v>42416</v>
      </c>
      <c r="C52" s="8">
        <v>250</v>
      </c>
      <c r="D52" s="296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16.180500000000002</v>
      </c>
      <c r="Q52" s="2"/>
      <c r="T52" s="118" t="s">
        <v>106</v>
      </c>
      <c r="U52" s="116">
        <v>0.88275000000000003</v>
      </c>
      <c r="W52" s="133">
        <v>42388</v>
      </c>
      <c r="X52" s="44">
        <v>13.76</v>
      </c>
      <c r="Y52" s="44">
        <v>14.22</v>
      </c>
      <c r="Z52" s="44">
        <v>13.6</v>
      </c>
      <c r="AA52" s="44">
        <v>14.01</v>
      </c>
      <c r="AB52" s="114">
        <v>6516200</v>
      </c>
      <c r="AC52" s="11">
        <v>14.01</v>
      </c>
      <c r="AD52" s="2">
        <f t="shared" si="2"/>
        <v>0.62000000000000099</v>
      </c>
      <c r="AE52" s="148">
        <f t="shared" si="3"/>
        <v>2.7879677182685247E-2</v>
      </c>
    </row>
    <row r="53" spans="1:42" x14ac:dyDescent="0.25">
      <c r="B53" s="1">
        <v>42426</v>
      </c>
      <c r="C53" s="8">
        <v>500</v>
      </c>
      <c r="D53" s="296">
        <v>12.52</v>
      </c>
      <c r="E53" s="17">
        <v>0</v>
      </c>
      <c r="F53" s="17">
        <f t="shared" si="8"/>
        <v>6260</v>
      </c>
      <c r="O53" s="93">
        <v>1.04</v>
      </c>
      <c r="P53" s="93">
        <f t="shared" si="9"/>
        <v>16.026400000000002</v>
      </c>
      <c r="Q53" s="2"/>
      <c r="T53" s="118" t="s">
        <v>126</v>
      </c>
      <c r="U53" s="116" t="s">
        <v>227</v>
      </c>
      <c r="W53" s="133">
        <v>42384</v>
      </c>
      <c r="X53" s="44">
        <v>13.98</v>
      </c>
      <c r="Y53" s="44">
        <v>14.09</v>
      </c>
      <c r="Z53" s="44">
        <v>13.15</v>
      </c>
      <c r="AA53" s="44">
        <v>13.63</v>
      </c>
      <c r="AB53" s="114">
        <v>5640500</v>
      </c>
      <c r="AC53" s="11">
        <v>13.63</v>
      </c>
      <c r="AD53" s="2">
        <f t="shared" si="2"/>
        <v>0.9399999999999995</v>
      </c>
      <c r="AE53" s="148">
        <f t="shared" si="3"/>
        <v>-4.7519217330538099E-2</v>
      </c>
      <c r="AL53" s="263"/>
      <c r="AO53" s="263"/>
    </row>
    <row r="54" spans="1:42" x14ac:dyDescent="0.25">
      <c r="B54" s="1">
        <v>42460</v>
      </c>
      <c r="C54" s="8">
        <v>500</v>
      </c>
      <c r="D54" s="296">
        <v>14.95</v>
      </c>
      <c r="E54" s="17">
        <v>-0.05</v>
      </c>
      <c r="F54" s="17">
        <f t="shared" si="8"/>
        <v>7474.95</v>
      </c>
      <c r="O54" s="93">
        <v>1.03</v>
      </c>
      <c r="P54" s="93">
        <f t="shared" si="9"/>
        <v>15.872300000000001</v>
      </c>
      <c r="Q54" s="2"/>
      <c r="T54" s="118"/>
      <c r="U54" s="116"/>
      <c r="W54" s="133">
        <v>42383</v>
      </c>
      <c r="X54" s="44">
        <v>13.35</v>
      </c>
      <c r="Y54" s="44">
        <v>14.39</v>
      </c>
      <c r="Z54" s="44">
        <v>13.18</v>
      </c>
      <c r="AA54" s="44">
        <v>14.31</v>
      </c>
      <c r="AB54" s="114">
        <v>3953900</v>
      </c>
      <c r="AC54" s="11">
        <v>14.31</v>
      </c>
      <c r="AD54" s="2">
        <f t="shared" si="2"/>
        <v>1.2100000000000009</v>
      </c>
      <c r="AE54" s="148">
        <f t="shared" si="3"/>
        <v>7.3518379594898819E-2</v>
      </c>
    </row>
    <row r="55" spans="1:42" x14ac:dyDescent="0.25">
      <c r="C55" s="4"/>
      <c r="D55" s="273"/>
      <c r="E55" s="3"/>
      <c r="F55" s="3"/>
      <c r="O55" s="93">
        <v>1.02</v>
      </c>
      <c r="P55" s="93">
        <f t="shared" si="9"/>
        <v>15.718200000000001</v>
      </c>
      <c r="T55" s="118" t="s">
        <v>108</v>
      </c>
      <c r="U55" s="116" t="s">
        <v>279</v>
      </c>
      <c r="W55" s="133">
        <v>42382</v>
      </c>
      <c r="X55" s="44">
        <v>13.73</v>
      </c>
      <c r="Y55" s="44">
        <v>14.09</v>
      </c>
      <c r="Z55" s="44">
        <v>13.27</v>
      </c>
      <c r="AA55" s="44">
        <v>13.33</v>
      </c>
      <c r="AB55" s="114">
        <v>5785300</v>
      </c>
      <c r="AC55" s="11">
        <v>13.33</v>
      </c>
      <c r="AD55" s="2">
        <f t="shared" si="2"/>
        <v>0.82000000000000028</v>
      </c>
      <c r="AE55" s="148">
        <f t="shared" si="3"/>
        <v>-2.6296566837107349E-2</v>
      </c>
    </row>
    <row r="56" spans="1:42" x14ac:dyDescent="0.25">
      <c r="A56" s="35" t="s">
        <v>81</v>
      </c>
      <c r="B56" s="16"/>
      <c r="C56" s="16">
        <f>SUM(C2:C55)</f>
        <v>22565</v>
      </c>
      <c r="D56" s="91"/>
      <c r="E56" s="16"/>
      <c r="F56" s="21">
        <f>SUM(F2:F55)</f>
        <v>341283.97000000003</v>
      </c>
      <c r="G56" s="16"/>
      <c r="H56" s="16">
        <f>SUM(H2:H26)</f>
        <v>21065</v>
      </c>
      <c r="I56" s="91"/>
      <c r="J56" s="16"/>
      <c r="K56" s="21">
        <f>SUM(K2:K26)</f>
        <v>296078.44</v>
      </c>
      <c r="L56" s="16"/>
      <c r="M56" s="16"/>
      <c r="O56" s="93">
        <v>1.01</v>
      </c>
      <c r="P56" s="93">
        <f t="shared" si="9"/>
        <v>15.5641</v>
      </c>
      <c r="T56" s="118" t="s">
        <v>109</v>
      </c>
      <c r="U56" s="116" t="s">
        <v>228</v>
      </c>
      <c r="W56" s="133">
        <v>42381</v>
      </c>
      <c r="X56" s="44">
        <v>14.47</v>
      </c>
      <c r="Y56" s="44">
        <v>14.56</v>
      </c>
      <c r="Z56" s="44">
        <v>13.67</v>
      </c>
      <c r="AA56" s="44">
        <v>13.69</v>
      </c>
      <c r="AB56" s="114">
        <v>6493300</v>
      </c>
      <c r="AC56" s="11">
        <v>13.69</v>
      </c>
      <c r="AD56" s="2">
        <f t="shared" si="2"/>
        <v>0.89000000000000057</v>
      </c>
      <c r="AE56" s="148">
        <f t="shared" si="3"/>
        <v>-4.9965301873698853E-2</v>
      </c>
    </row>
    <row r="57" spans="1:42" x14ac:dyDescent="0.25">
      <c r="O57" s="93">
        <v>1</v>
      </c>
      <c r="P57" s="93">
        <f t="shared" si="9"/>
        <v>15.41</v>
      </c>
      <c r="T57" s="118" t="s">
        <v>110</v>
      </c>
      <c r="U57" s="117">
        <v>3359714</v>
      </c>
      <c r="W57" s="133">
        <v>42380</v>
      </c>
      <c r="X57" s="44">
        <v>14.57</v>
      </c>
      <c r="Y57" s="44">
        <v>14.63</v>
      </c>
      <c r="Z57" s="44">
        <v>14.19</v>
      </c>
      <c r="AA57" s="44">
        <v>14.41</v>
      </c>
      <c r="AB57" s="114">
        <v>5499600</v>
      </c>
      <c r="AC57" s="11">
        <v>14.41</v>
      </c>
      <c r="AD57" s="2">
        <f t="shared" si="2"/>
        <v>0.44000000000000128</v>
      </c>
      <c r="AE57" s="148">
        <f t="shared" si="3"/>
        <v>-8.2587749483825634E-3</v>
      </c>
      <c r="AL57" s="263"/>
      <c r="AO57" s="263"/>
    </row>
    <row r="58" spans="1:42" x14ac:dyDescent="0.25">
      <c r="B58" s="209" t="s">
        <v>117</v>
      </c>
      <c r="C58" s="209" t="s">
        <v>167</v>
      </c>
      <c r="D58" s="219" t="s">
        <v>166</v>
      </c>
      <c r="E58" s="213" t="s">
        <v>168</v>
      </c>
      <c r="F58" s="213" t="s">
        <v>65</v>
      </c>
      <c r="G58" s="253" t="s">
        <v>172</v>
      </c>
      <c r="H58" s="213" t="s">
        <v>90</v>
      </c>
      <c r="I58" s="274" t="s">
        <v>172</v>
      </c>
      <c r="O58" s="93">
        <v>0.99</v>
      </c>
      <c r="P58" s="93">
        <f t="shared" si="9"/>
        <v>15.2559</v>
      </c>
      <c r="T58" s="118" t="s">
        <v>113</v>
      </c>
      <c r="U58" s="117">
        <v>4910260</v>
      </c>
      <c r="W58" s="133">
        <v>42377</v>
      </c>
      <c r="X58" s="44">
        <v>14.41</v>
      </c>
      <c r="Y58" s="44">
        <v>14.67</v>
      </c>
      <c r="Z58" s="44">
        <v>14.1</v>
      </c>
      <c r="AA58" s="44">
        <v>14.53</v>
      </c>
      <c r="AB58" s="114">
        <v>9558900</v>
      </c>
      <c r="AC58" s="11">
        <v>14.53</v>
      </c>
      <c r="AD58" s="2">
        <f t="shared" si="2"/>
        <v>0.57000000000000028</v>
      </c>
      <c r="AE58" s="148">
        <f t="shared" si="3"/>
        <v>1.2543554006968716E-2</v>
      </c>
    </row>
    <row r="59" spans="1:42" x14ac:dyDescent="0.25">
      <c r="B59" s="211">
        <v>42304</v>
      </c>
      <c r="C59" s="12">
        <v>5530</v>
      </c>
      <c r="D59" s="220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61">
        <f>IF(C59=0, D59, (E59-D59)/D59)</f>
        <v>-0.16082711085583001</v>
      </c>
      <c r="I59" s="220"/>
      <c r="O59" s="93">
        <v>0.98</v>
      </c>
      <c r="P59" s="93">
        <f t="shared" si="9"/>
        <v>15.101799999999999</v>
      </c>
      <c r="T59" s="118" t="s">
        <v>111</v>
      </c>
      <c r="U59" s="116" t="s">
        <v>280</v>
      </c>
      <c r="W59" s="133">
        <v>42376</v>
      </c>
      <c r="X59" s="44">
        <v>14.1</v>
      </c>
      <c r="Y59" s="44">
        <v>14.54</v>
      </c>
      <c r="Z59" s="44">
        <v>14.03</v>
      </c>
      <c r="AA59" s="44">
        <v>14.35</v>
      </c>
      <c r="AB59" s="114">
        <v>4239000</v>
      </c>
      <c r="AC59" s="11">
        <v>14.35</v>
      </c>
      <c r="AD59" s="2">
        <f t="shared" si="2"/>
        <v>0.50999999999999979</v>
      </c>
      <c r="AE59" s="148">
        <f t="shared" si="3"/>
        <v>6.9735006973492553E-4</v>
      </c>
      <c r="AL59" s="263"/>
    </row>
    <row r="60" spans="1:42" x14ac:dyDescent="0.25">
      <c r="B60" s="211">
        <v>42306</v>
      </c>
      <c r="C60" s="12">
        <v>5530</v>
      </c>
      <c r="D60" s="220">
        <v>17.41</v>
      </c>
      <c r="E60" s="43">
        <v>14.94</v>
      </c>
      <c r="F60" s="43">
        <f t="shared" ref="F60:F90" si="10">C60*(E60-D60)</f>
        <v>-13659.100000000004</v>
      </c>
      <c r="G60" s="43">
        <f t="shared" ref="G60:G90" si="11">IF(C60=0, 0,D60*C60)</f>
        <v>96277.3</v>
      </c>
      <c r="H60" s="261">
        <f t="shared" ref="H60:H90" si="12">IF(C60=0, D60, (E60-D60)/D60)</f>
        <v>-0.14187248707639291</v>
      </c>
      <c r="I60" s="220"/>
      <c r="O60" s="93">
        <v>0.97</v>
      </c>
      <c r="P60" s="93">
        <f t="shared" si="9"/>
        <v>14.947699999999999</v>
      </c>
      <c r="T60" s="118" t="s">
        <v>114</v>
      </c>
      <c r="U60" s="116">
        <v>23.08</v>
      </c>
      <c r="W60" s="133">
        <v>42375</v>
      </c>
      <c r="X60" s="44">
        <v>14.51</v>
      </c>
      <c r="Y60" s="44">
        <v>14.51</v>
      </c>
      <c r="Z60" s="44">
        <v>14.26</v>
      </c>
      <c r="AA60" s="44">
        <v>14.34</v>
      </c>
      <c r="AB60" s="114">
        <v>2888200</v>
      </c>
      <c r="AC60" s="11">
        <v>14.34</v>
      </c>
      <c r="AD60" s="2">
        <f t="shared" si="2"/>
        <v>0.25</v>
      </c>
      <c r="AE60" s="148">
        <f t="shared" si="3"/>
        <v>-2.3160762942779245E-2</v>
      </c>
    </row>
    <row r="61" spans="1:42" x14ac:dyDescent="0.25">
      <c r="B61" s="211">
        <v>42307</v>
      </c>
      <c r="C61" s="12">
        <v>5730</v>
      </c>
      <c r="D61" s="220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61">
        <f t="shared" si="12"/>
        <v>-0.10502019619157522</v>
      </c>
      <c r="I61" s="220"/>
      <c r="O61" s="93">
        <v>0.96</v>
      </c>
      <c r="P61" s="93">
        <f t="shared" si="9"/>
        <v>14.7936</v>
      </c>
      <c r="T61" s="118" t="s">
        <v>115</v>
      </c>
      <c r="U61" s="116">
        <v>0.64</v>
      </c>
      <c r="W61" s="133">
        <v>42374</v>
      </c>
      <c r="X61" s="44">
        <v>14.51</v>
      </c>
      <c r="Y61" s="44">
        <v>14.7</v>
      </c>
      <c r="Z61" s="44">
        <v>14.18</v>
      </c>
      <c r="AA61" s="44">
        <v>14.68</v>
      </c>
      <c r="AB61" s="114">
        <v>3379600</v>
      </c>
      <c r="AC61" s="11">
        <v>14.68</v>
      </c>
      <c r="AD61" s="2">
        <f t="shared" si="2"/>
        <v>0.51999999999999957</v>
      </c>
      <c r="AE61" s="148">
        <f t="shared" si="3"/>
        <v>1.591695501730106E-2</v>
      </c>
      <c r="AL61" s="263"/>
      <c r="AO61" s="263"/>
    </row>
    <row r="62" spans="1:42" x14ac:dyDescent="0.25">
      <c r="B62" s="211">
        <v>42313</v>
      </c>
      <c r="C62" s="12">
        <v>6000</v>
      </c>
      <c r="D62" s="220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61">
        <f t="shared" si="12"/>
        <v>-0.13588850174216019</v>
      </c>
      <c r="I62" s="220"/>
      <c r="O62" s="93">
        <v>0.95</v>
      </c>
      <c r="P62" s="93">
        <f t="shared" si="9"/>
        <v>14.6395</v>
      </c>
      <c r="T62" s="118" t="s">
        <v>112</v>
      </c>
      <c r="U62" s="116" t="s">
        <v>127</v>
      </c>
      <c r="W62" s="133">
        <v>42373</v>
      </c>
      <c r="X62" s="44">
        <v>14.41</v>
      </c>
      <c r="Y62" s="44">
        <v>14.7</v>
      </c>
      <c r="Z62" s="44">
        <v>14.22</v>
      </c>
      <c r="AA62" s="44">
        <v>14.45</v>
      </c>
      <c r="AB62" s="114">
        <v>3947500</v>
      </c>
      <c r="AC62" s="11">
        <v>14.45</v>
      </c>
      <c r="AD62" s="2">
        <f t="shared" si="2"/>
        <v>0.47999999999999865</v>
      </c>
      <c r="AE62" s="148">
        <f t="shared" si="3"/>
        <v>-1.3821700069109877E-3</v>
      </c>
    </row>
    <row r="63" spans="1:42" x14ac:dyDescent="0.25">
      <c r="B63" s="211">
        <v>42314</v>
      </c>
      <c r="C63" s="12">
        <v>7006</v>
      </c>
      <c r="D63" s="220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61">
        <f t="shared" si="12"/>
        <v>-0.14319667260843724</v>
      </c>
      <c r="I63" s="220"/>
      <c r="O63" s="93">
        <v>0.94</v>
      </c>
      <c r="P63" s="93">
        <f t="shared" si="9"/>
        <v>14.485399999999998</v>
      </c>
      <c r="W63" s="133">
        <v>42369</v>
      </c>
      <c r="X63" s="44">
        <v>14.21</v>
      </c>
      <c r="Y63" s="44">
        <v>14.57</v>
      </c>
      <c r="Z63" s="44">
        <v>14.11</v>
      </c>
      <c r="AA63" s="44">
        <v>14.47</v>
      </c>
      <c r="AB63" s="114">
        <v>2244100</v>
      </c>
      <c r="AC63" s="11">
        <v>14.47</v>
      </c>
      <c r="AD63" s="2">
        <f t="shared" si="2"/>
        <v>0.46000000000000085</v>
      </c>
      <c r="AE63" s="148">
        <f t="shared" si="3"/>
        <v>1.8296973961998475E-2</v>
      </c>
      <c r="AL63" s="263"/>
      <c r="AO63" s="263"/>
      <c r="AP63" s="263"/>
    </row>
    <row r="64" spans="1:42" x14ac:dyDescent="0.25">
      <c r="B64" s="211">
        <v>42324</v>
      </c>
      <c r="C64" s="12">
        <v>6000</v>
      </c>
      <c r="D64" s="220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61">
        <f t="shared" si="12"/>
        <v>-0.13154831199068684</v>
      </c>
      <c r="I64" s="220"/>
      <c r="O64" s="93">
        <v>0.93</v>
      </c>
      <c r="P64" s="93">
        <f t="shared" si="9"/>
        <v>14.331300000000001</v>
      </c>
      <c r="W64" s="133">
        <v>42368</v>
      </c>
      <c r="X64" s="44">
        <v>14.44</v>
      </c>
      <c r="Y64" s="44">
        <v>14.61</v>
      </c>
      <c r="Z64" s="44">
        <v>14.21</v>
      </c>
      <c r="AA64" s="44">
        <v>14.21</v>
      </c>
      <c r="AB64" s="114">
        <v>2189300</v>
      </c>
      <c r="AC64" s="11">
        <v>14.21</v>
      </c>
      <c r="AD64" s="2">
        <f t="shared" si="2"/>
        <v>0.39999999999999858</v>
      </c>
      <c r="AE64" s="148">
        <f t="shared" si="3"/>
        <v>-2.5377229080932762E-2</v>
      </c>
    </row>
    <row r="65" spans="2:41" x14ac:dyDescent="0.25">
      <c r="B65" s="211">
        <v>42325</v>
      </c>
      <c r="C65" s="12">
        <v>7000</v>
      </c>
      <c r="D65" s="220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61">
        <f t="shared" si="12"/>
        <v>-0.14353782013103028</v>
      </c>
      <c r="I65" s="220"/>
      <c r="O65" s="93">
        <v>0.92</v>
      </c>
      <c r="P65" s="93">
        <f t="shared" si="9"/>
        <v>14.177200000000001</v>
      </c>
      <c r="W65" s="133">
        <v>42367</v>
      </c>
      <c r="X65" s="44">
        <v>14.44</v>
      </c>
      <c r="Y65" s="44">
        <v>14.63</v>
      </c>
      <c r="Z65" s="44">
        <v>14.15</v>
      </c>
      <c r="AA65" s="44">
        <v>14.58</v>
      </c>
      <c r="AB65" s="114">
        <v>3918200</v>
      </c>
      <c r="AC65" s="11">
        <v>14.58</v>
      </c>
      <c r="AD65" s="2">
        <f t="shared" si="2"/>
        <v>0.48000000000000043</v>
      </c>
      <c r="AE65" s="148">
        <f t="shared" si="3"/>
        <v>1.6027874564459976E-2</v>
      </c>
      <c r="AL65" s="263"/>
      <c r="AO65" s="263"/>
    </row>
    <row r="66" spans="2:41" x14ac:dyDescent="0.25">
      <c r="B66" s="211">
        <v>42326</v>
      </c>
      <c r="C66" s="12">
        <v>6000</v>
      </c>
      <c r="D66" s="220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61">
        <f t="shared" si="12"/>
        <v>-0.14627039627039626</v>
      </c>
      <c r="I66" s="220"/>
      <c r="O66" s="93">
        <v>0.91</v>
      </c>
      <c r="P66" s="93">
        <f t="shared" si="9"/>
        <v>14.023100000000001</v>
      </c>
      <c r="W66" s="133">
        <v>42366</v>
      </c>
      <c r="X66" s="44">
        <v>14.34</v>
      </c>
      <c r="Y66" s="44">
        <v>14.46</v>
      </c>
      <c r="Z66" s="44">
        <v>14.2</v>
      </c>
      <c r="AA66" s="44">
        <v>14.35</v>
      </c>
      <c r="AB66" s="114">
        <v>2457900</v>
      </c>
      <c r="AC66" s="11">
        <v>14.35</v>
      </c>
      <c r="AD66" s="2">
        <f t="shared" si="2"/>
        <v>0.26000000000000156</v>
      </c>
      <c r="AE66" s="148">
        <f t="shared" si="3"/>
        <v>-7.6071922544952431E-3</v>
      </c>
    </row>
    <row r="67" spans="2:41" x14ac:dyDescent="0.25">
      <c r="B67" s="211">
        <v>42335</v>
      </c>
      <c r="C67" s="12">
        <v>6100</v>
      </c>
      <c r="D67" s="220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61">
        <f t="shared" si="12"/>
        <v>-0.15429573348918754</v>
      </c>
      <c r="I67" s="220"/>
      <c r="O67" s="93">
        <v>0.9</v>
      </c>
      <c r="P67" s="93">
        <f t="shared" si="9"/>
        <v>13.869</v>
      </c>
      <c r="W67" s="133">
        <v>42362</v>
      </c>
      <c r="X67" s="44">
        <v>14.24</v>
      </c>
      <c r="Y67" s="44">
        <v>14.48</v>
      </c>
      <c r="Z67" s="44">
        <v>14.18</v>
      </c>
      <c r="AA67" s="44">
        <v>14.46</v>
      </c>
      <c r="AB67" s="114">
        <v>1351800</v>
      </c>
      <c r="AC67" s="11">
        <v>14.46</v>
      </c>
      <c r="AD67" s="2">
        <f>Y67-Z67</f>
        <v>0.30000000000000071</v>
      </c>
      <c r="AE67" s="148" t="e">
        <f>AC67/AC68-1</f>
        <v>#DIV/0!</v>
      </c>
      <c r="AL67" s="263"/>
    </row>
    <row r="68" spans="2:41" x14ac:dyDescent="0.25">
      <c r="B68" s="211">
        <v>42335</v>
      </c>
      <c r="C68" s="12">
        <v>7000</v>
      </c>
      <c r="D68" s="220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61">
        <f t="shared" si="12"/>
        <v>-0.1371496720333929</v>
      </c>
      <c r="I68" s="220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42338</v>
      </c>
      <c r="C69" s="12">
        <v>6000</v>
      </c>
      <c r="D69" s="220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61">
        <f t="shared" si="12"/>
        <v>-0.13567251461988314</v>
      </c>
      <c r="I69" s="220"/>
    </row>
    <row r="70" spans="2:41" x14ac:dyDescent="0.25">
      <c r="B70" s="211">
        <v>42338</v>
      </c>
      <c r="C70" s="12">
        <v>5900</v>
      </c>
      <c r="D70" s="220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61">
        <f t="shared" si="12"/>
        <v>-0.13768961493582271</v>
      </c>
      <c r="I70" s="220"/>
    </row>
    <row r="71" spans="2:41" x14ac:dyDescent="0.25">
      <c r="B71" s="211">
        <v>42340</v>
      </c>
      <c r="C71" s="12">
        <v>7000</v>
      </c>
      <c r="D71" s="220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61">
        <f t="shared" si="12"/>
        <v>-0.16616676664667074</v>
      </c>
      <c r="I71" s="220"/>
    </row>
    <row r="72" spans="2:41" x14ac:dyDescent="0.25">
      <c r="B72" s="211">
        <v>42340</v>
      </c>
      <c r="C72" s="12">
        <v>7500</v>
      </c>
      <c r="D72" s="220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61">
        <f t="shared" si="12"/>
        <v>-0.15808600847970933</v>
      </c>
      <c r="I72" s="220"/>
    </row>
    <row r="73" spans="2:41" x14ac:dyDescent="0.25">
      <c r="B73" s="211">
        <v>42344</v>
      </c>
      <c r="C73" s="12">
        <v>7500</v>
      </c>
      <c r="D73" s="220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61">
        <f t="shared" si="12"/>
        <v>-0.20351302241066027</v>
      </c>
      <c r="I73" s="220"/>
    </row>
    <row r="74" spans="2:41" x14ac:dyDescent="0.25">
      <c r="B74" s="211">
        <v>42349</v>
      </c>
      <c r="C74" s="12">
        <v>8000</v>
      </c>
      <c r="D74" s="220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61">
        <f t="shared" si="12"/>
        <v>-0.23308733087330877</v>
      </c>
      <c r="I74" s="220"/>
    </row>
    <row r="75" spans="2:41" x14ac:dyDescent="0.25">
      <c r="B75" s="211">
        <v>42356</v>
      </c>
      <c r="C75" s="12">
        <v>7500</v>
      </c>
      <c r="D75" s="220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61">
        <f t="shared" si="12"/>
        <v>-0.23682616596002432</v>
      </c>
      <c r="I75" s="220"/>
    </row>
    <row r="76" spans="2:41" x14ac:dyDescent="0.25">
      <c r="B76" s="211">
        <v>42356</v>
      </c>
      <c r="C76" s="12">
        <v>4500</v>
      </c>
      <c r="D76" s="220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61">
        <f t="shared" si="12"/>
        <v>-0.32494758909853239</v>
      </c>
      <c r="I76" s="220"/>
    </row>
    <row r="77" spans="2:41" ht="15" customHeight="1" x14ac:dyDescent="0.25">
      <c r="B77" s="211">
        <v>42397</v>
      </c>
      <c r="C77" s="297">
        <v>2000</v>
      </c>
      <c r="D77" s="298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61">
        <f t="shared" si="12"/>
        <v>-0.41404451266308517</v>
      </c>
      <c r="I77" s="220"/>
    </row>
    <row r="78" spans="2:41" x14ac:dyDescent="0.25">
      <c r="B78" s="211">
        <v>42398</v>
      </c>
      <c r="C78" s="12">
        <v>1800</v>
      </c>
      <c r="D78" s="220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61">
        <f t="shared" si="12"/>
        <v>-0.43983859134262659</v>
      </c>
      <c r="I78" s="220"/>
    </row>
    <row r="79" spans="2:41" x14ac:dyDescent="0.25">
      <c r="B79" s="211">
        <v>42402</v>
      </c>
      <c r="C79" s="297">
        <v>2000</v>
      </c>
      <c r="D79" s="298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61">
        <f t="shared" si="12"/>
        <v>-0.41615384615384615</v>
      </c>
      <c r="I79" s="220"/>
    </row>
    <row r="80" spans="2:41" ht="15" customHeight="1" x14ac:dyDescent="0.25">
      <c r="B80" s="211">
        <v>42412</v>
      </c>
      <c r="C80" s="12">
        <v>2200</v>
      </c>
      <c r="D80" s="220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61">
        <f t="shared" si="12"/>
        <v>-0.50101010101010102</v>
      </c>
      <c r="I80" s="220"/>
    </row>
    <row r="81" spans="2:9" x14ac:dyDescent="0.25">
      <c r="B81" s="211">
        <v>42416</v>
      </c>
      <c r="C81" s="297">
        <v>2000</v>
      </c>
      <c r="D81" s="298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61">
        <f t="shared" si="12"/>
        <v>-0.52426810477657937</v>
      </c>
      <c r="I81" s="220"/>
    </row>
    <row r="82" spans="2:9" x14ac:dyDescent="0.25">
      <c r="B82" s="211">
        <v>42416</v>
      </c>
      <c r="C82" s="12">
        <v>1750</v>
      </c>
      <c r="D82" s="220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61">
        <f t="shared" si="12"/>
        <v>-0.53649766271125487</v>
      </c>
      <c r="I82" s="220"/>
    </row>
    <row r="83" spans="2:9" ht="15" customHeight="1" x14ac:dyDescent="0.25">
      <c r="B83" s="211">
        <v>42416</v>
      </c>
      <c r="C83" s="297">
        <v>2000</v>
      </c>
      <c r="D83" s="298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61">
        <f t="shared" si="12"/>
        <v>-0.50131031293355943</v>
      </c>
      <c r="I83" s="220"/>
    </row>
    <row r="84" spans="2:9" x14ac:dyDescent="0.25">
      <c r="B84" s="211">
        <v>42426</v>
      </c>
      <c r="C84" s="297">
        <v>2000</v>
      </c>
      <c r="D84" s="298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61">
        <f t="shared" si="12"/>
        <v>-0.52267026818444917</v>
      </c>
      <c r="I84" s="220"/>
    </row>
    <row r="85" spans="2:9" x14ac:dyDescent="0.25">
      <c r="B85" s="211">
        <v>42430</v>
      </c>
      <c r="C85" s="320">
        <v>2000</v>
      </c>
      <c r="D85" s="321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61">
        <f t="shared" si="12"/>
        <v>-0.50530580744742426</v>
      </c>
      <c r="I85" s="220">
        <v>25.5</v>
      </c>
    </row>
    <row r="86" spans="2:9" ht="15" customHeight="1" x14ac:dyDescent="0.25">
      <c r="B86" s="211">
        <v>42431</v>
      </c>
      <c r="C86" s="12">
        <v>1500</v>
      </c>
      <c r="D86" s="220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61">
        <f t="shared" si="12"/>
        <v>-0.55868201878090051</v>
      </c>
      <c r="I86" s="220"/>
    </row>
    <row r="87" spans="2:9" x14ac:dyDescent="0.25">
      <c r="B87" s="211">
        <v>42433</v>
      </c>
      <c r="C87" s="12">
        <v>1500</v>
      </c>
      <c r="D87" s="220">
        <v>30.137</v>
      </c>
      <c r="E87" s="43">
        <v>14.14</v>
      </c>
      <c r="F87" s="43">
        <f t="shared" si="10"/>
        <v>-23995.5</v>
      </c>
      <c r="G87" s="43">
        <f t="shared" si="11"/>
        <v>45205.5</v>
      </c>
      <c r="H87" s="261">
        <f t="shared" si="12"/>
        <v>-0.53080930417758898</v>
      </c>
      <c r="I87" s="220"/>
    </row>
    <row r="88" spans="2:9" x14ac:dyDescent="0.25">
      <c r="B88" s="211">
        <v>42437</v>
      </c>
      <c r="C88" s="12">
        <v>1500</v>
      </c>
      <c r="D88" s="220">
        <v>30.137</v>
      </c>
      <c r="E88" s="43">
        <v>13.52</v>
      </c>
      <c r="F88" s="43">
        <f t="shared" si="10"/>
        <v>-24925.5</v>
      </c>
      <c r="G88" s="43">
        <f t="shared" si="11"/>
        <v>45205.5</v>
      </c>
      <c r="H88" s="261">
        <f t="shared" si="12"/>
        <v>-0.55138202209908094</v>
      </c>
      <c r="I88" s="220"/>
    </row>
    <row r="89" spans="2:9" ht="15" customHeight="1" x14ac:dyDescent="0.25">
      <c r="B89" s="211">
        <v>42444</v>
      </c>
      <c r="C89" s="12">
        <v>1500</v>
      </c>
      <c r="D89" s="220">
        <v>30.137</v>
      </c>
      <c r="E89" s="43">
        <v>14.28</v>
      </c>
      <c r="F89" s="43">
        <f t="shared" si="10"/>
        <v>-23785.5</v>
      </c>
      <c r="G89" s="43">
        <f t="shared" si="11"/>
        <v>45205.5</v>
      </c>
      <c r="H89" s="261">
        <f t="shared" si="12"/>
        <v>-0.52616385174370384</v>
      </c>
      <c r="I89" s="220"/>
    </row>
    <row r="90" spans="2:9" x14ac:dyDescent="0.25">
      <c r="B90" s="211">
        <v>42447</v>
      </c>
      <c r="C90" s="12">
        <v>1500</v>
      </c>
      <c r="D90" s="220">
        <v>30.137</v>
      </c>
      <c r="E90" s="43">
        <v>14.98</v>
      </c>
      <c r="F90" s="43">
        <f t="shared" si="10"/>
        <v>-22735.5</v>
      </c>
      <c r="G90" s="43">
        <f t="shared" si="11"/>
        <v>45205.5</v>
      </c>
      <c r="H90" s="261">
        <f t="shared" si="12"/>
        <v>-0.50293658957427745</v>
      </c>
      <c r="I90" s="220"/>
    </row>
    <row r="91" spans="2:9" x14ac:dyDescent="0.25">
      <c r="B91" s="211"/>
      <c r="C91" s="12"/>
      <c r="D91" s="220"/>
      <c r="E91" s="43"/>
      <c r="F91" s="43"/>
      <c r="G91" s="43"/>
      <c r="H91" s="261"/>
      <c r="I91" s="220"/>
    </row>
    <row r="92" spans="2:9" ht="15" customHeight="1" x14ac:dyDescent="0.25">
      <c r="B92" s="211"/>
      <c r="C92" s="12"/>
      <c r="D92" s="220"/>
      <c r="E92" s="43"/>
      <c r="F92" s="43"/>
      <c r="G92" s="43"/>
      <c r="H92" s="261"/>
      <c r="I92" s="220"/>
    </row>
    <row r="93" spans="2:9" x14ac:dyDescent="0.25">
      <c r="B93" s="211"/>
      <c r="C93" s="12"/>
      <c r="D93" s="220"/>
      <c r="E93" s="43"/>
      <c r="F93" s="43"/>
      <c r="G93" s="43"/>
      <c r="H93" s="261"/>
      <c r="I93" s="220"/>
    </row>
    <row r="94" spans="2:9" x14ac:dyDescent="0.25">
      <c r="B94" s="211"/>
      <c r="C94" s="12"/>
      <c r="D94" s="220"/>
      <c r="E94" s="43"/>
      <c r="F94" s="43"/>
      <c r="G94" s="43"/>
      <c r="H94" s="261"/>
      <c r="I94" s="220"/>
    </row>
    <row r="95" spans="2:9" x14ac:dyDescent="0.25">
      <c r="B95" s="211"/>
      <c r="C95" s="12"/>
      <c r="D95" s="220"/>
      <c r="E95" s="43"/>
      <c r="F95" s="43"/>
      <c r="G95" s="43"/>
      <c r="H95" s="261"/>
      <c r="I95" s="220"/>
    </row>
    <row r="96" spans="2:9" x14ac:dyDescent="0.25">
      <c r="B96" s="211"/>
      <c r="C96" s="12"/>
      <c r="D96" s="220"/>
      <c r="E96" s="43"/>
      <c r="F96" s="43"/>
      <c r="G96" s="43"/>
      <c r="H96" s="261"/>
      <c r="I96" s="220"/>
    </row>
    <row r="97" spans="2:9" x14ac:dyDescent="0.25">
      <c r="B97" s="211"/>
      <c r="C97" s="12"/>
      <c r="D97" s="220"/>
      <c r="E97" s="43"/>
      <c r="F97" s="43"/>
      <c r="G97" s="43"/>
      <c r="H97" s="261"/>
      <c r="I97" s="220"/>
    </row>
    <row r="98" spans="2:9" x14ac:dyDescent="0.25">
      <c r="B98" s="211"/>
      <c r="C98" s="12"/>
      <c r="D98" s="220"/>
      <c r="E98" s="43"/>
      <c r="F98" s="43"/>
      <c r="G98" s="43"/>
      <c r="H98" s="261"/>
      <c r="I98" s="220"/>
    </row>
    <row r="99" spans="2:9" x14ac:dyDescent="0.25">
      <c r="B99" s="211"/>
      <c r="C99" s="12"/>
      <c r="D99" s="220"/>
      <c r="E99" s="43"/>
      <c r="F99" s="43"/>
      <c r="G99" s="43"/>
      <c r="H99" s="261"/>
      <c r="I99" s="220"/>
    </row>
    <row r="100" spans="2:9" x14ac:dyDescent="0.25">
      <c r="B100" s="211"/>
      <c r="C100" s="12"/>
      <c r="D100" s="220"/>
      <c r="E100" s="43"/>
      <c r="F100" s="43"/>
      <c r="G100" s="43"/>
      <c r="H100" s="261"/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61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61"/>
      <c r="I102" s="220"/>
    </row>
  </sheetData>
  <mergeCells count="3">
    <mergeCell ref="O46:P46"/>
    <mergeCell ref="B47:B48"/>
    <mergeCell ref="G14:G16"/>
  </mergeCells>
  <conditionalFormatting sqref="Q12">
    <cfRule type="expression" dxfId="393" priority="34">
      <formula>Q12&gt;0</formula>
    </cfRule>
    <cfRule type="expression" dxfId="39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91" priority="27">
      <formula>F59&gt;0</formula>
    </cfRule>
    <cfRule type="expression" dxfId="390" priority="28">
      <formula>F59&lt;0</formula>
    </cfRule>
  </conditionalFormatting>
  <conditionalFormatting sqref="H59:H65">
    <cfRule type="expression" dxfId="389" priority="15">
      <formula>H59&gt;0</formula>
    </cfRule>
    <cfRule type="expression" dxfId="388" priority="16">
      <formula>H59&lt;0</formula>
    </cfRule>
  </conditionalFormatting>
  <conditionalFormatting sqref="H66">
    <cfRule type="expression" dxfId="387" priority="13">
      <formula>H66&gt;0</formula>
    </cfRule>
    <cfRule type="expression" dxfId="386" priority="14">
      <formula>H66&lt;0</formula>
    </cfRule>
  </conditionalFormatting>
  <conditionalFormatting sqref="H67">
    <cfRule type="expression" dxfId="385" priority="11">
      <formula>H67&gt;0</formula>
    </cfRule>
    <cfRule type="expression" dxfId="384" priority="12">
      <formula>H67&lt;0</formula>
    </cfRule>
  </conditionalFormatting>
  <conditionalFormatting sqref="H68:H70">
    <cfRule type="expression" dxfId="383" priority="9">
      <formula>H68&gt;0</formula>
    </cfRule>
    <cfRule type="expression" dxfId="382" priority="10">
      <formula>H68&lt;0</formula>
    </cfRule>
  </conditionalFormatting>
  <conditionalFormatting sqref="H71">
    <cfRule type="expression" dxfId="381" priority="5">
      <formula>H71&gt;0</formula>
    </cfRule>
    <cfRule type="expression" dxfId="380" priority="6">
      <formula>H71&lt;0</formula>
    </cfRule>
  </conditionalFormatting>
  <conditionalFormatting sqref="F80:F102">
    <cfRule type="expression" dxfId="379" priority="3">
      <formula>F80&gt;0</formula>
    </cfRule>
    <cfRule type="expression" dxfId="378" priority="4">
      <formula>F80&lt;0</formula>
    </cfRule>
  </conditionalFormatting>
  <conditionalFormatting sqref="H72:H102">
    <cfRule type="expression" dxfId="377" priority="1">
      <formula>H72&gt;0</formula>
    </cfRule>
    <cfRule type="expression" dxfId="376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43"/>
  <sheetViews>
    <sheetView zoomScaleNormal="100" workbookViewId="0">
      <pane ySplit="1" topLeftCell="A2" activePane="bottomLeft" state="frozen"/>
      <selection activeCell="A2" sqref="A2"/>
      <selection pane="bottomLeft" activeCell="P126" sqref="P126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C90-H90</f>
        <v>5260</v>
      </c>
      <c r="T2" s="19"/>
      <c r="U2" s="137"/>
      <c r="V2" s="19"/>
      <c r="W2" s="151">
        <v>42460</v>
      </c>
      <c r="X2" s="152">
        <v>10.31</v>
      </c>
      <c r="Y2" s="152">
        <v>10.49</v>
      </c>
      <c r="Z2" s="12">
        <v>10.01</v>
      </c>
      <c r="AA2" s="12">
        <v>10.47</v>
      </c>
      <c r="AB2" s="105">
        <v>48091700</v>
      </c>
      <c r="AC2" s="12">
        <v>10.47</v>
      </c>
      <c r="AD2">
        <f>Y2-Z2</f>
        <v>0.48000000000000043</v>
      </c>
      <c r="AE2" s="148">
        <f>AC2/AC3-1</f>
        <v>-9.5419847328237495E-4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(F90-K90)/Q2</f>
        <v>16.206977756653998</v>
      </c>
      <c r="W3" s="143">
        <v>42459</v>
      </c>
      <c r="X3" s="12">
        <v>10.51</v>
      </c>
      <c r="Y3" s="12">
        <v>10.95</v>
      </c>
      <c r="Z3" s="12">
        <v>10.4</v>
      </c>
      <c r="AA3" s="12">
        <v>10.48</v>
      </c>
      <c r="AB3" s="105">
        <v>34271100</v>
      </c>
      <c r="AC3" s="12">
        <v>10.48</v>
      </c>
      <c r="AD3">
        <f t="shared" ref="AD3:AD66" si="2">Y3-Z3</f>
        <v>0.54999999999999893</v>
      </c>
      <c r="AE3" s="148">
        <f t="shared" ref="AE3:AE66" si="3">AC3/AC4-1</f>
        <v>2.870813397129357E-3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11.03</v>
      </c>
      <c r="T4" s="1"/>
      <c r="W4" s="143">
        <v>42458</v>
      </c>
      <c r="X4" s="12">
        <v>10.18</v>
      </c>
      <c r="Y4" s="12">
        <v>10.53</v>
      </c>
      <c r="Z4" s="12">
        <v>10.1</v>
      </c>
      <c r="AA4" s="12">
        <v>10.45</v>
      </c>
      <c r="AB4" s="105">
        <v>30864600</v>
      </c>
      <c r="AC4" s="12">
        <v>10.45</v>
      </c>
      <c r="AD4">
        <f t="shared" si="2"/>
        <v>0.42999999999999972</v>
      </c>
      <c r="AE4" s="148">
        <f t="shared" si="3"/>
        <v>6.7437379576107404E-3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58017.799999999996</v>
      </c>
      <c r="W5" s="143">
        <v>42457</v>
      </c>
      <c r="X5" s="12">
        <v>10.5</v>
      </c>
      <c r="Y5" s="12">
        <v>10.59</v>
      </c>
      <c r="Z5" s="12">
        <v>10.25</v>
      </c>
      <c r="AA5" s="12">
        <v>10.38</v>
      </c>
      <c r="AB5" s="105">
        <v>22750600</v>
      </c>
      <c r="AC5" s="12">
        <v>10.38</v>
      </c>
      <c r="AD5">
        <f t="shared" si="2"/>
        <v>0.33999999999999986</v>
      </c>
      <c r="AE5" s="148">
        <f t="shared" si="3"/>
        <v>-1.1428571428571344E-2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85248.703000000038</v>
      </c>
      <c r="W6" s="143">
        <v>42453</v>
      </c>
      <c r="X6" s="12">
        <v>10.5</v>
      </c>
      <c r="Y6" s="12">
        <v>10.6</v>
      </c>
      <c r="Z6" s="12">
        <v>10.33</v>
      </c>
      <c r="AA6" s="12">
        <v>10.5</v>
      </c>
      <c r="AB6" s="105">
        <v>22766800</v>
      </c>
      <c r="AC6" s="12">
        <v>10.5</v>
      </c>
      <c r="AD6">
        <f t="shared" si="2"/>
        <v>0.26999999999999957</v>
      </c>
      <c r="AE6" s="148">
        <f t="shared" si="3"/>
        <v>-1.4084507042253502E-2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-27230.903000000042</v>
      </c>
      <c r="R7" s="402"/>
      <c r="W7" s="143">
        <v>42452</v>
      </c>
      <c r="X7" s="12">
        <v>11.43</v>
      </c>
      <c r="Y7" s="12">
        <v>11.46</v>
      </c>
      <c r="Z7" s="12">
        <v>10.63</v>
      </c>
      <c r="AA7" s="12">
        <v>10.65</v>
      </c>
      <c r="AB7" s="105">
        <v>29356600</v>
      </c>
      <c r="AC7" s="12">
        <v>10.65</v>
      </c>
      <c r="AD7">
        <f t="shared" si="2"/>
        <v>0.83000000000000007</v>
      </c>
      <c r="AE7" s="148">
        <f t="shared" si="3"/>
        <v>-6.9055944055943952E-2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-0.31942894192771504</v>
      </c>
      <c r="W8" s="143">
        <v>42451</v>
      </c>
      <c r="X8" s="12">
        <v>11.45</v>
      </c>
      <c r="Y8" s="12">
        <v>11.6</v>
      </c>
      <c r="Z8" s="12">
        <v>11.33</v>
      </c>
      <c r="AA8" s="12">
        <v>11.44</v>
      </c>
      <c r="AB8" s="105">
        <v>13444900</v>
      </c>
      <c r="AC8" s="12">
        <v>11.44</v>
      </c>
      <c r="AD8">
        <f t="shared" si="2"/>
        <v>0.26999999999999957</v>
      </c>
      <c r="AE8" s="148">
        <f t="shared" si="3"/>
        <v>-7.8057241977450564E-3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42450</v>
      </c>
      <c r="X9" s="12">
        <v>11.14</v>
      </c>
      <c r="Y9" s="12">
        <v>11.6</v>
      </c>
      <c r="Z9" s="12">
        <v>11.08</v>
      </c>
      <c r="AA9" s="12">
        <v>11.53</v>
      </c>
      <c r="AB9" s="105">
        <v>18064600</v>
      </c>
      <c r="AC9" s="12">
        <v>11.53</v>
      </c>
      <c r="AD9">
        <f t="shared" si="2"/>
        <v>0.51999999999999957</v>
      </c>
      <c r="AE9" s="148">
        <f t="shared" si="3"/>
        <v>3.5008976660682034E-2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42447</v>
      </c>
      <c r="X10" s="12">
        <v>10.84</v>
      </c>
      <c r="Y10" s="12">
        <v>11.17</v>
      </c>
      <c r="Z10" s="12">
        <v>10.75</v>
      </c>
      <c r="AA10" s="12">
        <v>11.14</v>
      </c>
      <c r="AB10" s="105">
        <v>44781200</v>
      </c>
      <c r="AC10" s="12">
        <v>11.14</v>
      </c>
      <c r="AD10">
        <f t="shared" si="2"/>
        <v>0.41999999999999993</v>
      </c>
      <c r="AE10" s="148">
        <f t="shared" si="3"/>
        <v>2.4839006439742572E-2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42446</v>
      </c>
      <c r="X11" s="12">
        <v>10.72</v>
      </c>
      <c r="Y11" s="12">
        <v>11</v>
      </c>
      <c r="Z11" s="12">
        <v>10.6</v>
      </c>
      <c r="AA11" s="12">
        <v>10.87</v>
      </c>
      <c r="AB11" s="105">
        <v>19907200</v>
      </c>
      <c r="AC11" s="12">
        <v>10.87</v>
      </c>
      <c r="AD11">
        <f t="shared" si="2"/>
        <v>0.40000000000000036</v>
      </c>
      <c r="AE11" s="148">
        <f t="shared" si="3"/>
        <v>1.399253731343264E-2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42445</v>
      </c>
      <c r="X12" s="12">
        <v>10.71</v>
      </c>
      <c r="Y12" s="12">
        <v>10.89</v>
      </c>
      <c r="Z12" s="12">
        <v>10.55</v>
      </c>
      <c r="AA12" s="12">
        <v>10.72</v>
      </c>
      <c r="AB12" s="105">
        <v>20420600</v>
      </c>
      <c r="AC12" s="12">
        <v>10.72</v>
      </c>
      <c r="AD12">
        <f t="shared" si="2"/>
        <v>0.33999999999999986</v>
      </c>
      <c r="AE12" s="148">
        <f t="shared" si="3"/>
        <v>-1.1981566820276401E-2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19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42444</v>
      </c>
      <c r="X13" s="12">
        <v>11.15</v>
      </c>
      <c r="Y13" s="12">
        <v>11.15</v>
      </c>
      <c r="Z13" s="12">
        <v>10.72</v>
      </c>
      <c r="AA13" s="12">
        <v>10.85</v>
      </c>
      <c r="AB13" s="105">
        <v>15151100</v>
      </c>
      <c r="AC13" s="12">
        <v>10.85</v>
      </c>
      <c r="AD13">
        <f t="shared" si="2"/>
        <v>0.42999999999999972</v>
      </c>
      <c r="AE13" s="148">
        <f t="shared" si="3"/>
        <v>-2.6905829596412634E-2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19"/>
      <c r="H14" s="7">
        <v>190</v>
      </c>
      <c r="I14" s="47">
        <v>17.55</v>
      </c>
      <c r="J14" s="47">
        <v>0</v>
      </c>
      <c r="K14" s="47">
        <f t="shared" ref="K14:K41" si="4">H14*I14-J14</f>
        <v>3334.5</v>
      </c>
      <c r="W14" s="143">
        <v>42443</v>
      </c>
      <c r="X14" s="12">
        <v>11.34</v>
      </c>
      <c r="Y14" s="12">
        <v>11.34</v>
      </c>
      <c r="Z14" s="12">
        <v>11.01</v>
      </c>
      <c r="AA14" s="12">
        <v>11.15</v>
      </c>
      <c r="AB14" s="105">
        <v>13520800</v>
      </c>
      <c r="AC14" s="12">
        <v>11.15</v>
      </c>
      <c r="AD14">
        <f t="shared" si="2"/>
        <v>0.33000000000000007</v>
      </c>
      <c r="AE14" s="148">
        <f t="shared" si="3"/>
        <v>-2.1071115013169495E-2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42440</v>
      </c>
      <c r="X15" s="12">
        <v>10.99</v>
      </c>
      <c r="Y15" s="12">
        <v>11.4</v>
      </c>
      <c r="Z15" s="12">
        <v>10.85</v>
      </c>
      <c r="AA15" s="12">
        <v>11.39</v>
      </c>
      <c r="AB15" s="105">
        <v>17244200</v>
      </c>
      <c r="AC15" s="12">
        <v>11.39</v>
      </c>
      <c r="AD15">
        <f t="shared" si="2"/>
        <v>0.55000000000000071</v>
      </c>
      <c r="AE15" s="148">
        <f t="shared" si="3"/>
        <v>4.6875E-2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42439</v>
      </c>
      <c r="X16" s="12">
        <v>10.95</v>
      </c>
      <c r="Y16" s="12">
        <v>11.06</v>
      </c>
      <c r="Z16" s="12">
        <v>10.66</v>
      </c>
      <c r="AA16" s="12">
        <v>10.88</v>
      </c>
      <c r="AB16" s="105">
        <v>17739000</v>
      </c>
      <c r="AC16" s="12">
        <v>10.88</v>
      </c>
      <c r="AD16">
        <f t="shared" si="2"/>
        <v>0.40000000000000036</v>
      </c>
      <c r="AE16" s="148">
        <f t="shared" si="3"/>
        <v>6.4754856614246403E-3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42438</v>
      </c>
      <c r="X17" s="12">
        <v>10.76</v>
      </c>
      <c r="Y17" s="12">
        <v>10.91</v>
      </c>
      <c r="Z17" s="12">
        <v>10.53</v>
      </c>
      <c r="AA17" s="12">
        <v>10.81</v>
      </c>
      <c r="AB17" s="105">
        <v>15095700</v>
      </c>
      <c r="AC17" s="12">
        <v>10.81</v>
      </c>
      <c r="AD17">
        <f t="shared" si="2"/>
        <v>0.38000000000000078</v>
      </c>
      <c r="AE17" s="148">
        <f t="shared" si="3"/>
        <v>1.4071294559099501E-2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42437</v>
      </c>
      <c r="X18" s="12">
        <v>11.44</v>
      </c>
      <c r="Y18" s="12">
        <v>11.45</v>
      </c>
      <c r="Z18" s="12">
        <v>10.65</v>
      </c>
      <c r="AA18" s="12">
        <v>10.66</v>
      </c>
      <c r="AB18" s="105">
        <v>29521700</v>
      </c>
      <c r="AC18" s="12">
        <v>10.66</v>
      </c>
      <c r="AD18">
        <f t="shared" si="2"/>
        <v>0.79999999999999893</v>
      </c>
      <c r="AE18" s="148">
        <f t="shared" si="3"/>
        <v>-7.9447322970639056E-2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42436</v>
      </c>
      <c r="X19" s="12">
        <v>11.46</v>
      </c>
      <c r="Y19" s="12">
        <v>11.78</v>
      </c>
      <c r="Z19" s="12">
        <v>11.05</v>
      </c>
      <c r="AA19" s="12">
        <v>11.58</v>
      </c>
      <c r="AB19" s="105">
        <v>27748800</v>
      </c>
      <c r="AC19" s="12">
        <v>11.58</v>
      </c>
      <c r="AD19">
        <f t="shared" si="2"/>
        <v>0.72999999999999865</v>
      </c>
      <c r="AE19" s="148">
        <f t="shared" si="3"/>
        <v>-2.5252525252525304E-2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42433</v>
      </c>
      <c r="X20" s="12">
        <v>11.8</v>
      </c>
      <c r="Y20" s="12">
        <v>12.29</v>
      </c>
      <c r="Z20" s="12">
        <v>11.6</v>
      </c>
      <c r="AA20" s="12">
        <v>11.88</v>
      </c>
      <c r="AB20" s="105">
        <v>35199500</v>
      </c>
      <c r="AC20" s="12">
        <v>11.88</v>
      </c>
      <c r="AD20">
        <f t="shared" si="2"/>
        <v>0.6899999999999995</v>
      </c>
      <c r="AE20" s="148">
        <f t="shared" si="3"/>
        <v>7.6335877862596657E-3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42432</v>
      </c>
      <c r="X21" s="12">
        <v>11.73</v>
      </c>
      <c r="Y21" s="12">
        <v>11.85</v>
      </c>
      <c r="Z21" s="12">
        <v>11.6</v>
      </c>
      <c r="AA21" s="12">
        <v>11.79</v>
      </c>
      <c r="AB21" s="105">
        <v>16183300</v>
      </c>
      <c r="AC21" s="12">
        <v>11.79</v>
      </c>
      <c r="AD21">
        <f t="shared" si="2"/>
        <v>0.25</v>
      </c>
      <c r="AE21" s="148">
        <f t="shared" si="3"/>
        <v>9.4178082191780366E-3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42431</v>
      </c>
      <c r="X22" s="12">
        <v>11.01</v>
      </c>
      <c r="Y22" s="12">
        <v>11.69</v>
      </c>
      <c r="Z22" s="12">
        <v>10.97</v>
      </c>
      <c r="AA22" s="12">
        <v>11.68</v>
      </c>
      <c r="AB22" s="105">
        <v>18175600</v>
      </c>
      <c r="AC22" s="12">
        <v>11.68</v>
      </c>
      <c r="AD22">
        <f t="shared" si="2"/>
        <v>0.71999999999999886</v>
      </c>
      <c r="AE22" s="148">
        <f t="shared" si="3"/>
        <v>5.5103884372176948E-2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42430</v>
      </c>
      <c r="X23" s="12">
        <v>10.77</v>
      </c>
      <c r="Y23" s="12">
        <v>11.1</v>
      </c>
      <c r="Z23" s="12">
        <v>10.59</v>
      </c>
      <c r="AA23" s="12">
        <v>11.07</v>
      </c>
      <c r="AB23" s="105">
        <v>15610500</v>
      </c>
      <c r="AC23" s="12">
        <v>11.07</v>
      </c>
      <c r="AD23">
        <f t="shared" si="2"/>
        <v>0.50999999999999979</v>
      </c>
      <c r="AE23" s="148">
        <f t="shared" si="3"/>
        <v>4.1392285983066657E-2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42429</v>
      </c>
      <c r="X24" s="12">
        <v>10.65</v>
      </c>
      <c r="Y24" s="12">
        <v>10.89</v>
      </c>
      <c r="Z24" s="12">
        <v>10.52</v>
      </c>
      <c r="AA24" s="12">
        <v>10.63</v>
      </c>
      <c r="AB24" s="105">
        <v>20658000</v>
      </c>
      <c r="AC24" s="12">
        <v>10.63</v>
      </c>
      <c r="AD24">
        <f t="shared" si="2"/>
        <v>0.37000000000000099</v>
      </c>
      <c r="AE24" s="148">
        <f t="shared" si="3"/>
        <v>-6.5420560747662115E-3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42426</v>
      </c>
      <c r="X25" s="12">
        <v>10.79</v>
      </c>
      <c r="Y25" s="12">
        <v>11</v>
      </c>
      <c r="Z25" s="12">
        <v>10.57</v>
      </c>
      <c r="AA25" s="12">
        <v>10.7</v>
      </c>
      <c r="AB25" s="105">
        <v>16412600</v>
      </c>
      <c r="AC25" s="12">
        <v>10.7</v>
      </c>
      <c r="AD25">
        <f t="shared" si="2"/>
        <v>0.42999999999999972</v>
      </c>
      <c r="AE25" s="148">
        <f t="shared" si="3"/>
        <v>-1.8656716417911889E-3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42425</v>
      </c>
      <c r="X26" s="12">
        <v>10.67</v>
      </c>
      <c r="Y26" s="12">
        <v>10.74</v>
      </c>
      <c r="Z26" s="12">
        <v>10.210000000000001</v>
      </c>
      <c r="AA26" s="12">
        <v>10.72</v>
      </c>
      <c r="AB26" s="105">
        <v>16108800</v>
      </c>
      <c r="AC26" s="12">
        <v>10.72</v>
      </c>
      <c r="AD26">
        <f t="shared" si="2"/>
        <v>0.52999999999999936</v>
      </c>
      <c r="AE26" s="148">
        <f t="shared" si="3"/>
        <v>7.5187969924812581E-3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42424</v>
      </c>
      <c r="X27" s="12">
        <v>10.25</v>
      </c>
      <c r="Y27" s="12">
        <v>10.67</v>
      </c>
      <c r="Z27" s="12">
        <v>10.06</v>
      </c>
      <c r="AA27" s="12">
        <v>10.64</v>
      </c>
      <c r="AB27" s="105">
        <v>18526700</v>
      </c>
      <c r="AC27" s="12">
        <v>10.64</v>
      </c>
      <c r="AD27">
        <f t="shared" si="2"/>
        <v>0.60999999999999943</v>
      </c>
      <c r="AE27" s="148">
        <f t="shared" si="3"/>
        <v>1.4299332697807365E-2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42423</v>
      </c>
      <c r="X28" s="12">
        <v>11</v>
      </c>
      <c r="Y28" s="12">
        <v>11.08</v>
      </c>
      <c r="Z28" s="12">
        <v>10.39</v>
      </c>
      <c r="AA28" s="12">
        <v>10.49</v>
      </c>
      <c r="AB28" s="105">
        <v>22544300</v>
      </c>
      <c r="AC28" s="12">
        <v>10.49</v>
      </c>
      <c r="AD28">
        <f t="shared" si="2"/>
        <v>0.6899999999999995</v>
      </c>
      <c r="AE28" s="148">
        <f t="shared" si="3"/>
        <v>-5.067873303167425E-2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17" t="s">
        <v>238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42422</v>
      </c>
      <c r="X29" s="12">
        <v>11.37</v>
      </c>
      <c r="Y29" s="12">
        <v>11.44</v>
      </c>
      <c r="Z29" s="12">
        <v>10.9</v>
      </c>
      <c r="AA29" s="12">
        <v>11.05</v>
      </c>
      <c r="AB29" s="105">
        <v>19944600</v>
      </c>
      <c r="AC29" s="12">
        <v>11.05</v>
      </c>
      <c r="AD29">
        <f t="shared" si="2"/>
        <v>0.53999999999999915</v>
      </c>
      <c r="AE29" s="148">
        <f t="shared" si="3"/>
        <v>-9.8566308243727141E-3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17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42419</v>
      </c>
      <c r="X30" s="12">
        <v>11.39</v>
      </c>
      <c r="Y30" s="12">
        <v>11.39</v>
      </c>
      <c r="Z30" s="12">
        <v>10.95</v>
      </c>
      <c r="AA30" s="12">
        <v>11.16</v>
      </c>
      <c r="AB30" s="105">
        <v>17892700</v>
      </c>
      <c r="AC30" s="12">
        <v>11.16</v>
      </c>
      <c r="AD30">
        <f t="shared" si="2"/>
        <v>0.44000000000000128</v>
      </c>
      <c r="AE30" s="148">
        <f t="shared" si="3"/>
        <v>-2.8720626631853818E-2</v>
      </c>
    </row>
    <row r="31" spans="2:41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17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42418</v>
      </c>
      <c r="X31" s="12">
        <v>11.57</v>
      </c>
      <c r="Y31" s="12">
        <v>11.75</v>
      </c>
      <c r="Z31" s="12">
        <v>11.32</v>
      </c>
      <c r="AA31" s="12">
        <v>11.49</v>
      </c>
      <c r="AB31" s="105">
        <v>21516100</v>
      </c>
      <c r="AC31" s="12">
        <v>11.49</v>
      </c>
      <c r="AD31">
        <f t="shared" si="2"/>
        <v>0.42999999999999972</v>
      </c>
      <c r="AE31" s="148">
        <f t="shared" si="3"/>
        <v>5.2493438320211361E-3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17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42417</v>
      </c>
      <c r="X32" s="12">
        <v>10.97</v>
      </c>
      <c r="Y32" s="12">
        <v>11.65</v>
      </c>
      <c r="Z32" s="12">
        <v>10.92</v>
      </c>
      <c r="AA32" s="12">
        <v>11.43</v>
      </c>
      <c r="AB32" s="105">
        <v>34275200</v>
      </c>
      <c r="AC32" s="12">
        <v>11.43</v>
      </c>
      <c r="AD32">
        <f t="shared" si="2"/>
        <v>0.73000000000000043</v>
      </c>
      <c r="AE32" s="148">
        <f t="shared" si="3"/>
        <v>5.7354301572617894E-2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42416</v>
      </c>
      <c r="X33" s="12">
        <v>10.36</v>
      </c>
      <c r="Y33" s="12">
        <v>10.87</v>
      </c>
      <c r="Z33" s="12">
        <v>10.31</v>
      </c>
      <c r="AA33" s="12">
        <v>10.81</v>
      </c>
      <c r="AB33" s="105">
        <v>27375400</v>
      </c>
      <c r="AC33" s="12">
        <v>10.81</v>
      </c>
      <c r="AD33">
        <f t="shared" si="2"/>
        <v>0.55999999999999872</v>
      </c>
      <c r="AE33" s="148">
        <f t="shared" si="3"/>
        <v>7.8842315369261673E-2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42412</v>
      </c>
      <c r="X34" s="12">
        <v>9.8800000000000008</v>
      </c>
      <c r="Y34" s="12">
        <v>10.24</v>
      </c>
      <c r="Z34" s="12">
        <v>9.48</v>
      </c>
      <c r="AA34" s="12">
        <v>10.02</v>
      </c>
      <c r="AB34" s="105">
        <v>23805100</v>
      </c>
      <c r="AC34" s="12">
        <v>10.02</v>
      </c>
      <c r="AD34">
        <f t="shared" si="2"/>
        <v>0.75999999999999979</v>
      </c>
      <c r="AE34" s="148">
        <f t="shared" si="3"/>
        <v>3.4055727554179516E-2</v>
      </c>
    </row>
    <row r="35" spans="2:41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42411</v>
      </c>
      <c r="X35" s="12">
        <v>9.7200000000000006</v>
      </c>
      <c r="Y35" s="12">
        <v>9.9499999999999993</v>
      </c>
      <c r="Z35" s="12">
        <v>9.4499999999999993</v>
      </c>
      <c r="AA35" s="12">
        <v>9.69</v>
      </c>
      <c r="AB35" s="105">
        <v>27048500</v>
      </c>
      <c r="AC35" s="12">
        <v>9.69</v>
      </c>
      <c r="AD35">
        <f t="shared" si="2"/>
        <v>0.5</v>
      </c>
      <c r="AE35" s="148">
        <f t="shared" si="3"/>
        <v>-2.1212121212121349E-2</v>
      </c>
    </row>
    <row r="36" spans="2:41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42410</v>
      </c>
      <c r="X36" s="12">
        <v>10.08</v>
      </c>
      <c r="Y36" s="12">
        <v>10.28</v>
      </c>
      <c r="Z36" s="12">
        <v>9.82</v>
      </c>
      <c r="AA36" s="12">
        <v>9.9</v>
      </c>
      <c r="AB36" s="105">
        <v>22017200</v>
      </c>
      <c r="AC36" s="12">
        <v>9.9</v>
      </c>
      <c r="AD36">
        <f t="shared" si="2"/>
        <v>0.45999999999999908</v>
      </c>
      <c r="AE36" s="148">
        <f t="shared" si="3"/>
        <v>-8.0160320641282645E-3</v>
      </c>
      <c r="AL36" s="263"/>
    </row>
    <row r="37" spans="2:41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G37" s="419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42409</v>
      </c>
      <c r="X37" s="12">
        <v>10.01</v>
      </c>
      <c r="Y37" s="12">
        <v>10.34</v>
      </c>
      <c r="Z37" s="12">
        <v>9.75</v>
      </c>
      <c r="AA37" s="12">
        <v>9.98</v>
      </c>
      <c r="AB37" s="105">
        <v>30105600</v>
      </c>
      <c r="AC37" s="12">
        <v>9.98</v>
      </c>
      <c r="AD37">
        <f t="shared" si="2"/>
        <v>0.58999999999999986</v>
      </c>
      <c r="AE37" s="148">
        <f t="shared" si="3"/>
        <v>-1.8682399213372669E-2</v>
      </c>
    </row>
    <row r="38" spans="2:41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G38" s="419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42408</v>
      </c>
      <c r="X38" s="12">
        <v>10.71</v>
      </c>
      <c r="Y38" s="12">
        <v>10.76</v>
      </c>
      <c r="Z38" s="12">
        <v>9.94</v>
      </c>
      <c r="AA38" s="12">
        <v>10.17</v>
      </c>
      <c r="AB38" s="105">
        <v>27337000</v>
      </c>
      <c r="AC38" s="12">
        <v>10.17</v>
      </c>
      <c r="AD38">
        <f t="shared" si="2"/>
        <v>0.82000000000000028</v>
      </c>
      <c r="AE38" s="148">
        <f t="shared" si="3"/>
        <v>-7.5454545454545441E-2</v>
      </c>
    </row>
    <row r="39" spans="2:41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G39" s="419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42405</v>
      </c>
      <c r="X39" s="12">
        <v>11.15</v>
      </c>
      <c r="Y39" s="12">
        <v>11.38</v>
      </c>
      <c r="Z39" s="12">
        <v>10.76</v>
      </c>
      <c r="AA39" s="12">
        <v>11</v>
      </c>
      <c r="AB39" s="105">
        <v>22470600</v>
      </c>
      <c r="AC39" s="12">
        <v>11</v>
      </c>
      <c r="AD39">
        <f t="shared" si="2"/>
        <v>0.62000000000000099</v>
      </c>
      <c r="AE39" s="148">
        <f t="shared" si="3"/>
        <v>-2.0480854853072161E-2</v>
      </c>
    </row>
    <row r="40" spans="2:41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42404</v>
      </c>
      <c r="X40" s="12">
        <v>10.71</v>
      </c>
      <c r="Y40" s="12">
        <v>11.55</v>
      </c>
      <c r="Z40" s="12">
        <v>10.7</v>
      </c>
      <c r="AA40" s="12">
        <v>11.23</v>
      </c>
      <c r="AB40" s="105">
        <v>26122800</v>
      </c>
      <c r="AC40" s="12">
        <v>11.23</v>
      </c>
      <c r="AD40">
        <f t="shared" si="2"/>
        <v>0.85000000000000142</v>
      </c>
      <c r="AE40" s="148">
        <f t="shared" si="3"/>
        <v>4.3680297397769685E-2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42403</v>
      </c>
      <c r="X41" s="12">
        <v>10.67</v>
      </c>
      <c r="Y41" s="12">
        <v>10.86</v>
      </c>
      <c r="Z41" s="12">
        <v>10.18</v>
      </c>
      <c r="AA41" s="12">
        <v>10.76</v>
      </c>
      <c r="AB41" s="105">
        <v>18058600</v>
      </c>
      <c r="AC41" s="12">
        <v>10.76</v>
      </c>
      <c r="AD41">
        <f t="shared" si="2"/>
        <v>0.67999999999999972</v>
      </c>
      <c r="AE41" s="148">
        <f t="shared" si="3"/>
        <v>1.6052880075543063E-2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42402</v>
      </c>
      <c r="X42" s="12">
        <v>10.8</v>
      </c>
      <c r="Y42" s="12">
        <v>11.07</v>
      </c>
      <c r="Z42" s="12">
        <v>10.48</v>
      </c>
      <c r="AA42" s="12">
        <v>10.59</v>
      </c>
      <c r="AB42" s="105">
        <v>21970000</v>
      </c>
      <c r="AC42" s="12">
        <v>10.59</v>
      </c>
      <c r="AD42">
        <f t="shared" si="2"/>
        <v>0.58999999999999986</v>
      </c>
      <c r="AE42" s="148">
        <f t="shared" si="3"/>
        <v>-3.3759124087591297E-2</v>
      </c>
      <c r="AL42" s="263"/>
      <c r="AO42" s="263"/>
    </row>
    <row r="43" spans="2:41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M43" s="2"/>
      <c r="W43" s="143">
        <v>42401</v>
      </c>
      <c r="X43" s="12">
        <v>11</v>
      </c>
      <c r="Y43" s="12">
        <v>11.1</v>
      </c>
      <c r="Z43" s="12">
        <v>10.51</v>
      </c>
      <c r="AA43" s="12">
        <v>10.96</v>
      </c>
      <c r="AB43" s="105">
        <v>25768800</v>
      </c>
      <c r="AC43" s="12">
        <v>10.96</v>
      </c>
      <c r="AD43">
        <f t="shared" si="2"/>
        <v>0.58999999999999986</v>
      </c>
      <c r="AE43" s="148">
        <f t="shared" si="3"/>
        <v>-6.3463281958294759E-3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20" t="s">
        <v>78</v>
      </c>
      <c r="P44" s="420"/>
      <c r="T44" s="101" t="s">
        <v>116</v>
      </c>
      <c r="W44" s="143">
        <v>42398</v>
      </c>
      <c r="X44" s="12">
        <v>9.99</v>
      </c>
      <c r="Y44" s="12">
        <v>11.05</v>
      </c>
      <c r="Z44" s="12">
        <v>9.94</v>
      </c>
      <c r="AA44" s="12">
        <v>11.03</v>
      </c>
      <c r="AB44" s="105">
        <v>38349100</v>
      </c>
      <c r="AC44" s="12">
        <v>11.03</v>
      </c>
      <c r="AD44">
        <f t="shared" si="2"/>
        <v>1.1100000000000012</v>
      </c>
      <c r="AE44" s="148">
        <f t="shared" si="3"/>
        <v>0.11526794742163782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12.133000000000001</v>
      </c>
      <c r="T45" s="138" t="s">
        <v>101</v>
      </c>
      <c r="U45" s="139">
        <v>10.47</v>
      </c>
      <c r="W45" s="143">
        <v>42397</v>
      </c>
      <c r="X45" s="12">
        <v>10.48</v>
      </c>
      <c r="Y45" s="12">
        <v>10.55</v>
      </c>
      <c r="Z45" s="12">
        <v>9.7100000000000009</v>
      </c>
      <c r="AA45" s="12">
        <v>9.89</v>
      </c>
      <c r="AB45" s="105">
        <v>37327600</v>
      </c>
      <c r="AC45" s="12">
        <v>9.89</v>
      </c>
      <c r="AD45">
        <f t="shared" si="2"/>
        <v>0.83999999999999986</v>
      </c>
      <c r="AE45" s="148">
        <f t="shared" si="3"/>
        <v>-4.8123195380173289E-2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12.0227</v>
      </c>
      <c r="T46" s="103" t="s">
        <v>102</v>
      </c>
      <c r="U46" s="140" t="s">
        <v>134</v>
      </c>
      <c r="W46" s="143">
        <v>42396</v>
      </c>
      <c r="X46" s="12">
        <v>10.5</v>
      </c>
      <c r="Y46" s="12">
        <v>10.83</v>
      </c>
      <c r="Z46" s="12">
        <v>10.32</v>
      </c>
      <c r="AA46" s="12">
        <v>10.39</v>
      </c>
      <c r="AB46" s="105">
        <v>22926200</v>
      </c>
      <c r="AC46" s="12">
        <v>10.39</v>
      </c>
      <c r="AD46">
        <f t="shared" si="2"/>
        <v>0.50999999999999979</v>
      </c>
      <c r="AE46" s="148">
        <f t="shared" si="3"/>
        <v>-1.516587677725123E-2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11.9124</v>
      </c>
      <c r="T47" s="103" t="s">
        <v>103</v>
      </c>
      <c r="U47" s="140" t="s">
        <v>305</v>
      </c>
      <c r="W47" s="143">
        <v>42395</v>
      </c>
      <c r="X47" s="12">
        <v>10.55</v>
      </c>
      <c r="Y47" s="12">
        <v>10.72</v>
      </c>
      <c r="Z47" s="12">
        <v>10.36</v>
      </c>
      <c r="AA47" s="12">
        <v>10.55</v>
      </c>
      <c r="AB47" s="105">
        <v>26177000</v>
      </c>
      <c r="AC47" s="12">
        <v>10.55</v>
      </c>
      <c r="AD47">
        <f t="shared" si="2"/>
        <v>0.36000000000000121</v>
      </c>
      <c r="AE47" s="148">
        <f t="shared" si="3"/>
        <v>6.6793893129770687E-3</v>
      </c>
    </row>
    <row r="48" spans="2:41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11.802099999999999</v>
      </c>
      <c r="T48" s="103" t="s">
        <v>104</v>
      </c>
      <c r="U48" s="140" t="s">
        <v>306</v>
      </c>
      <c r="W48" s="143">
        <v>42394</v>
      </c>
      <c r="X48" s="12">
        <v>11.06</v>
      </c>
      <c r="Y48" s="12">
        <v>11.17</v>
      </c>
      <c r="Z48" s="12">
        <v>10.47</v>
      </c>
      <c r="AA48" s="12">
        <v>10.48</v>
      </c>
      <c r="AB48" s="105">
        <v>23807500</v>
      </c>
      <c r="AC48" s="12">
        <v>10.48</v>
      </c>
      <c r="AD48">
        <f t="shared" si="2"/>
        <v>0.69999999999999929</v>
      </c>
      <c r="AE48" s="148">
        <f t="shared" si="3"/>
        <v>-5.3297199638663084E-2</v>
      </c>
    </row>
    <row r="49" spans="2:4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11.691800000000001</v>
      </c>
      <c r="T49" s="103" t="s">
        <v>105</v>
      </c>
      <c r="U49" s="140">
        <v>13.63</v>
      </c>
      <c r="W49" s="143">
        <v>42391</v>
      </c>
      <c r="X49" s="12">
        <v>11.18</v>
      </c>
      <c r="Y49" s="12">
        <v>11.57</v>
      </c>
      <c r="Z49" s="12">
        <v>10.88</v>
      </c>
      <c r="AA49" s="12">
        <v>11.07</v>
      </c>
      <c r="AB49" s="105">
        <v>35088700</v>
      </c>
      <c r="AC49" s="12">
        <v>11.07</v>
      </c>
      <c r="AD49">
        <f t="shared" si="2"/>
        <v>0.6899999999999995</v>
      </c>
      <c r="AE49" s="148">
        <f t="shared" si="3"/>
        <v>2.0276497695852491E-2</v>
      </c>
    </row>
    <row r="50" spans="2:41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11.5815</v>
      </c>
      <c r="T50" s="103" t="s">
        <v>106</v>
      </c>
      <c r="U50" s="140">
        <v>2.0663100000000001</v>
      </c>
      <c r="W50" s="143">
        <v>42390</v>
      </c>
      <c r="X50" s="12">
        <v>10.45</v>
      </c>
      <c r="Y50" s="12">
        <v>10.9</v>
      </c>
      <c r="Z50" s="12">
        <v>10.130000000000001</v>
      </c>
      <c r="AA50" s="12">
        <v>10.85</v>
      </c>
      <c r="AB50" s="105">
        <v>52245600</v>
      </c>
      <c r="AC50" s="12">
        <v>10.85</v>
      </c>
      <c r="AD50">
        <f t="shared" si="2"/>
        <v>0.76999999999999957</v>
      </c>
      <c r="AE50" s="148">
        <f t="shared" si="3"/>
        <v>7.9601990049751103E-2</v>
      </c>
      <c r="AL50" s="263"/>
      <c r="AO50" s="263"/>
    </row>
    <row r="51" spans="2:41" x14ac:dyDescent="0.25">
      <c r="B51" s="419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11.4712</v>
      </c>
      <c r="T51" s="103" t="s">
        <v>126</v>
      </c>
      <c r="U51" s="140" t="s">
        <v>307</v>
      </c>
      <c r="W51" s="143">
        <v>42389</v>
      </c>
      <c r="X51" s="12">
        <v>10.38</v>
      </c>
      <c r="Y51" s="12">
        <v>10.39</v>
      </c>
      <c r="Z51" s="12">
        <v>9.31</v>
      </c>
      <c r="AA51" s="12">
        <v>10.050000000000001</v>
      </c>
      <c r="AB51" s="105">
        <v>65025100</v>
      </c>
      <c r="AC51" s="12">
        <v>10.050000000000001</v>
      </c>
      <c r="AD51">
        <f t="shared" si="2"/>
        <v>1.08</v>
      </c>
      <c r="AE51" s="148">
        <f t="shared" si="3"/>
        <v>-6.944444444444442E-2</v>
      </c>
    </row>
    <row r="52" spans="2:41" x14ac:dyDescent="0.25">
      <c r="B52" s="419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11.360899999999999</v>
      </c>
      <c r="T52" s="103"/>
      <c r="U52" s="140"/>
      <c r="W52" s="143">
        <v>42388</v>
      </c>
      <c r="X52" s="12">
        <v>11.28</v>
      </c>
      <c r="Y52" s="12">
        <v>11.37</v>
      </c>
      <c r="Z52" s="12">
        <v>10.71</v>
      </c>
      <c r="AA52" s="12">
        <v>10.8</v>
      </c>
      <c r="AB52" s="105">
        <v>37146200</v>
      </c>
      <c r="AC52" s="12">
        <v>10.8</v>
      </c>
      <c r="AD52">
        <f t="shared" si="2"/>
        <v>0.65999999999999837</v>
      </c>
      <c r="AE52" s="148">
        <f t="shared" si="3"/>
        <v>-2.5270758122743597E-2</v>
      </c>
    </row>
    <row r="53" spans="2:4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11.2506</v>
      </c>
      <c r="T53" s="103" t="s">
        <v>108</v>
      </c>
      <c r="U53" s="140" t="s">
        <v>302</v>
      </c>
      <c r="W53" s="143">
        <v>42384</v>
      </c>
      <c r="X53" s="12">
        <v>11.35</v>
      </c>
      <c r="Y53" s="12">
        <v>11.66</v>
      </c>
      <c r="Z53" s="12">
        <v>10.91</v>
      </c>
      <c r="AA53" s="12">
        <v>11.08</v>
      </c>
      <c r="AB53" s="105">
        <v>37037200</v>
      </c>
      <c r="AC53" s="12">
        <v>11.08</v>
      </c>
      <c r="AD53">
        <f t="shared" si="2"/>
        <v>0.75</v>
      </c>
      <c r="AE53" s="148">
        <f t="shared" si="3"/>
        <v>-7.8202995008319398E-2</v>
      </c>
    </row>
    <row r="54" spans="2:41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11.1403</v>
      </c>
      <c r="T54" s="103" t="s">
        <v>109</v>
      </c>
      <c r="U54" s="140" t="s">
        <v>250</v>
      </c>
      <c r="W54" s="143">
        <v>42383</v>
      </c>
      <c r="X54" s="12">
        <v>12.08</v>
      </c>
      <c r="Y54" s="12">
        <v>12.26</v>
      </c>
      <c r="Z54" s="12">
        <v>11.53</v>
      </c>
      <c r="AA54" s="12">
        <v>12.02</v>
      </c>
      <c r="AB54" s="105">
        <v>35725400</v>
      </c>
      <c r="AC54" s="12">
        <v>12.02</v>
      </c>
      <c r="AD54">
        <f t="shared" si="2"/>
        <v>0.73000000000000043</v>
      </c>
      <c r="AE54" s="148">
        <f t="shared" si="3"/>
        <v>-3.3167495854063977E-3</v>
      </c>
      <c r="AL54" s="263"/>
      <c r="AO54" s="263"/>
    </row>
    <row r="55" spans="2:41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11.03</v>
      </c>
      <c r="T55" s="103" t="s">
        <v>110</v>
      </c>
      <c r="U55" s="141">
        <v>5000</v>
      </c>
      <c r="W55" s="143">
        <v>42382</v>
      </c>
      <c r="X55" s="12">
        <v>12.78</v>
      </c>
      <c r="Y55" s="12">
        <v>12.97</v>
      </c>
      <c r="Z55" s="12">
        <v>11.91</v>
      </c>
      <c r="AA55" s="12">
        <v>12.06</v>
      </c>
      <c r="AB55" s="105">
        <v>34426600</v>
      </c>
      <c r="AC55" s="12">
        <v>12.06</v>
      </c>
      <c r="AD55">
        <f t="shared" si="2"/>
        <v>1.0600000000000005</v>
      </c>
      <c r="AE55" s="148">
        <f t="shared" si="3"/>
        <v>-5.1886792452830233E-2</v>
      </c>
    </row>
    <row r="56" spans="2:4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H56" s="81"/>
      <c r="O56" s="93">
        <v>0.99</v>
      </c>
      <c r="P56" s="93">
        <f t="shared" si="5"/>
        <v>10.919699999999999</v>
      </c>
      <c r="T56" s="103" t="s">
        <v>113</v>
      </c>
      <c r="U56" s="141">
        <v>26891400</v>
      </c>
      <c r="W56" s="143">
        <v>42381</v>
      </c>
      <c r="X56" s="12">
        <v>12.72</v>
      </c>
      <c r="Y56" s="12">
        <v>13.24</v>
      </c>
      <c r="Z56" s="12">
        <v>12.4</v>
      </c>
      <c r="AA56" s="12">
        <v>12.72</v>
      </c>
      <c r="AB56" s="105">
        <v>25635000</v>
      </c>
      <c r="AC56" s="12">
        <v>12.72</v>
      </c>
      <c r="AD56">
        <f t="shared" si="2"/>
        <v>0.83999999999999986</v>
      </c>
      <c r="AE56" s="148">
        <f t="shared" si="3"/>
        <v>1.5163607342378427E-2</v>
      </c>
    </row>
    <row r="57" spans="2:41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10.809399999999998</v>
      </c>
      <c r="T57" s="103" t="s">
        <v>111</v>
      </c>
      <c r="U57" s="140" t="s">
        <v>308</v>
      </c>
      <c r="W57" s="143">
        <v>42380</v>
      </c>
      <c r="X57" s="12">
        <v>13.37</v>
      </c>
      <c r="Y57" s="12">
        <v>13.46</v>
      </c>
      <c r="Z57" s="12">
        <v>12.21</v>
      </c>
      <c r="AA57" s="12">
        <v>12.53</v>
      </c>
      <c r="AB57" s="105">
        <v>43141800</v>
      </c>
      <c r="AC57" s="12">
        <v>12.53</v>
      </c>
      <c r="AD57">
        <f t="shared" si="2"/>
        <v>1.25</v>
      </c>
      <c r="AE57" s="148">
        <f t="shared" si="3"/>
        <v>-6.0015003750937823E-2</v>
      </c>
    </row>
    <row r="58" spans="2:41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10.6991</v>
      </c>
      <c r="T58" s="103" t="s">
        <v>114</v>
      </c>
      <c r="U58" s="140">
        <v>5.7</v>
      </c>
      <c r="W58" s="143">
        <v>42377</v>
      </c>
      <c r="X58" s="12">
        <v>13.78</v>
      </c>
      <c r="Y58" s="12">
        <v>13.95</v>
      </c>
      <c r="Z58" s="12">
        <v>13.29</v>
      </c>
      <c r="AA58" s="12">
        <v>13.33</v>
      </c>
      <c r="AB58" s="105">
        <v>26795100</v>
      </c>
      <c r="AC58" s="12">
        <v>13.33</v>
      </c>
      <c r="AD58">
        <f t="shared" si="2"/>
        <v>0.66000000000000014</v>
      </c>
      <c r="AE58" s="148">
        <f t="shared" si="3"/>
        <v>-2.4158125915080486E-2</v>
      </c>
      <c r="AL58" s="263"/>
      <c r="AO58" s="263"/>
    </row>
    <row r="59" spans="2:41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10.588799999999999</v>
      </c>
      <c r="T59" s="103" t="s">
        <v>115</v>
      </c>
      <c r="U59" s="140">
        <v>1.84</v>
      </c>
      <c r="W59" s="143">
        <v>42376</v>
      </c>
      <c r="X59" s="12">
        <v>13.86</v>
      </c>
      <c r="Y59" s="12">
        <v>14.27</v>
      </c>
      <c r="Z59" s="12">
        <v>13.63</v>
      </c>
      <c r="AA59" s="12">
        <v>13.66</v>
      </c>
      <c r="AB59" s="105">
        <v>25922700</v>
      </c>
      <c r="AC59" s="12">
        <v>13.66</v>
      </c>
      <c r="AD59">
        <f t="shared" si="2"/>
        <v>0.63999999999999879</v>
      </c>
      <c r="AE59" s="148">
        <f t="shared" si="3"/>
        <v>-3.9381153305203975E-2</v>
      </c>
    </row>
    <row r="60" spans="2:41" x14ac:dyDescent="0.25">
      <c r="B60" s="1">
        <v>42340</v>
      </c>
      <c r="C60" s="7">
        <v>350</v>
      </c>
      <c r="D60" s="7">
        <v>15.85</v>
      </c>
      <c r="E60" s="47">
        <v>0</v>
      </c>
      <c r="F60" s="47">
        <f t="shared" si="1"/>
        <v>5547.5</v>
      </c>
      <c r="O60" s="93">
        <v>0.95</v>
      </c>
      <c r="P60" s="93">
        <f t="shared" si="5"/>
        <v>10.478499999999999</v>
      </c>
      <c r="T60" s="103" t="s">
        <v>112</v>
      </c>
      <c r="U60" s="140" t="s">
        <v>127</v>
      </c>
      <c r="W60" s="143">
        <v>42375</v>
      </c>
      <c r="X60" s="12">
        <v>14.5</v>
      </c>
      <c r="Y60" s="12">
        <v>14.69</v>
      </c>
      <c r="Z60" s="12">
        <v>14.11</v>
      </c>
      <c r="AA60" s="12">
        <v>14.22</v>
      </c>
      <c r="AB60" s="105">
        <v>26739600</v>
      </c>
      <c r="AC60" s="12">
        <v>14.22</v>
      </c>
      <c r="AD60">
        <f t="shared" si="2"/>
        <v>0.58000000000000007</v>
      </c>
      <c r="AE60" s="148">
        <f t="shared" si="3"/>
        <v>-4.0485829959514108E-2</v>
      </c>
    </row>
    <row r="61" spans="2:41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10.368199999999998</v>
      </c>
      <c r="W61" s="143">
        <v>42374</v>
      </c>
      <c r="X61" s="12">
        <v>14.42</v>
      </c>
      <c r="Y61" s="12">
        <v>15.08</v>
      </c>
      <c r="Z61" s="12">
        <v>14.36</v>
      </c>
      <c r="AA61" s="12">
        <v>14.82</v>
      </c>
      <c r="AB61" s="105">
        <v>29768400</v>
      </c>
      <c r="AC61" s="12">
        <v>14.82</v>
      </c>
      <c r="AD61">
        <f t="shared" si="2"/>
        <v>0.72000000000000064</v>
      </c>
      <c r="AE61" s="148">
        <f t="shared" si="3"/>
        <v>3.4193998604326703E-2</v>
      </c>
    </row>
    <row r="62" spans="2:41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10.257899999999999</v>
      </c>
      <c r="W62" s="143">
        <v>42373</v>
      </c>
      <c r="X62" s="12">
        <v>13.83</v>
      </c>
      <c r="Y62" s="12">
        <v>14.36</v>
      </c>
      <c r="Z62" s="12">
        <v>13.81</v>
      </c>
      <c r="AA62" s="12">
        <v>14.33</v>
      </c>
      <c r="AB62" s="105">
        <v>22585300</v>
      </c>
      <c r="AC62" s="12">
        <v>14.33</v>
      </c>
      <c r="AD62">
        <f t="shared" si="2"/>
        <v>0.54999999999999893</v>
      </c>
      <c r="AE62" s="148">
        <f t="shared" si="3"/>
        <v>1.2005649717514055E-2</v>
      </c>
    </row>
    <row r="63" spans="2:41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10.147600000000001</v>
      </c>
      <c r="W63" s="143">
        <v>42369</v>
      </c>
      <c r="X63" s="12">
        <v>14.1</v>
      </c>
      <c r="Y63" s="12">
        <v>14.29</v>
      </c>
      <c r="Z63" s="12">
        <v>14.03</v>
      </c>
      <c r="AA63" s="12">
        <v>14.16</v>
      </c>
      <c r="AB63" s="105">
        <v>13211200</v>
      </c>
      <c r="AC63" s="12">
        <v>14.16</v>
      </c>
      <c r="AD63">
        <f t="shared" si="2"/>
        <v>0.25999999999999979</v>
      </c>
      <c r="AE63" s="148">
        <f t="shared" si="3"/>
        <v>0</v>
      </c>
    </row>
    <row r="64" spans="2:41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10.0373</v>
      </c>
      <c r="W64" s="143">
        <v>42368</v>
      </c>
      <c r="X64" s="12">
        <v>14.27</v>
      </c>
      <c r="Y64" s="12">
        <v>14.44</v>
      </c>
      <c r="Z64" s="12">
        <v>14.1</v>
      </c>
      <c r="AA64" s="12">
        <v>14.16</v>
      </c>
      <c r="AB64" s="105">
        <v>10895100</v>
      </c>
      <c r="AC64" s="12">
        <v>14.16</v>
      </c>
      <c r="AD64">
        <f t="shared" si="2"/>
        <v>0.33999999999999986</v>
      </c>
      <c r="AE64" s="148">
        <f t="shared" si="3"/>
        <v>-1.2552301255230103E-2</v>
      </c>
    </row>
    <row r="65" spans="2:31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84" si="6">C65*D65+E65</f>
        <v>2802</v>
      </c>
      <c r="O65" s="93">
        <v>0.9</v>
      </c>
      <c r="P65" s="93">
        <f t="shared" si="5"/>
        <v>9.9269999999999996</v>
      </c>
      <c r="W65" s="143">
        <v>42367</v>
      </c>
      <c r="X65" s="12">
        <v>14.35</v>
      </c>
      <c r="Y65" s="12">
        <v>14.51</v>
      </c>
      <c r="Z65" s="12">
        <v>14.23</v>
      </c>
      <c r="AA65" s="12">
        <v>14.34</v>
      </c>
      <c r="AB65" s="105">
        <v>16093900</v>
      </c>
      <c r="AC65" s="12">
        <v>14.34</v>
      </c>
      <c r="AD65">
        <f t="shared" si="2"/>
        <v>0.27999999999999936</v>
      </c>
      <c r="AE65" s="148">
        <f t="shared" si="3"/>
        <v>1.0570824524313016E-2</v>
      </c>
    </row>
    <row r="66" spans="2:31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42366</v>
      </c>
      <c r="X66" s="12">
        <v>14.45</v>
      </c>
      <c r="Y66" s="12">
        <v>14.51</v>
      </c>
      <c r="Z66" s="12">
        <v>14.05</v>
      </c>
      <c r="AA66" s="12">
        <v>14.19</v>
      </c>
      <c r="AB66" s="105">
        <v>17635000</v>
      </c>
      <c r="AC66" s="12">
        <v>14.19</v>
      </c>
      <c r="AD66">
        <f t="shared" si="2"/>
        <v>0.45999999999999908</v>
      </c>
      <c r="AE66" s="148">
        <f t="shared" si="3"/>
        <v>-2.0027624309392311E-2</v>
      </c>
    </row>
    <row r="67" spans="2:31" x14ac:dyDescent="0.25">
      <c r="B67" s="419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42362</v>
      </c>
      <c r="X67" s="12">
        <v>14.2</v>
      </c>
      <c r="Y67" s="12">
        <v>14.59</v>
      </c>
      <c r="Z67" s="12">
        <v>14.19</v>
      </c>
      <c r="AA67" s="12">
        <v>14.48</v>
      </c>
      <c r="AB67" s="105">
        <v>14284200</v>
      </c>
      <c r="AC67" s="12">
        <v>14.48</v>
      </c>
      <c r="AD67">
        <f>Y67-Z67</f>
        <v>0.40000000000000036</v>
      </c>
      <c r="AE67" s="148" t="e">
        <f>AC67/AC68-1</f>
        <v>#DIV/0!</v>
      </c>
    </row>
    <row r="68" spans="2:31" x14ac:dyDescent="0.25">
      <c r="B68" s="419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419"/>
      <c r="C69" s="7">
        <v>440</v>
      </c>
      <c r="D69" s="47">
        <v>14.33</v>
      </c>
      <c r="E69" s="47">
        <v>0</v>
      </c>
      <c r="F69" s="47">
        <f t="shared" si="6"/>
        <v>6305.2</v>
      </c>
    </row>
    <row r="70" spans="2:31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</row>
    <row r="71" spans="2:31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</row>
    <row r="72" spans="2:31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</row>
    <row r="73" spans="2:31" x14ac:dyDescent="0.25">
      <c r="B73" s="84">
        <v>42423</v>
      </c>
      <c r="C73" s="7">
        <v>1660</v>
      </c>
      <c r="D73" s="47">
        <v>10.77</v>
      </c>
      <c r="E73" s="47">
        <v>0</v>
      </c>
      <c r="F73" s="47">
        <f t="shared" si="6"/>
        <v>17878.2</v>
      </c>
    </row>
    <row r="74" spans="2:31" x14ac:dyDescent="0.25">
      <c r="B74" s="1">
        <v>42436</v>
      </c>
      <c r="C74" s="7">
        <v>520</v>
      </c>
      <c r="D74" s="47">
        <v>11.1</v>
      </c>
      <c r="E74" s="47">
        <v>0.16</v>
      </c>
      <c r="F74" s="47">
        <f t="shared" si="6"/>
        <v>5772.16</v>
      </c>
      <c r="G74" s="4"/>
    </row>
    <row r="75" spans="2:31" x14ac:dyDescent="0.25">
      <c r="B75" s="419">
        <v>42436</v>
      </c>
      <c r="C75" s="7">
        <v>500</v>
      </c>
      <c r="D75" s="7">
        <v>11.35</v>
      </c>
      <c r="E75" s="47">
        <v>0</v>
      </c>
      <c r="F75" s="47">
        <f t="shared" si="6"/>
        <v>5675</v>
      </c>
    </row>
    <row r="76" spans="2:31" x14ac:dyDescent="0.25">
      <c r="B76" s="419"/>
      <c r="C76" s="7">
        <v>30</v>
      </c>
      <c r="D76" s="7">
        <v>11.35</v>
      </c>
      <c r="E76" s="47">
        <v>0</v>
      </c>
      <c r="F76" s="47">
        <f t="shared" si="6"/>
        <v>340.5</v>
      </c>
      <c r="M76" s="2"/>
    </row>
    <row r="77" spans="2:31" x14ac:dyDescent="0.25">
      <c r="B77" s="419">
        <v>42447</v>
      </c>
      <c r="C77" s="7">
        <v>5</v>
      </c>
      <c r="D77" s="7">
        <v>10.75</v>
      </c>
      <c r="E77" s="47">
        <v>0</v>
      </c>
      <c r="F77" s="47">
        <f t="shared" si="6"/>
        <v>53.75</v>
      </c>
      <c r="M77" s="2"/>
    </row>
    <row r="78" spans="2:31" x14ac:dyDescent="0.25">
      <c r="B78" s="419"/>
      <c r="C78" s="7">
        <v>500</v>
      </c>
      <c r="D78" s="7">
        <v>10.75</v>
      </c>
      <c r="E78" s="47">
        <v>0</v>
      </c>
      <c r="F78" s="47">
        <f t="shared" si="6"/>
        <v>5375</v>
      </c>
    </row>
    <row r="79" spans="2:31" x14ac:dyDescent="0.25">
      <c r="B79" s="419">
        <v>42447</v>
      </c>
      <c r="C79" s="7">
        <v>2000</v>
      </c>
      <c r="D79" s="7">
        <v>11.07</v>
      </c>
      <c r="E79" s="47">
        <v>0</v>
      </c>
      <c r="F79" s="47">
        <f t="shared" si="6"/>
        <v>22140</v>
      </c>
    </row>
    <row r="80" spans="2:31" x14ac:dyDescent="0.25">
      <c r="B80" s="419"/>
      <c r="C80" s="7">
        <v>5</v>
      </c>
      <c r="D80" s="7">
        <v>11.07</v>
      </c>
      <c r="E80" s="47">
        <v>0</v>
      </c>
      <c r="F80" s="47">
        <f t="shared" si="6"/>
        <v>55.35</v>
      </c>
    </row>
    <row r="81" spans="1:13" x14ac:dyDescent="0.25">
      <c r="B81" s="1">
        <v>42447</v>
      </c>
      <c r="C81" s="7">
        <v>355</v>
      </c>
      <c r="D81" s="7">
        <v>11.11</v>
      </c>
      <c r="E81" s="47">
        <v>0</v>
      </c>
      <c r="F81" s="47">
        <f t="shared" si="6"/>
        <v>3944.0499999999997</v>
      </c>
    </row>
    <row r="82" spans="1:13" x14ac:dyDescent="0.25">
      <c r="B82" s="1">
        <v>42450</v>
      </c>
      <c r="C82" s="7">
        <v>100</v>
      </c>
      <c r="D82" s="7">
        <v>11.51</v>
      </c>
      <c r="E82" s="47">
        <v>0</v>
      </c>
      <c r="F82" s="47">
        <f t="shared" si="6"/>
        <v>1151</v>
      </c>
    </row>
    <row r="83" spans="1:13" x14ac:dyDescent="0.25">
      <c r="B83" s="1">
        <v>42451</v>
      </c>
      <c r="C83" s="7">
        <v>1305</v>
      </c>
      <c r="D83" s="47">
        <v>11.4</v>
      </c>
      <c r="E83" s="47">
        <v>-1</v>
      </c>
      <c r="F83" s="47">
        <f t="shared" si="6"/>
        <v>14876</v>
      </c>
    </row>
    <row r="84" spans="1:13" x14ac:dyDescent="0.25">
      <c r="B84" s="1">
        <v>42452</v>
      </c>
      <c r="C84" s="7">
        <v>100</v>
      </c>
      <c r="D84" s="47">
        <v>10.82</v>
      </c>
      <c r="E84" s="47">
        <v>0</v>
      </c>
      <c r="F84" s="47">
        <f t="shared" si="6"/>
        <v>1082</v>
      </c>
    </row>
    <row r="85" spans="1:13" x14ac:dyDescent="0.25">
      <c r="D85" s="2"/>
      <c r="F85" s="3"/>
    </row>
    <row r="86" spans="1:13" x14ac:dyDescent="0.25">
      <c r="D86" s="2"/>
    </row>
    <row r="87" spans="1:13" x14ac:dyDescent="0.25">
      <c r="D87" s="2"/>
    </row>
    <row r="90" spans="1:13" x14ac:dyDescent="0.25">
      <c r="A90" s="25" t="s">
        <v>81</v>
      </c>
      <c r="B90" s="14"/>
      <c r="C90" s="14">
        <f>SUM(C2:C89)</f>
        <v>34425</v>
      </c>
      <c r="D90" s="14"/>
      <c r="E90" s="14"/>
      <c r="F90" s="15">
        <f>SUM(F2:F89)</f>
        <v>523599.28300000005</v>
      </c>
      <c r="G90" s="14"/>
      <c r="H90" s="14">
        <f>SUM(H2:H89)</f>
        <v>29165</v>
      </c>
      <c r="I90" s="15"/>
      <c r="J90" s="15"/>
      <c r="K90" s="15">
        <f>SUM(K2:K89)</f>
        <v>438350.58</v>
      </c>
      <c r="L90" s="14"/>
      <c r="M90" s="14"/>
    </row>
    <row r="92" spans="1:13" x14ac:dyDescent="0.25">
      <c r="B92" s="209" t="s">
        <v>117</v>
      </c>
      <c r="C92" s="209" t="s">
        <v>167</v>
      </c>
      <c r="D92" s="210" t="s">
        <v>166</v>
      </c>
      <c r="E92" s="212" t="s">
        <v>168</v>
      </c>
      <c r="F92" s="213" t="s">
        <v>65</v>
      </c>
      <c r="G92" s="253" t="s">
        <v>172</v>
      </c>
      <c r="H92" s="213" t="s">
        <v>90</v>
      </c>
      <c r="I92" s="253" t="s">
        <v>179</v>
      </c>
    </row>
    <row r="93" spans="1:13" x14ac:dyDescent="0.25">
      <c r="B93" s="211">
        <v>42304</v>
      </c>
      <c r="C93" s="12">
        <v>5100</v>
      </c>
      <c r="D93" s="220">
        <v>17.29</v>
      </c>
      <c r="E93" s="43">
        <v>16.68</v>
      </c>
      <c r="F93" s="43">
        <f t="shared" ref="F93:F130" si="7">-C93*(D93-E93)</f>
        <v>-3110.9999999999973</v>
      </c>
      <c r="G93" s="43">
        <f>IF(C93=0, 0,D93*C93)</f>
        <v>88179</v>
      </c>
      <c r="H93" s="261">
        <f>IF(C93=0, D93, (E93-D93)/D93)</f>
        <v>-3.5280508964719459E-2</v>
      </c>
      <c r="I93" s="43"/>
    </row>
    <row r="94" spans="1:13" x14ac:dyDescent="0.25">
      <c r="B94" s="211">
        <v>42305</v>
      </c>
      <c r="C94" s="12">
        <v>4900</v>
      </c>
      <c r="D94" s="220">
        <v>17.29</v>
      </c>
      <c r="E94" s="43">
        <v>16.920000000000002</v>
      </c>
      <c r="F94" s="43">
        <f t="shared" si="7"/>
        <v>-1812.9999999999875</v>
      </c>
      <c r="G94" s="43">
        <f>IF(C94=0, 0,D94*C94)</f>
        <v>84721</v>
      </c>
      <c r="H94" s="261">
        <f>IF(C94=0, D94, (E94-D94)/D94)</f>
        <v>-2.1399652978600199E-2</v>
      </c>
      <c r="I94" s="43"/>
    </row>
    <row r="95" spans="1:13" x14ac:dyDescent="0.25">
      <c r="B95" s="211">
        <v>42306</v>
      </c>
      <c r="C95" s="12">
        <v>5100</v>
      </c>
      <c r="D95" s="220">
        <v>17.25</v>
      </c>
      <c r="E95" s="43">
        <v>16.21</v>
      </c>
      <c r="F95" s="43">
        <f t="shared" si="7"/>
        <v>-5303.9999999999955</v>
      </c>
      <c r="G95" s="43">
        <f>IF(C95=0, 0,D95*C95)</f>
        <v>87975</v>
      </c>
      <c r="H95" s="261">
        <f>IF(C95=0, D95, (E95-D95)/D95)</f>
        <v>-6.0289855072463719E-2</v>
      </c>
      <c r="I95" s="43"/>
    </row>
    <row r="96" spans="1:13" x14ac:dyDescent="0.25">
      <c r="B96" s="211">
        <v>42311</v>
      </c>
      <c r="C96" s="12">
        <v>2710</v>
      </c>
      <c r="D96" s="220">
        <v>16.989999999999998</v>
      </c>
      <c r="E96" s="43">
        <v>17.84</v>
      </c>
      <c r="F96" s="43">
        <f t="shared" si="7"/>
        <v>2303.5000000000036</v>
      </c>
      <c r="G96" s="43">
        <f t="shared" ref="G96:G99" si="8">IF(C96=0, 0,D96*C96)</f>
        <v>46042.899999999994</v>
      </c>
      <c r="H96" s="261">
        <f t="shared" ref="H96:H99" si="9">IF(C96=0, D96, (E96-D96)/D96)</f>
        <v>5.0029429075927105E-2</v>
      </c>
      <c r="I96" s="43"/>
    </row>
    <row r="97" spans="2:9" x14ac:dyDescent="0.25">
      <c r="B97" s="211">
        <v>42312</v>
      </c>
      <c r="C97" s="12">
        <v>2902</v>
      </c>
      <c r="D97" s="220">
        <v>16.989999999999998</v>
      </c>
      <c r="E97" s="43">
        <v>17.440000000000001</v>
      </c>
      <c r="F97" s="43">
        <f t="shared" si="7"/>
        <v>1305.9000000000083</v>
      </c>
      <c r="G97" s="43">
        <f t="shared" si="8"/>
        <v>49304.979999999996</v>
      </c>
      <c r="H97" s="261">
        <f t="shared" si="9"/>
        <v>2.6486168334314473E-2</v>
      </c>
      <c r="I97" s="43"/>
    </row>
    <row r="98" spans="2:9" x14ac:dyDescent="0.25">
      <c r="B98" s="211">
        <v>42313</v>
      </c>
      <c r="C98" s="12">
        <v>5710</v>
      </c>
      <c r="D98" s="220">
        <v>16.91</v>
      </c>
      <c r="E98" s="43">
        <v>16.510000000000002</v>
      </c>
      <c r="F98" s="43">
        <f t="shared" si="7"/>
        <v>-2283.9999999999918</v>
      </c>
      <c r="G98" s="43">
        <f t="shared" si="8"/>
        <v>96556.1</v>
      </c>
      <c r="H98" s="261">
        <f t="shared" si="9"/>
        <v>-2.3654642223536283E-2</v>
      </c>
      <c r="I98" s="43"/>
    </row>
    <row r="99" spans="2:9" x14ac:dyDescent="0.25">
      <c r="B99" s="211">
        <v>42314</v>
      </c>
      <c r="C99" s="12">
        <v>4710</v>
      </c>
      <c r="D99" s="220">
        <v>16.95</v>
      </c>
      <c r="E99" s="43">
        <v>16.45</v>
      </c>
      <c r="F99" s="43">
        <f t="shared" si="7"/>
        <v>-2355</v>
      </c>
      <c r="G99" s="43">
        <f t="shared" si="8"/>
        <v>79834.5</v>
      </c>
      <c r="H99" s="261">
        <f t="shared" si="9"/>
        <v>-2.9498525073746312E-2</v>
      </c>
      <c r="I99" s="43"/>
    </row>
    <row r="100" spans="2:9" x14ac:dyDescent="0.25">
      <c r="B100" s="211">
        <v>42317</v>
      </c>
      <c r="C100" s="12">
        <v>5060</v>
      </c>
      <c r="D100" s="220">
        <v>16.87</v>
      </c>
      <c r="E100" s="43">
        <v>15.84</v>
      </c>
      <c r="F100" s="43">
        <f t="shared" si="7"/>
        <v>-5211.8000000000056</v>
      </c>
      <c r="G100" s="43">
        <f t="shared" ref="G100:G102" si="10">IF(C100=0, 0,D100*C100)</f>
        <v>85362.200000000012</v>
      </c>
      <c r="H100" s="261">
        <f t="shared" ref="H100:H102" si="11">IF(C100=0, D100, (E100-D100)/D100)</f>
        <v>-6.1055127445169E-2</v>
      </c>
      <c r="I100" s="43"/>
    </row>
    <row r="101" spans="2:9" x14ac:dyDescent="0.25">
      <c r="B101" s="211">
        <v>42324</v>
      </c>
      <c r="C101" s="12">
        <v>6000</v>
      </c>
      <c r="D101" s="220">
        <v>16.54</v>
      </c>
      <c r="E101" s="43">
        <v>14.89</v>
      </c>
      <c r="F101" s="43">
        <f t="shared" si="7"/>
        <v>-9899.9999999999909</v>
      </c>
      <c r="G101" s="43">
        <f t="shared" si="10"/>
        <v>99240</v>
      </c>
      <c r="H101" s="261">
        <f t="shared" si="11"/>
        <v>-9.9758162031438849E-2</v>
      </c>
      <c r="I101" s="43"/>
    </row>
    <row r="102" spans="2:9" x14ac:dyDescent="0.25">
      <c r="B102" s="211">
        <v>42325</v>
      </c>
      <c r="C102" s="12">
        <v>5060</v>
      </c>
      <c r="D102" s="220">
        <v>16.73</v>
      </c>
      <c r="E102" s="43">
        <v>15.28</v>
      </c>
      <c r="F102" s="43">
        <f t="shared" si="7"/>
        <v>-7337.0000000000055</v>
      </c>
      <c r="G102" s="43">
        <f t="shared" si="10"/>
        <v>84653.8</v>
      </c>
      <c r="H102" s="261">
        <f t="shared" si="11"/>
        <v>-8.6670651524208067E-2</v>
      </c>
      <c r="I102" s="43"/>
    </row>
    <row r="103" spans="2:9" x14ac:dyDescent="0.25">
      <c r="B103" s="211">
        <v>42328</v>
      </c>
      <c r="C103" s="12">
        <v>6000</v>
      </c>
      <c r="D103" s="220">
        <v>16.52</v>
      </c>
      <c r="E103" s="43">
        <v>15.39</v>
      </c>
      <c r="F103" s="43">
        <f t="shared" si="7"/>
        <v>-6779.9999999999936</v>
      </c>
      <c r="G103" s="43">
        <f t="shared" ref="G103:G130" si="12">IF(C103=0, 0,D103*C103)</f>
        <v>99120</v>
      </c>
      <c r="H103" s="261">
        <f t="shared" ref="H103:H107" si="13">IF(C103=0, D103, (E103-D103)/D103)</f>
        <v>-6.8401937046004779E-2</v>
      </c>
      <c r="I103" s="43"/>
    </row>
    <row r="104" spans="2:9" x14ac:dyDescent="0.25">
      <c r="B104" s="211">
        <v>42331</v>
      </c>
      <c r="C104" s="12">
        <v>5060</v>
      </c>
      <c r="D104" s="220">
        <v>16.68</v>
      </c>
      <c r="E104" s="43">
        <v>15.32</v>
      </c>
      <c r="F104" s="43">
        <f t="shared" si="7"/>
        <v>-6881.5999999999967</v>
      </c>
      <c r="G104" s="43">
        <f t="shared" si="12"/>
        <v>84400.8</v>
      </c>
      <c r="H104" s="261">
        <f t="shared" si="13"/>
        <v>-8.1534772182254162E-2</v>
      </c>
      <c r="I104" s="43"/>
    </row>
    <row r="105" spans="2:9" x14ac:dyDescent="0.25">
      <c r="B105" s="211">
        <v>42338</v>
      </c>
      <c r="C105" s="12">
        <v>4710</v>
      </c>
      <c r="D105" s="220">
        <v>16.73</v>
      </c>
      <c r="E105" s="43">
        <v>15.93</v>
      </c>
      <c r="F105" s="43">
        <f t="shared" si="7"/>
        <v>-3768.0000000000032</v>
      </c>
      <c r="G105" s="43">
        <f t="shared" si="12"/>
        <v>78798.3</v>
      </c>
      <c r="H105" s="261">
        <f t="shared" si="13"/>
        <v>-4.7818290496114808E-2</v>
      </c>
      <c r="I105" s="43"/>
    </row>
    <row r="106" spans="2:9" x14ac:dyDescent="0.25">
      <c r="B106" s="211">
        <v>42340</v>
      </c>
      <c r="C106" s="12">
        <v>5060</v>
      </c>
      <c r="D106" s="220">
        <v>16.670000000000002</v>
      </c>
      <c r="E106" s="43">
        <v>15.82</v>
      </c>
      <c r="F106" s="43">
        <f t="shared" si="7"/>
        <v>-4301.0000000000073</v>
      </c>
      <c r="G106" s="43">
        <f t="shared" si="12"/>
        <v>84350.200000000012</v>
      </c>
      <c r="H106" s="261">
        <f t="shared" si="13"/>
        <v>-5.0989802039592164E-2</v>
      </c>
      <c r="I106" s="43"/>
    </row>
    <row r="107" spans="2:9" x14ac:dyDescent="0.25">
      <c r="B107" s="211">
        <v>42341</v>
      </c>
      <c r="C107" s="12">
        <v>5060</v>
      </c>
      <c r="D107" s="220">
        <v>16.64</v>
      </c>
      <c r="E107" s="43">
        <v>15.61</v>
      </c>
      <c r="F107" s="43">
        <f t="shared" si="7"/>
        <v>-5211.8000000000056</v>
      </c>
      <c r="G107" s="43">
        <f t="shared" si="12"/>
        <v>84198.400000000009</v>
      </c>
      <c r="H107" s="261">
        <f t="shared" si="13"/>
        <v>-6.1899038461538526E-2</v>
      </c>
      <c r="I107" s="43"/>
    </row>
    <row r="108" spans="2:9" x14ac:dyDescent="0.25">
      <c r="B108" s="211">
        <v>42347</v>
      </c>
      <c r="C108" s="297">
        <v>5260</v>
      </c>
      <c r="D108" s="298">
        <v>16.559999999999999</v>
      </c>
      <c r="E108" s="43">
        <v>14.32</v>
      </c>
      <c r="F108" s="43">
        <f t="shared" si="7"/>
        <v>-11782.399999999992</v>
      </c>
      <c r="G108" s="43">
        <f t="shared" si="12"/>
        <v>87105.599999999991</v>
      </c>
      <c r="H108" s="261">
        <f t="shared" ref="H108:H130" si="14">IF(C108=0, D108, (E108-D108)/D108)</f>
        <v>-0.13526570048309169</v>
      </c>
      <c r="I108" s="43"/>
    </row>
    <row r="109" spans="2:9" x14ac:dyDescent="0.25">
      <c r="B109" s="211">
        <v>42348</v>
      </c>
      <c r="C109" s="12">
        <v>5060</v>
      </c>
      <c r="D109" s="220">
        <v>16.63</v>
      </c>
      <c r="E109" s="43">
        <v>14.66</v>
      </c>
      <c r="F109" s="43">
        <f t="shared" si="7"/>
        <v>-9968.1999999999935</v>
      </c>
      <c r="G109" s="43">
        <f t="shared" si="12"/>
        <v>84147.799999999988</v>
      </c>
      <c r="H109" s="261">
        <f t="shared" si="14"/>
        <v>-0.11846061334936855</v>
      </c>
      <c r="I109" s="43"/>
    </row>
    <row r="110" spans="2:9" x14ac:dyDescent="0.25">
      <c r="B110" s="211">
        <v>42349</v>
      </c>
      <c r="C110" s="12">
        <v>5060</v>
      </c>
      <c r="D110" s="220">
        <v>16.62</v>
      </c>
      <c r="E110" s="43">
        <v>14.04</v>
      </c>
      <c r="F110" s="43">
        <f t="shared" si="7"/>
        <v>-13054.80000000001</v>
      </c>
      <c r="G110" s="43">
        <f t="shared" si="12"/>
        <v>84097.200000000012</v>
      </c>
      <c r="H110" s="261">
        <f t="shared" si="14"/>
        <v>-0.15523465703971129</v>
      </c>
      <c r="I110" s="43"/>
    </row>
    <row r="111" spans="2:9" x14ac:dyDescent="0.25">
      <c r="B111" s="211">
        <v>42349</v>
      </c>
      <c r="C111" s="12">
        <v>6000</v>
      </c>
      <c r="D111" s="220">
        <v>16.22</v>
      </c>
      <c r="E111" s="43">
        <v>14.04</v>
      </c>
      <c r="F111" s="43">
        <f t="shared" si="7"/>
        <v>-13079.999999999998</v>
      </c>
      <c r="G111" s="43">
        <f t="shared" si="12"/>
        <v>97320</v>
      </c>
      <c r="H111" s="261">
        <f t="shared" si="14"/>
        <v>-0.13440197287299629</v>
      </c>
      <c r="I111" s="43"/>
    </row>
    <row r="112" spans="2:9" x14ac:dyDescent="0.25">
      <c r="B112" s="211">
        <v>42349</v>
      </c>
      <c r="C112" s="12">
        <v>6200</v>
      </c>
      <c r="D112" s="220">
        <v>16.14</v>
      </c>
      <c r="E112" s="43">
        <v>14.04</v>
      </c>
      <c r="F112" s="43">
        <f t="shared" si="7"/>
        <v>-13020.000000000009</v>
      </c>
      <c r="G112" s="43">
        <f t="shared" si="12"/>
        <v>100068</v>
      </c>
      <c r="H112" s="261">
        <f t="shared" si="14"/>
        <v>-0.13011152416356886</v>
      </c>
      <c r="I112" s="43"/>
    </row>
    <row r="113" spans="2:9" x14ac:dyDescent="0.25">
      <c r="B113" s="211">
        <v>42349</v>
      </c>
      <c r="C113" s="12">
        <v>5721</v>
      </c>
      <c r="D113" s="220">
        <v>16.32</v>
      </c>
      <c r="E113" s="43">
        <v>14.04</v>
      </c>
      <c r="F113" s="43">
        <f t="shared" si="7"/>
        <v>-13043.880000000006</v>
      </c>
      <c r="G113" s="43">
        <f t="shared" si="12"/>
        <v>93366.720000000001</v>
      </c>
      <c r="H113" s="261">
        <f t="shared" si="14"/>
        <v>-0.13970588235294124</v>
      </c>
      <c r="I113" s="43"/>
    </row>
    <row r="114" spans="2:9" x14ac:dyDescent="0.25">
      <c r="B114" s="211">
        <v>42349</v>
      </c>
      <c r="C114" s="12">
        <v>5060</v>
      </c>
      <c r="D114" s="220">
        <v>16.6143</v>
      </c>
      <c r="E114" s="43">
        <v>14.04</v>
      </c>
      <c r="F114" s="43">
        <f t="shared" si="7"/>
        <v>-13025.958000000004</v>
      </c>
      <c r="G114" s="43">
        <f t="shared" si="12"/>
        <v>84068.358000000007</v>
      </c>
      <c r="H114" s="261">
        <f t="shared" si="14"/>
        <v>-0.15494483667683867</v>
      </c>
      <c r="I114" s="43"/>
    </row>
    <row r="115" spans="2:9" x14ac:dyDescent="0.25">
      <c r="B115" s="211">
        <v>42356</v>
      </c>
      <c r="C115" s="12">
        <v>5060</v>
      </c>
      <c r="D115" s="220">
        <v>16.596900000000002</v>
      </c>
      <c r="E115" s="43">
        <v>14.32</v>
      </c>
      <c r="F115" s="43">
        <f t="shared" si="7"/>
        <v>-11521.114000000007</v>
      </c>
      <c r="G115" s="43">
        <f t="shared" si="12"/>
        <v>83980.314000000013</v>
      </c>
      <c r="H115" s="261">
        <f t="shared" si="14"/>
        <v>-0.13718827009863294</v>
      </c>
      <c r="I115" s="43"/>
    </row>
    <row r="116" spans="2:9" x14ac:dyDescent="0.25">
      <c r="B116" s="211">
        <v>42356</v>
      </c>
      <c r="C116" s="12">
        <v>7000</v>
      </c>
      <c r="D116" s="220">
        <v>15.97</v>
      </c>
      <c r="E116" s="43">
        <v>14.34</v>
      </c>
      <c r="F116" s="43">
        <f t="shared" si="7"/>
        <v>-11410.000000000005</v>
      </c>
      <c r="G116" s="43">
        <f t="shared" si="12"/>
        <v>111790</v>
      </c>
      <c r="H116" s="261">
        <f t="shared" si="14"/>
        <v>-0.10206637445209772</v>
      </c>
      <c r="I116" s="43"/>
    </row>
    <row r="117" spans="2:9" x14ac:dyDescent="0.25">
      <c r="B117" s="211">
        <v>42356</v>
      </c>
      <c r="C117" s="320">
        <v>6000</v>
      </c>
      <c r="D117" s="321">
        <v>16.23</v>
      </c>
      <c r="E117" s="43">
        <v>14.36</v>
      </c>
      <c r="F117" s="43">
        <f t="shared" si="7"/>
        <v>-11220.000000000005</v>
      </c>
      <c r="G117" s="43">
        <f t="shared" si="12"/>
        <v>97380</v>
      </c>
      <c r="H117" s="261">
        <f t="shared" si="14"/>
        <v>-0.11521873074553302</v>
      </c>
      <c r="I117" s="43"/>
    </row>
    <row r="118" spans="2:9" x14ac:dyDescent="0.25">
      <c r="B118" s="211">
        <v>42357</v>
      </c>
      <c r="C118" s="12">
        <v>5500</v>
      </c>
      <c r="D118" s="220">
        <v>16.398399999999999</v>
      </c>
      <c r="E118" s="43">
        <v>14.36</v>
      </c>
      <c r="F118" s="43">
        <f t="shared" si="7"/>
        <v>-11211.199999999997</v>
      </c>
      <c r="G118" s="43">
        <f t="shared" si="12"/>
        <v>90191.2</v>
      </c>
      <c r="H118" s="261">
        <f t="shared" si="14"/>
        <v>-0.12430481022538781</v>
      </c>
      <c r="I118" s="43"/>
    </row>
    <row r="119" spans="2:9" x14ac:dyDescent="0.25">
      <c r="B119" s="211">
        <v>42359</v>
      </c>
      <c r="C119" s="12">
        <v>5060</v>
      </c>
      <c r="D119" s="220">
        <v>16.55</v>
      </c>
      <c r="E119" s="43">
        <v>14.64</v>
      </c>
      <c r="F119" s="43">
        <f t="shared" si="7"/>
        <v>-9664.6</v>
      </c>
      <c r="G119" s="43">
        <f t="shared" si="12"/>
        <v>83743</v>
      </c>
      <c r="H119" s="261">
        <f t="shared" si="14"/>
        <v>-0.11540785498489427</v>
      </c>
      <c r="I119" s="43"/>
    </row>
    <row r="120" spans="2:9" x14ac:dyDescent="0.25">
      <c r="B120" s="211">
        <v>42361</v>
      </c>
      <c r="C120" s="12">
        <v>5060</v>
      </c>
      <c r="D120" s="220">
        <v>16.5456</v>
      </c>
      <c r="E120" s="43">
        <v>14.61</v>
      </c>
      <c r="F120" s="43">
        <f t="shared" si="7"/>
        <v>-9794.1360000000041</v>
      </c>
      <c r="G120" s="43">
        <f t="shared" si="12"/>
        <v>83720.736000000004</v>
      </c>
      <c r="H120" s="261">
        <f t="shared" si="14"/>
        <v>-0.11698578474035398</v>
      </c>
      <c r="I120" s="43"/>
    </row>
    <row r="121" spans="2:9" x14ac:dyDescent="0.25">
      <c r="B121" s="211">
        <v>42377</v>
      </c>
      <c r="C121" s="297">
        <v>5260</v>
      </c>
      <c r="D121" s="298">
        <v>16.424099999999999</v>
      </c>
      <c r="E121" s="43">
        <v>13.33</v>
      </c>
      <c r="F121" s="43">
        <f t="shared" si="7"/>
        <v>-16274.965999999995</v>
      </c>
      <c r="G121" s="43">
        <f t="shared" si="12"/>
        <v>86390.766000000003</v>
      </c>
      <c r="H121" s="261">
        <f t="shared" si="14"/>
        <v>-0.18838779598273264</v>
      </c>
      <c r="I121" s="43"/>
    </row>
    <row r="122" spans="2:9" x14ac:dyDescent="0.25">
      <c r="B122" s="211">
        <v>42398</v>
      </c>
      <c r="C122" s="12">
        <v>5000</v>
      </c>
      <c r="D122" s="220">
        <v>16.72</v>
      </c>
      <c r="E122" s="43">
        <v>10.74</v>
      </c>
      <c r="F122" s="43">
        <f t="shared" si="7"/>
        <v>-29899.999999999993</v>
      </c>
      <c r="G122" s="43">
        <f t="shared" si="12"/>
        <v>83600</v>
      </c>
      <c r="H122" s="261">
        <f t="shared" si="14"/>
        <v>-0.35765550239234445</v>
      </c>
      <c r="I122" s="43"/>
    </row>
    <row r="123" spans="2:9" x14ac:dyDescent="0.25">
      <c r="B123" s="211">
        <v>42401</v>
      </c>
      <c r="C123" s="297">
        <v>5260</v>
      </c>
      <c r="D123" s="298">
        <v>16.419699999999999</v>
      </c>
      <c r="E123" s="43">
        <v>10.96</v>
      </c>
      <c r="F123" s="43">
        <f t="shared" si="7"/>
        <v>-28718.02199999999</v>
      </c>
      <c r="G123" s="43">
        <f t="shared" si="12"/>
        <v>86367.621999999988</v>
      </c>
      <c r="H123" s="261">
        <f t="shared" si="14"/>
        <v>-0.33250912014226802</v>
      </c>
      <c r="I123" s="43"/>
    </row>
    <row r="124" spans="2:9" x14ac:dyDescent="0.25">
      <c r="B124" s="211">
        <v>42416</v>
      </c>
      <c r="C124" s="12">
        <v>4760</v>
      </c>
      <c r="D124" s="220">
        <v>17.02</v>
      </c>
      <c r="E124" s="43">
        <v>10.65</v>
      </c>
      <c r="F124" s="43">
        <f t="shared" si="7"/>
        <v>-30321.199999999997</v>
      </c>
      <c r="G124" s="43">
        <f t="shared" si="12"/>
        <v>81015.199999999997</v>
      </c>
      <c r="H124" s="261">
        <f t="shared" si="14"/>
        <v>-0.37426556991774379</v>
      </c>
      <c r="I124" s="43"/>
    </row>
    <row r="125" spans="2:9" x14ac:dyDescent="0.25">
      <c r="B125" s="211">
        <v>42416</v>
      </c>
      <c r="C125" s="12">
        <v>4000</v>
      </c>
      <c r="D125" s="220">
        <v>18.1967</v>
      </c>
      <c r="E125" s="43">
        <v>10.744999999999999</v>
      </c>
      <c r="F125" s="43">
        <f t="shared" si="7"/>
        <v>-29806.800000000003</v>
      </c>
      <c r="G125" s="43">
        <f t="shared" si="12"/>
        <v>72786.8</v>
      </c>
      <c r="H125" s="261">
        <f t="shared" si="14"/>
        <v>-0.40950831744217364</v>
      </c>
      <c r="I125" s="43"/>
    </row>
    <row r="126" spans="2:9" x14ac:dyDescent="0.25">
      <c r="B126" s="211">
        <v>42418</v>
      </c>
      <c r="C126" s="12">
        <v>3600</v>
      </c>
      <c r="D126" s="220">
        <v>18.931999999999999</v>
      </c>
      <c r="E126" s="43">
        <v>10.81</v>
      </c>
      <c r="F126" s="43">
        <f t="shared" si="7"/>
        <v>-29239.199999999993</v>
      </c>
      <c r="G126" s="43">
        <f t="shared" si="12"/>
        <v>68155.199999999997</v>
      </c>
      <c r="H126" s="261">
        <f t="shared" si="14"/>
        <v>-0.42900908514684127</v>
      </c>
      <c r="I126" s="43"/>
    </row>
    <row r="127" spans="2:9" x14ac:dyDescent="0.25">
      <c r="B127" s="211">
        <v>42423</v>
      </c>
      <c r="C127" s="297">
        <v>5260</v>
      </c>
      <c r="D127" s="298">
        <v>16.356200000000001</v>
      </c>
      <c r="E127" s="43">
        <v>10.49</v>
      </c>
      <c r="F127" s="43">
        <f t="shared" si="7"/>
        <v>-30856.212000000007</v>
      </c>
      <c r="G127" s="43">
        <f t="shared" si="12"/>
        <v>86033.612000000008</v>
      </c>
      <c r="H127" s="261">
        <f t="shared" si="14"/>
        <v>-0.35865298785781541</v>
      </c>
      <c r="I127" s="43"/>
    </row>
    <row r="128" spans="2:9" x14ac:dyDescent="0.25">
      <c r="B128" s="211">
        <v>42431</v>
      </c>
      <c r="C128" s="12">
        <v>4760</v>
      </c>
      <c r="D128" s="220">
        <v>16.858899999999998</v>
      </c>
      <c r="E128" s="43">
        <v>11.68</v>
      </c>
      <c r="F128" s="43">
        <f t="shared" si="7"/>
        <v>-24651.563999999995</v>
      </c>
      <c r="G128" s="43">
        <f t="shared" si="12"/>
        <v>80248.363999999987</v>
      </c>
      <c r="H128" s="261">
        <f t="shared" si="14"/>
        <v>-0.30719086061368173</v>
      </c>
      <c r="I128" s="43"/>
    </row>
    <row r="129" spans="2:9" x14ac:dyDescent="0.25">
      <c r="B129" s="211">
        <v>42436</v>
      </c>
      <c r="C129" s="320">
        <v>5290</v>
      </c>
      <c r="D129" s="321">
        <v>16.258900000000001</v>
      </c>
      <c r="E129" s="43">
        <v>11.58</v>
      </c>
      <c r="F129" s="43">
        <f t="shared" si="7"/>
        <v>-24751.381000000001</v>
      </c>
      <c r="G129" s="43">
        <f t="shared" si="12"/>
        <v>86009.581000000006</v>
      </c>
      <c r="H129" s="261">
        <f t="shared" si="14"/>
        <v>-0.28777469570512154</v>
      </c>
      <c r="I129" s="43"/>
    </row>
    <row r="130" spans="2:9" x14ac:dyDescent="0.25">
      <c r="B130" s="211">
        <v>42444</v>
      </c>
      <c r="C130" s="320">
        <v>5290</v>
      </c>
      <c r="D130" s="321">
        <v>16.259</v>
      </c>
      <c r="E130" s="43">
        <v>10.85</v>
      </c>
      <c r="F130" s="43">
        <f t="shared" si="7"/>
        <v>-28613.610000000004</v>
      </c>
      <c r="G130" s="43">
        <f t="shared" si="12"/>
        <v>86010.11</v>
      </c>
      <c r="H130" s="261">
        <f t="shared" si="14"/>
        <v>-0.33267728642597949</v>
      </c>
      <c r="I130" s="43"/>
    </row>
    <row r="131" spans="2:9" x14ac:dyDescent="0.25">
      <c r="B131" s="211">
        <v>42446</v>
      </c>
      <c r="C131" s="320">
        <v>5295</v>
      </c>
      <c r="D131" s="321">
        <v>16.2348</v>
      </c>
      <c r="E131" s="43">
        <v>10.87</v>
      </c>
      <c r="F131" s="43">
        <f t="shared" ref="F131:F137" si="15">-C131*(D131-E131)</f>
        <v>-28406.616000000002</v>
      </c>
      <c r="G131" s="43">
        <f t="shared" ref="G131:G137" si="16">IF(C131=0, 0,D131*C131)</f>
        <v>85963.266000000003</v>
      </c>
      <c r="H131" s="261">
        <f t="shared" ref="H131:H137" si="17">IF(C131=0, D131, (E131-D131)/D131)</f>
        <v>-0.33045063690344201</v>
      </c>
      <c r="I131" s="43"/>
    </row>
    <row r="132" spans="2:9" x14ac:dyDescent="0.25">
      <c r="B132" s="211">
        <v>42447</v>
      </c>
      <c r="C132" s="320">
        <v>5300</v>
      </c>
      <c r="D132" s="321">
        <v>16.211200000000002</v>
      </c>
      <c r="E132" s="43">
        <v>11.07</v>
      </c>
      <c r="F132" s="43">
        <f t="shared" si="15"/>
        <v>-27248.360000000008</v>
      </c>
      <c r="G132" s="43">
        <f t="shared" si="16"/>
        <v>85919.360000000015</v>
      </c>
      <c r="H132" s="261">
        <f t="shared" si="17"/>
        <v>-0.31713876825898152</v>
      </c>
      <c r="I132" s="43"/>
    </row>
    <row r="133" spans="2:9" x14ac:dyDescent="0.25">
      <c r="B133" s="211">
        <v>42447</v>
      </c>
      <c r="C133" s="320">
        <v>5155</v>
      </c>
      <c r="D133" s="321">
        <v>16.352699999999999</v>
      </c>
      <c r="E133" s="43">
        <v>11.14</v>
      </c>
      <c r="F133" s="43">
        <f t="shared" si="15"/>
        <v>-26871.468499999992</v>
      </c>
      <c r="G133" s="43">
        <f t="shared" si="16"/>
        <v>84298.1685</v>
      </c>
      <c r="H133" s="261">
        <f t="shared" si="17"/>
        <v>-0.31876693145474438</v>
      </c>
      <c r="I133" s="43"/>
    </row>
    <row r="134" spans="2:9" x14ac:dyDescent="0.25">
      <c r="B134" s="211">
        <v>42450</v>
      </c>
      <c r="C134" s="12">
        <v>3955</v>
      </c>
      <c r="D134" s="220">
        <v>17.7959</v>
      </c>
      <c r="E134" s="43">
        <v>11.54</v>
      </c>
      <c r="F134" s="43">
        <f t="shared" si="15"/>
        <v>-24742.084500000001</v>
      </c>
      <c r="G134" s="43">
        <f t="shared" si="16"/>
        <v>70382.784499999994</v>
      </c>
      <c r="H134" s="261">
        <f t="shared" si="17"/>
        <v>-0.3515360279614968</v>
      </c>
      <c r="I134" s="43"/>
    </row>
    <row r="135" spans="2:9" x14ac:dyDescent="0.25">
      <c r="B135" s="211">
        <v>42451</v>
      </c>
      <c r="C135" s="297">
        <v>5260</v>
      </c>
      <c r="D135" s="298">
        <v>16.2089</v>
      </c>
      <c r="E135" s="43">
        <v>11.44</v>
      </c>
      <c r="F135" s="43">
        <f t="shared" si="15"/>
        <v>-25084.414000000001</v>
      </c>
      <c r="G135" s="43">
        <f t="shared" si="16"/>
        <v>85258.813999999998</v>
      </c>
      <c r="H135" s="261">
        <f t="shared" si="17"/>
        <v>-0.29421490662537253</v>
      </c>
      <c r="I135" s="411"/>
    </row>
    <row r="136" spans="2:9" x14ac:dyDescent="0.25">
      <c r="B136" s="211">
        <v>42451</v>
      </c>
      <c r="C136" s="12">
        <v>5360</v>
      </c>
      <c r="D136" s="220">
        <v>16.1083</v>
      </c>
      <c r="E136" s="43">
        <v>10.65</v>
      </c>
      <c r="F136" s="43">
        <f t="shared" si="15"/>
        <v>-29256.487999999998</v>
      </c>
      <c r="G136" s="43">
        <f t="shared" si="16"/>
        <v>86340.487999999998</v>
      </c>
      <c r="H136" s="261">
        <f t="shared" si="17"/>
        <v>-0.33885015799308427</v>
      </c>
      <c r="I136" s="411" t="s">
        <v>275</v>
      </c>
    </row>
    <row r="137" spans="2:9" x14ac:dyDescent="0.25">
      <c r="B137" s="211">
        <v>42461</v>
      </c>
      <c r="C137" s="297">
        <v>5260</v>
      </c>
      <c r="D137" s="298">
        <v>16.207000000000001</v>
      </c>
      <c r="E137" s="43">
        <v>10.92</v>
      </c>
      <c r="F137" s="43">
        <f t="shared" si="15"/>
        <v>-27809.620000000003</v>
      </c>
      <c r="G137" s="43">
        <f t="shared" si="16"/>
        <v>85248.82</v>
      </c>
      <c r="H137" s="261">
        <f t="shared" si="17"/>
        <v>-0.32621706669957429</v>
      </c>
      <c r="I137" s="43"/>
    </row>
    <row r="138" spans="2:9" x14ac:dyDescent="0.25">
      <c r="B138" s="211"/>
      <c r="C138" s="12"/>
      <c r="D138" s="220"/>
      <c r="E138" s="43"/>
      <c r="F138" s="43"/>
      <c r="G138" s="43"/>
      <c r="H138" s="261"/>
      <c r="I138" s="43"/>
    </row>
    <row r="139" spans="2:9" x14ac:dyDescent="0.25">
      <c r="B139" s="211"/>
      <c r="C139" s="12"/>
      <c r="D139" s="220"/>
      <c r="E139" s="43"/>
      <c r="F139" s="43"/>
      <c r="G139" s="43"/>
      <c r="H139" s="261"/>
      <c r="I139" s="43"/>
    </row>
    <row r="140" spans="2:9" x14ac:dyDescent="0.25">
      <c r="B140" s="211"/>
      <c r="C140" s="12"/>
      <c r="D140" s="220"/>
      <c r="E140" s="43"/>
      <c r="F140" s="43"/>
      <c r="G140" s="43"/>
      <c r="H140" s="261"/>
      <c r="I140" s="43"/>
    </row>
    <row r="141" spans="2:9" x14ac:dyDescent="0.25">
      <c r="B141" s="211"/>
      <c r="C141" s="12"/>
      <c r="D141" s="220"/>
      <c r="E141" s="43"/>
      <c r="F141" s="43"/>
      <c r="G141" s="43"/>
      <c r="H141" s="261"/>
      <c r="I141" s="43"/>
    </row>
    <row r="142" spans="2:9" x14ac:dyDescent="0.25">
      <c r="B142" s="211"/>
      <c r="C142" s="12"/>
      <c r="D142" s="220"/>
      <c r="E142" s="43"/>
      <c r="F142" s="43"/>
      <c r="G142" s="43"/>
      <c r="H142" s="261"/>
      <c r="I142" s="43"/>
    </row>
    <row r="143" spans="2:9" x14ac:dyDescent="0.25">
      <c r="B143" s="211"/>
      <c r="C143" s="12"/>
      <c r="D143" s="220"/>
      <c r="E143" s="43"/>
      <c r="F143" s="43"/>
      <c r="G143" s="43"/>
      <c r="H143" s="261"/>
      <c r="I143" s="43"/>
    </row>
  </sheetData>
  <mergeCells count="9">
    <mergeCell ref="B79:B80"/>
    <mergeCell ref="G37:G39"/>
    <mergeCell ref="B75:B76"/>
    <mergeCell ref="O44:P44"/>
    <mergeCell ref="G13:G14"/>
    <mergeCell ref="B51:B52"/>
    <mergeCell ref="B67:B69"/>
    <mergeCell ref="G29:G32"/>
    <mergeCell ref="B77:B78"/>
  </mergeCells>
  <conditionalFormatting sqref="Q7">
    <cfRule type="expression" dxfId="375" priority="46">
      <formula>Q7&gt;0</formula>
    </cfRule>
    <cfRule type="expression" dxfId="37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3:F112">
    <cfRule type="expression" dxfId="373" priority="39">
      <formula>F93&gt;0</formula>
    </cfRule>
    <cfRule type="expression" dxfId="372" priority="40">
      <formula>F93&lt;0</formula>
    </cfRule>
  </conditionalFormatting>
  <conditionalFormatting sqref="F113:F143">
    <cfRule type="expression" dxfId="371" priority="33">
      <formula>F113&gt;0</formula>
    </cfRule>
    <cfRule type="expression" dxfId="370" priority="34">
      <formula>F113&lt;0</formula>
    </cfRule>
  </conditionalFormatting>
  <conditionalFormatting sqref="H93:H104">
    <cfRule type="expression" dxfId="369" priority="31">
      <formula>H93&gt;0</formula>
    </cfRule>
    <cfRule type="expression" dxfId="368" priority="32">
      <formula>H93&lt;0</formula>
    </cfRule>
  </conditionalFormatting>
  <conditionalFormatting sqref="H105">
    <cfRule type="expression" dxfId="367" priority="21">
      <formula>H105&gt;0</formula>
    </cfRule>
    <cfRule type="expression" dxfId="366" priority="22">
      <formula>H105&lt;0</formula>
    </cfRule>
  </conditionalFormatting>
  <conditionalFormatting sqref="F113:F143">
    <cfRule type="expression" dxfId="365" priority="19">
      <formula>F113&gt;0</formula>
    </cfRule>
    <cfRule type="expression" dxfId="364" priority="20">
      <formula>F113&lt;0</formula>
    </cfRule>
  </conditionalFormatting>
  <conditionalFormatting sqref="H106">
    <cfRule type="expression" dxfId="363" priority="17">
      <formula>H106&gt;0</formula>
    </cfRule>
    <cfRule type="expression" dxfId="362" priority="18">
      <formula>H106&lt;0</formula>
    </cfRule>
  </conditionalFormatting>
  <conditionalFormatting sqref="H107:H112">
    <cfRule type="expression" dxfId="361" priority="13">
      <formula>H107&gt;0</formula>
    </cfRule>
    <cfRule type="expression" dxfId="360" priority="14">
      <formula>H107&lt;0</formula>
    </cfRule>
  </conditionalFormatting>
  <conditionalFormatting sqref="F113:F143">
    <cfRule type="expression" dxfId="359" priority="3">
      <formula>F113&gt;0</formula>
    </cfRule>
    <cfRule type="expression" dxfId="358" priority="4">
      <formula>F113&lt;0</formula>
    </cfRule>
  </conditionalFormatting>
  <conditionalFormatting sqref="H113:H143">
    <cfRule type="expression" dxfId="357" priority="1">
      <formula>H113&gt;0</formula>
    </cfRule>
    <cfRule type="expression" dxfId="356" priority="2">
      <formula>H113&lt;0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207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42460</v>
      </c>
      <c r="W2" s="113">
        <v>41</v>
      </c>
      <c r="X2" s="113">
        <v>41.16</v>
      </c>
      <c r="Y2" s="113">
        <v>40.61</v>
      </c>
      <c r="Z2" s="113">
        <v>41.04</v>
      </c>
      <c r="AA2" s="111">
        <v>4313000</v>
      </c>
      <c r="AB2" s="110">
        <v>41.04</v>
      </c>
      <c r="AC2" s="2">
        <f>X2-Y2</f>
        <v>0.54999999999999716</v>
      </c>
      <c r="AD2" s="148">
        <f>AB2/AB3-1</f>
        <v>9.7560975609756184E-4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40.97</v>
      </c>
      <c r="S3" s="125"/>
      <c r="T3" s="20"/>
      <c r="U3" s="20"/>
      <c r="V3" s="109">
        <v>42459</v>
      </c>
      <c r="W3" s="113">
        <v>41.45</v>
      </c>
      <c r="X3" s="113">
        <v>41.55</v>
      </c>
      <c r="Y3" s="113">
        <v>40.869999999999997</v>
      </c>
      <c r="Z3" s="113">
        <v>41</v>
      </c>
      <c r="AA3" s="111">
        <v>2993700</v>
      </c>
      <c r="AB3" s="110">
        <v>41</v>
      </c>
      <c r="AC3" s="2">
        <f t="shared" ref="AC3:AC66" si="0">X3-Y3</f>
        <v>0.67999999999999972</v>
      </c>
      <c r="AD3" s="148">
        <f t="shared" ref="AD3:AD66" si="1">AB3/AB4-1</f>
        <v>-8.2244799225932308E-3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40.97</v>
      </c>
      <c r="V4" s="109">
        <v>42458</v>
      </c>
      <c r="W4" s="113">
        <v>40.770000000000003</v>
      </c>
      <c r="X4" s="113">
        <v>41.36</v>
      </c>
      <c r="Y4" s="113">
        <v>40.340000000000003</v>
      </c>
      <c r="Z4" s="113">
        <v>41.34</v>
      </c>
      <c r="AA4" s="111">
        <v>2966000</v>
      </c>
      <c r="AB4" s="110">
        <v>41.34</v>
      </c>
      <c r="AC4" s="2">
        <f t="shared" si="0"/>
        <v>1.019999999999996</v>
      </c>
      <c r="AD4" s="148">
        <f t="shared" si="1"/>
        <v>1.1747430249632984E-2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42457</v>
      </c>
      <c r="W5" s="113">
        <v>40.9</v>
      </c>
      <c r="X5" s="113">
        <v>41.01</v>
      </c>
      <c r="Y5" s="113">
        <v>40.54</v>
      </c>
      <c r="Z5" s="113">
        <v>40.86</v>
      </c>
      <c r="AA5" s="111">
        <v>2159200</v>
      </c>
      <c r="AB5" s="110">
        <v>40.86</v>
      </c>
      <c r="AC5" s="2">
        <f t="shared" si="0"/>
        <v>0.46999999999999886</v>
      </c>
      <c r="AD5" s="148">
        <f t="shared" si="1"/>
        <v>1.7161068889433029E-3</v>
      </c>
    </row>
    <row r="6" spans="1:30" x14ac:dyDescent="0.25">
      <c r="O6" s="13" t="s">
        <v>64</v>
      </c>
      <c r="Q6" s="2">
        <f>Q3*Q2</f>
        <v>0</v>
      </c>
      <c r="S6" s="95"/>
      <c r="V6" s="109">
        <v>42453</v>
      </c>
      <c r="W6" s="113">
        <v>40.5</v>
      </c>
      <c r="X6" s="113">
        <v>40.82</v>
      </c>
      <c r="Y6" s="113">
        <v>40.22</v>
      </c>
      <c r="Z6" s="113">
        <v>40.79</v>
      </c>
      <c r="AA6" s="111">
        <v>2746500</v>
      </c>
      <c r="AB6" s="110">
        <v>40.79</v>
      </c>
      <c r="AC6" s="2">
        <f t="shared" si="0"/>
        <v>0.60000000000000142</v>
      </c>
      <c r="AD6" s="148">
        <f t="shared" si="1"/>
        <v>1.9651191353475816E-3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42452</v>
      </c>
      <c r="W7" s="113">
        <v>41.18</v>
      </c>
      <c r="X7" s="113">
        <v>41.38</v>
      </c>
      <c r="Y7" s="113">
        <v>40.65</v>
      </c>
      <c r="Z7" s="113">
        <v>40.71</v>
      </c>
      <c r="AA7" s="111">
        <v>2636800</v>
      </c>
      <c r="AB7" s="110">
        <v>40.71</v>
      </c>
      <c r="AC7" s="2">
        <f t="shared" si="0"/>
        <v>0.73000000000000398</v>
      </c>
      <c r="AD7" s="148">
        <f t="shared" si="1"/>
        <v>-1.380813953488369E-2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42451</v>
      </c>
      <c r="W8" s="113">
        <v>41.22</v>
      </c>
      <c r="X8" s="113">
        <v>41.8</v>
      </c>
      <c r="Y8" s="113">
        <v>40.96</v>
      </c>
      <c r="Z8" s="113">
        <v>41.28</v>
      </c>
      <c r="AA8" s="111">
        <v>3436400</v>
      </c>
      <c r="AB8" s="110">
        <v>41.28</v>
      </c>
      <c r="AC8" s="2">
        <f t="shared" si="0"/>
        <v>0.83999999999999631</v>
      </c>
      <c r="AD8" s="148">
        <f t="shared" si="1"/>
        <v>-4.34153400868309E-3</v>
      </c>
    </row>
    <row r="9" spans="1:30" x14ac:dyDescent="0.25">
      <c r="V9" s="109">
        <v>42450</v>
      </c>
      <c r="W9" s="113">
        <v>40.950000000000003</v>
      </c>
      <c r="X9" s="113">
        <v>42.09</v>
      </c>
      <c r="Y9" s="113">
        <v>40.950000000000003</v>
      </c>
      <c r="Z9" s="113">
        <v>41.46</v>
      </c>
      <c r="AA9" s="111">
        <v>4512300</v>
      </c>
      <c r="AB9" s="110">
        <v>41.46</v>
      </c>
      <c r="AC9" s="2">
        <f t="shared" si="0"/>
        <v>1.1400000000000006</v>
      </c>
      <c r="AD9" s="148">
        <f t="shared" si="1"/>
        <v>1.2701514411333825E-2</v>
      </c>
    </row>
    <row r="10" spans="1:30" x14ac:dyDescent="0.25">
      <c r="V10" s="109">
        <v>42447</v>
      </c>
      <c r="W10" s="113">
        <v>41.91</v>
      </c>
      <c r="X10" s="113">
        <v>41.91</v>
      </c>
      <c r="Y10" s="113">
        <v>40.51</v>
      </c>
      <c r="Z10" s="113">
        <v>40.94</v>
      </c>
      <c r="AA10" s="111">
        <v>9818200</v>
      </c>
      <c r="AB10" s="110">
        <v>40.94</v>
      </c>
      <c r="AC10" s="2">
        <f t="shared" si="0"/>
        <v>1.3999999999999986</v>
      </c>
      <c r="AD10" s="148">
        <f t="shared" si="1"/>
        <v>-7.9961230918343951E-3</v>
      </c>
    </row>
    <row r="11" spans="1:30" x14ac:dyDescent="0.25">
      <c r="B11" s="209" t="s">
        <v>117</v>
      </c>
      <c r="C11" s="209" t="s">
        <v>167</v>
      </c>
      <c r="D11" s="210" t="s">
        <v>166</v>
      </c>
      <c r="E11" s="212" t="s">
        <v>168</v>
      </c>
      <c r="F11" s="212" t="s">
        <v>65</v>
      </c>
      <c r="G11" s="253" t="s">
        <v>172</v>
      </c>
      <c r="H11" s="253" t="s">
        <v>90</v>
      </c>
      <c r="I11" s="253" t="s">
        <v>179</v>
      </c>
      <c r="V11" s="109">
        <v>42446</v>
      </c>
      <c r="W11" s="113">
        <v>40.31</v>
      </c>
      <c r="X11" s="113">
        <v>41.7</v>
      </c>
      <c r="Y11" s="113">
        <v>40.24</v>
      </c>
      <c r="Z11" s="113">
        <v>41.27</v>
      </c>
      <c r="AA11" s="111">
        <v>5021500</v>
      </c>
      <c r="AB11" s="110">
        <v>41.27</v>
      </c>
      <c r="AC11" s="2">
        <f t="shared" si="0"/>
        <v>1.4600000000000009</v>
      </c>
      <c r="AD11" s="148">
        <f t="shared" si="1"/>
        <v>2.1787571180985399E-2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42445</v>
      </c>
      <c r="W12" s="113">
        <v>39.35</v>
      </c>
      <c r="X12" s="113">
        <v>40.57</v>
      </c>
      <c r="Y12" s="113">
        <v>39.29</v>
      </c>
      <c r="Z12" s="113">
        <v>40.39</v>
      </c>
      <c r="AA12" s="111">
        <v>5839000</v>
      </c>
      <c r="AB12" s="110">
        <v>40.39</v>
      </c>
      <c r="AC12" s="2">
        <f t="shared" si="0"/>
        <v>1.2800000000000011</v>
      </c>
      <c r="AD12" s="148">
        <f t="shared" si="1"/>
        <v>2.3308842158601406E-2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42444</v>
      </c>
      <c r="W13" s="113">
        <v>39.82</v>
      </c>
      <c r="X13" s="113">
        <v>39.94</v>
      </c>
      <c r="Y13" s="113">
        <v>39.130000000000003</v>
      </c>
      <c r="Z13" s="113">
        <v>39.47</v>
      </c>
      <c r="AA13" s="111">
        <v>4896600</v>
      </c>
      <c r="AB13" s="110">
        <v>39.47</v>
      </c>
      <c r="AC13" s="2">
        <f t="shared" si="0"/>
        <v>0.80999999999999517</v>
      </c>
      <c r="AD13" s="148">
        <f t="shared" si="1"/>
        <v>-1.3496625843539056E-2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42443</v>
      </c>
      <c r="W14" s="113">
        <v>39.979999999999997</v>
      </c>
      <c r="X14" s="113">
        <v>40.43</v>
      </c>
      <c r="Y14" s="113">
        <v>39.86</v>
      </c>
      <c r="Z14" s="113">
        <v>40.01</v>
      </c>
      <c r="AA14" s="111">
        <v>5546800</v>
      </c>
      <c r="AB14" s="110">
        <v>40.01</v>
      </c>
      <c r="AC14" s="2">
        <f t="shared" si="0"/>
        <v>0.57000000000000028</v>
      </c>
      <c r="AD14" s="148">
        <f t="shared" si="1"/>
        <v>2.7568922305765131E-3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42440</v>
      </c>
      <c r="W15" s="113">
        <v>39.799999999999997</v>
      </c>
      <c r="X15" s="113">
        <v>40.049999999999997</v>
      </c>
      <c r="Y15" s="113">
        <v>39.71</v>
      </c>
      <c r="Z15" s="113">
        <v>39.9</v>
      </c>
      <c r="AA15" s="111">
        <v>4144100</v>
      </c>
      <c r="AB15" s="110">
        <v>39.9</v>
      </c>
      <c r="AC15" s="2">
        <f t="shared" si="0"/>
        <v>0.33999999999999631</v>
      </c>
      <c r="AD15" s="148">
        <f t="shared" si="1"/>
        <v>1.6560509554140124E-2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42439</v>
      </c>
      <c r="W16" s="113">
        <v>38.78</v>
      </c>
      <c r="X16" s="113">
        <v>39.36</v>
      </c>
      <c r="Y16" s="113">
        <v>38.46</v>
      </c>
      <c r="Z16" s="113">
        <v>39.25</v>
      </c>
      <c r="AA16" s="111">
        <v>5242900</v>
      </c>
      <c r="AB16" s="110">
        <v>39.25</v>
      </c>
      <c r="AC16" s="2">
        <f t="shared" si="0"/>
        <v>0.89999999999999858</v>
      </c>
      <c r="AD16" s="148">
        <f t="shared" si="1"/>
        <v>1.8158236057068899E-2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247</v>
      </c>
      <c r="V17" s="109">
        <v>42438</v>
      </c>
      <c r="W17" s="113">
        <v>38.090000000000003</v>
      </c>
      <c r="X17" s="113">
        <v>38.619999999999997</v>
      </c>
      <c r="Y17" s="113">
        <v>37.880000000000003</v>
      </c>
      <c r="Z17" s="113">
        <v>38.549999999999997</v>
      </c>
      <c r="AA17" s="111">
        <v>3928100</v>
      </c>
      <c r="AB17" s="110">
        <v>38.549999999999997</v>
      </c>
      <c r="AC17" s="2">
        <f t="shared" si="0"/>
        <v>0.73999999999999488</v>
      </c>
      <c r="AD17" s="148">
        <f t="shared" si="1"/>
        <v>1.9032513877874635E-2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42437</v>
      </c>
      <c r="W18" s="113">
        <v>38.74</v>
      </c>
      <c r="X18" s="113">
        <v>38.9</v>
      </c>
      <c r="Y18" s="113">
        <v>37.770000000000003</v>
      </c>
      <c r="Z18" s="113">
        <v>37.83</v>
      </c>
      <c r="AA18" s="111">
        <v>3492000</v>
      </c>
      <c r="AB18" s="110">
        <v>37.83</v>
      </c>
      <c r="AC18" s="2">
        <f t="shared" si="0"/>
        <v>1.1299999999999955</v>
      </c>
      <c r="AD18" s="148">
        <f t="shared" si="1"/>
        <v>-2.800616649537524E-2</v>
      </c>
    </row>
    <row r="19" spans="2:30" x14ac:dyDescent="0.25">
      <c r="V19" s="109">
        <v>42436</v>
      </c>
      <c r="W19" s="113">
        <v>38.65</v>
      </c>
      <c r="X19" s="113">
        <v>39.090000000000003</v>
      </c>
      <c r="Y19" s="113">
        <v>38.549999999999997</v>
      </c>
      <c r="Z19" s="113">
        <v>38.92</v>
      </c>
      <c r="AA19" s="111">
        <v>2788500</v>
      </c>
      <c r="AB19" s="110">
        <v>38.92</v>
      </c>
      <c r="AC19" s="2">
        <f t="shared" si="0"/>
        <v>0.54000000000000625</v>
      </c>
      <c r="AD19" s="148">
        <f t="shared" si="1"/>
        <v>4.9057578104829691E-3</v>
      </c>
    </row>
    <row r="20" spans="2:30" x14ac:dyDescent="0.25">
      <c r="V20" s="109">
        <v>42433</v>
      </c>
      <c r="W20" s="113">
        <v>38.229999999999997</v>
      </c>
      <c r="X20" s="113">
        <v>39.17</v>
      </c>
      <c r="Y20" s="113">
        <v>38.130000000000003</v>
      </c>
      <c r="Z20" s="113">
        <v>38.729999999999997</v>
      </c>
      <c r="AA20" s="111">
        <v>4652100</v>
      </c>
      <c r="AB20" s="110">
        <v>38.729999999999997</v>
      </c>
      <c r="AC20" s="2">
        <f t="shared" si="0"/>
        <v>1.0399999999999991</v>
      </c>
      <c r="AD20" s="148">
        <f t="shared" si="1"/>
        <v>1.09631949882536E-2</v>
      </c>
    </row>
    <row r="21" spans="2:30" x14ac:dyDescent="0.25">
      <c r="V21" s="109">
        <v>42432</v>
      </c>
      <c r="W21" s="113">
        <v>36.799999999999997</v>
      </c>
      <c r="X21" s="113">
        <v>38.369999999999997</v>
      </c>
      <c r="Y21" s="113">
        <v>36.78</v>
      </c>
      <c r="Z21" s="113">
        <v>38.31</v>
      </c>
      <c r="AA21" s="111">
        <v>5129500</v>
      </c>
      <c r="AB21" s="110">
        <v>38.31</v>
      </c>
      <c r="AC21" s="2">
        <f t="shared" si="0"/>
        <v>1.5899999999999963</v>
      </c>
      <c r="AD21" s="148">
        <f t="shared" si="1"/>
        <v>4.1598694942903691E-2</v>
      </c>
    </row>
    <row r="22" spans="2:30" x14ac:dyDescent="0.25">
      <c r="V22" s="109">
        <v>42431</v>
      </c>
      <c r="W22" s="113">
        <v>36.450000000000003</v>
      </c>
      <c r="X22" s="113">
        <v>37.049999999999997</v>
      </c>
      <c r="Y22" s="113">
        <v>36.42</v>
      </c>
      <c r="Z22" s="113">
        <v>36.78</v>
      </c>
      <c r="AA22" s="111">
        <v>3123300</v>
      </c>
      <c r="AB22" s="110">
        <v>36.78</v>
      </c>
      <c r="AC22" s="2">
        <f t="shared" si="0"/>
        <v>0.62999999999999545</v>
      </c>
      <c r="AD22" s="148">
        <f t="shared" si="1"/>
        <v>3.8209606986898681E-3</v>
      </c>
    </row>
    <row r="23" spans="2:30" x14ac:dyDescent="0.25">
      <c r="V23" s="109">
        <v>42430</v>
      </c>
      <c r="W23" s="113">
        <v>36.020000000000003</v>
      </c>
      <c r="X23" s="113">
        <v>36.909999999999997</v>
      </c>
      <c r="Y23" s="113">
        <v>35.93</v>
      </c>
      <c r="Z23" s="113">
        <v>36.64</v>
      </c>
      <c r="AA23" s="111">
        <v>3639800</v>
      </c>
      <c r="AB23" s="110">
        <v>36.64</v>
      </c>
      <c r="AC23" s="2">
        <f t="shared" si="0"/>
        <v>0.97999999999999687</v>
      </c>
      <c r="AD23" s="148">
        <f t="shared" si="1"/>
        <v>2.6330532212885061E-2</v>
      </c>
    </row>
    <row r="24" spans="2:30" x14ac:dyDescent="0.25">
      <c r="V24" s="109">
        <v>42429</v>
      </c>
      <c r="W24" s="113">
        <v>35.200000000000003</v>
      </c>
      <c r="X24" s="113">
        <v>36.200000000000003</v>
      </c>
      <c r="Y24" s="113">
        <v>35.159999999999997</v>
      </c>
      <c r="Z24" s="113">
        <v>35.700000000000003</v>
      </c>
      <c r="AA24" s="111">
        <v>4242700</v>
      </c>
      <c r="AB24" s="110">
        <v>35.700000000000003</v>
      </c>
      <c r="AC24" s="2">
        <f t="shared" si="0"/>
        <v>1.0400000000000063</v>
      </c>
      <c r="AD24" s="148">
        <f t="shared" si="1"/>
        <v>1.3053348467650494E-2</v>
      </c>
    </row>
    <row r="25" spans="2:30" x14ac:dyDescent="0.25">
      <c r="V25" s="109">
        <v>42426</v>
      </c>
      <c r="W25" s="113">
        <v>35</v>
      </c>
      <c r="X25" s="113">
        <v>35.5</v>
      </c>
      <c r="Y25" s="113">
        <v>34.97</v>
      </c>
      <c r="Z25" s="113">
        <v>35.24</v>
      </c>
      <c r="AA25" s="111">
        <v>3335400</v>
      </c>
      <c r="AB25" s="110">
        <v>35.24</v>
      </c>
      <c r="AC25" s="2">
        <f t="shared" si="0"/>
        <v>0.53000000000000114</v>
      </c>
      <c r="AD25" s="148">
        <f t="shared" si="1"/>
        <v>1.293475136533484E-2</v>
      </c>
    </row>
    <row r="26" spans="2:30" x14ac:dyDescent="0.25">
      <c r="V26" s="109">
        <v>42425</v>
      </c>
      <c r="W26" s="113">
        <v>34.78</v>
      </c>
      <c r="X26" s="113">
        <v>34.950000000000003</v>
      </c>
      <c r="Y26" s="113">
        <v>34.31</v>
      </c>
      <c r="Z26" s="113">
        <v>34.79</v>
      </c>
      <c r="AA26" s="111">
        <v>3083900</v>
      </c>
      <c r="AB26" s="110">
        <v>34.79</v>
      </c>
      <c r="AC26" s="2">
        <f t="shared" si="0"/>
        <v>0.64000000000000057</v>
      </c>
      <c r="AD26" s="148">
        <f t="shared" si="1"/>
        <v>2.3048112935752929E-3</v>
      </c>
    </row>
    <row r="27" spans="2:30" x14ac:dyDescent="0.25">
      <c r="V27" s="109">
        <v>42424</v>
      </c>
      <c r="W27" s="113">
        <v>33.99</v>
      </c>
      <c r="X27" s="113">
        <v>34.86</v>
      </c>
      <c r="Y27" s="113">
        <v>33.799999999999997</v>
      </c>
      <c r="Z27" s="113">
        <v>34.71</v>
      </c>
      <c r="AA27" s="111">
        <v>3610800</v>
      </c>
      <c r="AB27" s="110">
        <v>34.71</v>
      </c>
      <c r="AC27" s="2">
        <f t="shared" si="0"/>
        <v>1.0600000000000023</v>
      </c>
      <c r="AD27" s="148">
        <f t="shared" si="1"/>
        <v>1.5209125475285301E-2</v>
      </c>
    </row>
    <row r="28" spans="2:30" x14ac:dyDescent="0.25">
      <c r="V28" s="109">
        <v>42423</v>
      </c>
      <c r="W28" s="113">
        <v>34.18</v>
      </c>
      <c r="X28" s="113">
        <v>34.31</v>
      </c>
      <c r="Y28" s="113">
        <v>33.76</v>
      </c>
      <c r="Z28" s="113">
        <v>34.19</v>
      </c>
      <c r="AA28" s="111">
        <v>3749900</v>
      </c>
      <c r="AB28" s="110">
        <v>34.19</v>
      </c>
      <c r="AC28" s="2">
        <f t="shared" si="0"/>
        <v>0.55000000000000426</v>
      </c>
      <c r="AD28" s="148">
        <f t="shared" si="1"/>
        <v>-4.6579330422126253E-3</v>
      </c>
    </row>
    <row r="29" spans="2:30" x14ac:dyDescent="0.25">
      <c r="V29" s="109">
        <v>42422</v>
      </c>
      <c r="W29" s="113">
        <v>34.43</v>
      </c>
      <c r="X29" s="113">
        <v>34.5</v>
      </c>
      <c r="Y29" s="113">
        <v>34.08</v>
      </c>
      <c r="Z29" s="113">
        <v>34.35</v>
      </c>
      <c r="AA29" s="111">
        <v>4028100</v>
      </c>
      <c r="AB29" s="110">
        <v>34.35</v>
      </c>
      <c r="AC29" s="2">
        <f t="shared" si="0"/>
        <v>0.42000000000000171</v>
      </c>
      <c r="AD29" s="148">
        <f t="shared" si="1"/>
        <v>9.9970596883269813E-3</v>
      </c>
    </row>
    <row r="30" spans="2:30" x14ac:dyDescent="0.25">
      <c r="V30" s="109">
        <v>42419</v>
      </c>
      <c r="W30" s="113">
        <v>34.81</v>
      </c>
      <c r="X30" s="113">
        <v>34.81</v>
      </c>
      <c r="Y30" s="113">
        <v>33.43</v>
      </c>
      <c r="Z30" s="113">
        <v>34.01</v>
      </c>
      <c r="AA30" s="111">
        <v>5873900</v>
      </c>
      <c r="AB30" s="110">
        <v>34.01</v>
      </c>
      <c r="AC30" s="2">
        <f t="shared" si="0"/>
        <v>1.3800000000000026</v>
      </c>
      <c r="AD30" s="148">
        <f t="shared" si="1"/>
        <v>-3.7089467723669389E-2</v>
      </c>
    </row>
    <row r="31" spans="2:30" x14ac:dyDescent="0.25">
      <c r="V31" s="109">
        <v>42418</v>
      </c>
      <c r="W31" s="113">
        <v>35.54</v>
      </c>
      <c r="X31" s="113">
        <v>35.61</v>
      </c>
      <c r="Y31" s="113">
        <v>35.03</v>
      </c>
      <c r="Z31" s="113">
        <v>35.32</v>
      </c>
      <c r="AA31" s="111">
        <v>2970400</v>
      </c>
      <c r="AB31" s="110">
        <v>35.32</v>
      </c>
      <c r="AC31" s="2">
        <f t="shared" si="0"/>
        <v>0.57999999999999829</v>
      </c>
      <c r="AD31" s="148">
        <f t="shared" si="1"/>
        <v>-7.307476110174238E-3</v>
      </c>
    </row>
    <row r="32" spans="2:30" x14ac:dyDescent="0.25">
      <c r="V32" s="109">
        <v>42417</v>
      </c>
      <c r="W32" s="113">
        <v>35.299999999999997</v>
      </c>
      <c r="X32" s="113">
        <v>36.17</v>
      </c>
      <c r="Y32" s="113">
        <v>35.26</v>
      </c>
      <c r="Z32" s="113">
        <v>35.58</v>
      </c>
      <c r="AA32" s="111">
        <v>4466400</v>
      </c>
      <c r="AB32" s="110">
        <v>35.58</v>
      </c>
      <c r="AC32" s="2">
        <f t="shared" si="0"/>
        <v>0.91000000000000369</v>
      </c>
      <c r="AD32" s="148">
        <f t="shared" si="1"/>
        <v>1.3675213675213627E-2</v>
      </c>
    </row>
    <row r="33" spans="15:30" x14ac:dyDescent="0.25">
      <c r="V33" s="109">
        <v>42416</v>
      </c>
      <c r="W33" s="113">
        <v>34.549999999999997</v>
      </c>
      <c r="X33" s="113">
        <v>35.14</v>
      </c>
      <c r="Y33" s="113">
        <v>34.22</v>
      </c>
      <c r="Z33" s="113">
        <v>35.1</v>
      </c>
      <c r="AA33" s="111">
        <v>3380500</v>
      </c>
      <c r="AB33" s="110">
        <v>35.1</v>
      </c>
      <c r="AC33" s="2">
        <f t="shared" si="0"/>
        <v>0.92000000000000171</v>
      </c>
      <c r="AD33" s="148">
        <f t="shared" si="1"/>
        <v>2.7517564402810502E-2</v>
      </c>
    </row>
    <row r="34" spans="15:30" x14ac:dyDescent="0.25">
      <c r="V34" s="109">
        <v>42412</v>
      </c>
      <c r="W34" s="113">
        <v>33.57</v>
      </c>
      <c r="X34" s="113">
        <v>35.15</v>
      </c>
      <c r="Y34" s="113">
        <v>33.520000000000003</v>
      </c>
      <c r="Z34" s="113">
        <v>34.159999999999997</v>
      </c>
      <c r="AA34" s="111">
        <v>6366300</v>
      </c>
      <c r="AB34" s="110">
        <v>34.159999999999997</v>
      </c>
      <c r="AC34" s="2">
        <f t="shared" si="0"/>
        <v>1.6299999999999955</v>
      </c>
      <c r="AD34" s="148">
        <f t="shared" si="1"/>
        <v>3.1400966183574797E-2</v>
      </c>
    </row>
    <row r="35" spans="15:30" x14ac:dyDescent="0.25">
      <c r="V35" s="109">
        <v>42411</v>
      </c>
      <c r="W35" s="113">
        <v>33.85</v>
      </c>
      <c r="X35" s="113">
        <v>34.130000000000003</v>
      </c>
      <c r="Y35" s="113">
        <v>32.86</v>
      </c>
      <c r="Z35" s="113">
        <v>33.119999999999997</v>
      </c>
      <c r="AA35" s="111">
        <v>5885500</v>
      </c>
      <c r="AB35" s="110">
        <v>33.119999999999997</v>
      </c>
      <c r="AC35" s="2">
        <f t="shared" si="0"/>
        <v>1.2700000000000031</v>
      </c>
      <c r="AD35" s="148" t="e">
        <f t="shared" si="1"/>
        <v>#DIV/0!</v>
      </c>
    </row>
    <row r="36" spans="15:30" x14ac:dyDescent="0.25">
      <c r="V36" s="109">
        <v>42411</v>
      </c>
      <c r="W36" s="113" t="s">
        <v>204</v>
      </c>
      <c r="X36" s="113"/>
      <c r="Y36" s="113"/>
      <c r="Z36" s="113"/>
      <c r="AA36" s="111"/>
      <c r="AB36" s="110"/>
      <c r="AC36" s="2">
        <f t="shared" si="0"/>
        <v>0</v>
      </c>
      <c r="AD36" s="148">
        <f t="shared" si="1"/>
        <v>-1</v>
      </c>
    </row>
    <row r="37" spans="15:30" x14ac:dyDescent="0.25">
      <c r="V37" s="109">
        <v>42410</v>
      </c>
      <c r="W37" s="113">
        <v>35.270000000000003</v>
      </c>
      <c r="X37" s="113">
        <v>36.119999999999997</v>
      </c>
      <c r="Y37" s="113">
        <v>34.700000000000003</v>
      </c>
      <c r="Z37" s="113">
        <v>34.78</v>
      </c>
      <c r="AA37" s="111">
        <v>7779000</v>
      </c>
      <c r="AB37" s="110">
        <v>34.340000000000003</v>
      </c>
      <c r="AC37" s="2">
        <f t="shared" si="0"/>
        <v>1.4199999999999946</v>
      </c>
      <c r="AD37" s="148">
        <f t="shared" si="1"/>
        <v>-1.0089362928797807E-2</v>
      </c>
    </row>
    <row r="38" spans="15:30" x14ac:dyDescent="0.25">
      <c r="V38" s="109">
        <v>42409</v>
      </c>
      <c r="W38" s="113">
        <v>34.01</v>
      </c>
      <c r="X38" s="113">
        <v>35.200000000000003</v>
      </c>
      <c r="Y38" s="113">
        <v>33.75</v>
      </c>
      <c r="Z38" s="113">
        <v>35.130000000000003</v>
      </c>
      <c r="AA38" s="111">
        <v>6144000</v>
      </c>
      <c r="AB38" s="110">
        <v>34.69</v>
      </c>
      <c r="AC38" s="2">
        <f t="shared" si="0"/>
        <v>1.4500000000000028</v>
      </c>
      <c r="AD38" s="148">
        <f t="shared" si="1"/>
        <v>2.2399056881815538E-2</v>
      </c>
    </row>
    <row r="39" spans="15:30" x14ac:dyDescent="0.25">
      <c r="V39" s="109">
        <v>42408</v>
      </c>
      <c r="W39" s="113">
        <v>34.5</v>
      </c>
      <c r="X39" s="113">
        <v>34.61</v>
      </c>
      <c r="Y39" s="113">
        <v>33.72</v>
      </c>
      <c r="Z39" s="113">
        <v>34.36</v>
      </c>
      <c r="AA39" s="111">
        <v>4257100</v>
      </c>
      <c r="AB39" s="110">
        <v>33.93</v>
      </c>
      <c r="AC39" s="2">
        <f t="shared" si="0"/>
        <v>0.89000000000000057</v>
      </c>
      <c r="AD39" s="148">
        <f t="shared" si="1"/>
        <v>-1.7376194613379692E-2</v>
      </c>
    </row>
    <row r="40" spans="15:30" ht="20.25" thickBot="1" x14ac:dyDescent="0.35">
      <c r="O40" s="420" t="s">
        <v>78</v>
      </c>
      <c r="P40" s="420"/>
      <c r="S40" s="101" t="s">
        <v>116</v>
      </c>
      <c r="V40" s="109">
        <v>42405</v>
      </c>
      <c r="W40" s="113">
        <v>35.06</v>
      </c>
      <c r="X40" s="113">
        <v>35.36</v>
      </c>
      <c r="Y40" s="113">
        <v>34.81</v>
      </c>
      <c r="Z40" s="113">
        <v>34.97</v>
      </c>
      <c r="AA40" s="111">
        <v>6531400</v>
      </c>
      <c r="AB40" s="110">
        <v>34.53</v>
      </c>
      <c r="AC40" s="2">
        <f t="shared" si="0"/>
        <v>0.54999999999999716</v>
      </c>
      <c r="AD40" s="148">
        <f t="shared" si="1"/>
        <v>-2.8876696505920618E-3</v>
      </c>
    </row>
    <row r="41" spans="15:30" ht="15.75" thickTop="1" x14ac:dyDescent="0.25">
      <c r="O41" s="93">
        <v>1.1000000000000001</v>
      </c>
      <c r="P41" s="93">
        <f>O41*$Q$4</f>
        <v>45.067</v>
      </c>
      <c r="Q41" s="2"/>
      <c r="S41" s="107" t="s">
        <v>101</v>
      </c>
      <c r="T41" s="108">
        <v>41.04</v>
      </c>
      <c r="V41" s="109">
        <v>42404</v>
      </c>
      <c r="W41" s="113">
        <v>34.229999999999997</v>
      </c>
      <c r="X41" s="113">
        <v>35.39</v>
      </c>
      <c r="Y41" s="113">
        <v>33.9</v>
      </c>
      <c r="Z41" s="113">
        <v>35.07</v>
      </c>
      <c r="AA41" s="111">
        <v>6493900</v>
      </c>
      <c r="AB41" s="110">
        <v>34.630000000000003</v>
      </c>
      <c r="AC41" s="2">
        <f t="shared" si="0"/>
        <v>1.490000000000002</v>
      </c>
      <c r="AD41" s="148">
        <f t="shared" si="1"/>
        <v>2.637818612922338E-2</v>
      </c>
    </row>
    <row r="42" spans="15:30" x14ac:dyDescent="0.25">
      <c r="O42" s="93">
        <v>1.0900000000000001</v>
      </c>
      <c r="P42" s="93">
        <f t="shared" ref="P42:P61" si="2">O42*$Q$4</f>
        <v>44.657299999999999</v>
      </c>
      <c r="Q42" s="2"/>
      <c r="S42" s="97" t="s">
        <v>102</v>
      </c>
      <c r="T42" s="98" t="s">
        <v>134</v>
      </c>
      <c r="V42" s="109">
        <v>42403</v>
      </c>
      <c r="W42" s="113">
        <v>34.700000000000003</v>
      </c>
      <c r="X42" s="113">
        <v>35.479999999999997</v>
      </c>
      <c r="Y42" s="113">
        <v>33.06</v>
      </c>
      <c r="Z42" s="113">
        <v>34.17</v>
      </c>
      <c r="AA42" s="111">
        <v>8870700</v>
      </c>
      <c r="AB42" s="110">
        <v>33.74</v>
      </c>
      <c r="AC42" s="2">
        <f t="shared" si="0"/>
        <v>2.4199999999999946</v>
      </c>
      <c r="AD42" s="148">
        <f t="shared" si="1"/>
        <v>9.2731079868382249E-3</v>
      </c>
    </row>
    <row r="43" spans="15:30" x14ac:dyDescent="0.25">
      <c r="O43" s="93">
        <v>1.08</v>
      </c>
      <c r="P43" s="93">
        <f t="shared" si="2"/>
        <v>44.247599999999998</v>
      </c>
      <c r="Q43" s="2"/>
      <c r="S43" s="97" t="s">
        <v>103</v>
      </c>
      <c r="T43" s="98" t="s">
        <v>309</v>
      </c>
      <c r="V43" s="109">
        <v>42402</v>
      </c>
      <c r="W43" s="113">
        <v>34.08</v>
      </c>
      <c r="X43" s="113">
        <v>34.090000000000003</v>
      </c>
      <c r="Y43" s="113">
        <v>33.479999999999997</v>
      </c>
      <c r="Z43" s="113">
        <v>33.86</v>
      </c>
      <c r="AA43" s="111">
        <v>5374200</v>
      </c>
      <c r="AB43" s="110">
        <v>33.43</v>
      </c>
      <c r="AC43" s="2">
        <f t="shared" si="0"/>
        <v>0.61000000000000654</v>
      </c>
      <c r="AD43" s="148">
        <f t="shared" si="1"/>
        <v>-6.8330362448008053E-3</v>
      </c>
    </row>
    <row r="44" spans="15:30" x14ac:dyDescent="0.25">
      <c r="O44" s="93">
        <v>1.07</v>
      </c>
      <c r="P44" s="93">
        <f t="shared" si="2"/>
        <v>43.837900000000005</v>
      </c>
      <c r="Q44" s="2"/>
      <c r="S44" s="97" t="s">
        <v>104</v>
      </c>
      <c r="T44" s="98" t="s">
        <v>310</v>
      </c>
      <c r="V44" s="109">
        <v>42401</v>
      </c>
      <c r="W44" s="113">
        <v>34.03</v>
      </c>
      <c r="X44" s="113">
        <v>34.33</v>
      </c>
      <c r="Y44" s="113">
        <v>33.51</v>
      </c>
      <c r="Z44" s="113">
        <v>34.090000000000003</v>
      </c>
      <c r="AA44" s="111">
        <v>5573900</v>
      </c>
      <c r="AB44" s="110">
        <v>33.659999999999997</v>
      </c>
      <c r="AC44" s="2">
        <f t="shared" si="0"/>
        <v>0.82000000000000028</v>
      </c>
      <c r="AD44" s="148">
        <f t="shared" si="1"/>
        <v>-3.5523978685614299E-3</v>
      </c>
    </row>
    <row r="45" spans="15:30" x14ac:dyDescent="0.25">
      <c r="O45" s="93">
        <v>1.06</v>
      </c>
      <c r="P45" s="93">
        <f t="shared" si="2"/>
        <v>43.428200000000004</v>
      </c>
      <c r="Q45" s="2"/>
      <c r="S45" s="97" t="s">
        <v>105</v>
      </c>
      <c r="T45" s="98">
        <v>42.5</v>
      </c>
      <c r="V45" s="109">
        <v>42398</v>
      </c>
      <c r="W45" s="113">
        <v>32.880000000000003</v>
      </c>
      <c r="X45" s="113">
        <v>34.22</v>
      </c>
      <c r="Y45" s="113">
        <v>32.83</v>
      </c>
      <c r="Z45" s="113">
        <v>34.21</v>
      </c>
      <c r="AA45" s="111">
        <v>6266000</v>
      </c>
      <c r="AB45" s="110">
        <v>33.78</v>
      </c>
      <c r="AC45" s="2">
        <f t="shared" si="0"/>
        <v>1.3900000000000006</v>
      </c>
      <c r="AD45" s="148">
        <f t="shared" si="1"/>
        <v>4.7766749379652529E-2</v>
      </c>
    </row>
    <row r="46" spans="15:30" x14ac:dyDescent="0.25">
      <c r="O46" s="93">
        <v>1.05</v>
      </c>
      <c r="P46" s="93">
        <f t="shared" si="2"/>
        <v>43.018500000000003</v>
      </c>
      <c r="Q46" s="2"/>
      <c r="S46" s="97" t="s">
        <v>106</v>
      </c>
      <c r="T46" s="98">
        <v>1.4377800000000001</v>
      </c>
      <c r="V46" s="109">
        <v>42397</v>
      </c>
      <c r="W46" s="113">
        <v>33.1</v>
      </c>
      <c r="X46" s="113">
        <v>33.24</v>
      </c>
      <c r="Y46" s="113">
        <v>32.56</v>
      </c>
      <c r="Z46" s="113">
        <v>32.65</v>
      </c>
      <c r="AA46" s="111">
        <v>4276100</v>
      </c>
      <c r="AB46" s="110">
        <v>32.24</v>
      </c>
      <c r="AC46" s="2">
        <f t="shared" si="0"/>
        <v>0.67999999999999972</v>
      </c>
      <c r="AD46" s="148">
        <f t="shared" si="1"/>
        <v>-7.6946752847030231E-3</v>
      </c>
    </row>
    <row r="47" spans="15:30" x14ac:dyDescent="0.25">
      <c r="O47" s="93">
        <v>1.04</v>
      </c>
      <c r="P47" s="93">
        <f t="shared" si="2"/>
        <v>42.608800000000002</v>
      </c>
      <c r="Q47" s="2"/>
      <c r="S47" s="97" t="s">
        <v>107</v>
      </c>
      <c r="T47" s="99" t="s">
        <v>224</v>
      </c>
      <c r="V47" s="109">
        <v>42396</v>
      </c>
      <c r="W47" s="113">
        <v>32.770000000000003</v>
      </c>
      <c r="X47" s="113">
        <v>33.67</v>
      </c>
      <c r="Y47" s="113">
        <v>32.53</v>
      </c>
      <c r="Z47" s="113">
        <v>32.909999999999997</v>
      </c>
      <c r="AA47" s="111">
        <v>6765000</v>
      </c>
      <c r="AB47" s="110">
        <v>32.49</v>
      </c>
      <c r="AC47" s="2">
        <f t="shared" si="0"/>
        <v>1.1400000000000006</v>
      </c>
      <c r="AD47" s="148">
        <f t="shared" si="1"/>
        <v>1.2326656394452407E-3</v>
      </c>
    </row>
    <row r="48" spans="15:30" x14ac:dyDescent="0.25">
      <c r="O48" s="93">
        <v>1.03</v>
      </c>
      <c r="P48" s="93">
        <f t="shared" si="2"/>
        <v>42.199100000000001</v>
      </c>
      <c r="Q48" s="2"/>
      <c r="S48" s="97"/>
      <c r="T48" s="98"/>
      <c r="V48" s="109">
        <v>42395</v>
      </c>
      <c r="W48" s="113">
        <v>32.81</v>
      </c>
      <c r="X48" s="113">
        <v>33.29</v>
      </c>
      <c r="Y48" s="113">
        <v>32.58</v>
      </c>
      <c r="Z48" s="113">
        <v>32.869999999999997</v>
      </c>
      <c r="AA48" s="111">
        <v>8396000</v>
      </c>
      <c r="AB48" s="110">
        <v>32.450000000000003</v>
      </c>
      <c r="AC48" s="2">
        <f t="shared" si="0"/>
        <v>0.71000000000000085</v>
      </c>
      <c r="AD48" s="148">
        <f t="shared" si="1"/>
        <v>8.7037612682623333E-3</v>
      </c>
    </row>
    <row r="49" spans="15:30" x14ac:dyDescent="0.25">
      <c r="O49" s="93">
        <v>1.02</v>
      </c>
      <c r="P49" s="93">
        <f t="shared" si="2"/>
        <v>41.789400000000001</v>
      </c>
      <c r="Q49" s="2"/>
      <c r="S49" s="97" t="s">
        <v>108</v>
      </c>
      <c r="T49" s="98" t="s">
        <v>302</v>
      </c>
      <c r="V49" s="109">
        <v>42394</v>
      </c>
      <c r="W49" s="113">
        <v>34.979999999999997</v>
      </c>
      <c r="X49" s="113">
        <v>35.01</v>
      </c>
      <c r="Y49" s="113">
        <v>32.5</v>
      </c>
      <c r="Z49" s="113">
        <v>32.58</v>
      </c>
      <c r="AA49" s="111">
        <v>14645200</v>
      </c>
      <c r="AB49" s="110">
        <v>32.17</v>
      </c>
      <c r="AC49" s="2">
        <f t="shared" si="0"/>
        <v>2.509999999999998</v>
      </c>
      <c r="AD49" s="148">
        <f t="shared" si="1"/>
        <v>-0.10614059460961378</v>
      </c>
    </row>
    <row r="50" spans="15:30" x14ac:dyDescent="0.25">
      <c r="O50" s="93">
        <v>1.01</v>
      </c>
      <c r="P50" s="93">
        <f t="shared" si="2"/>
        <v>41.3797</v>
      </c>
      <c r="Q50" s="2"/>
      <c r="S50" s="97" t="s">
        <v>109</v>
      </c>
      <c r="T50" s="98" t="s">
        <v>251</v>
      </c>
      <c r="V50" s="109">
        <v>42391</v>
      </c>
      <c r="W50" s="113">
        <v>36.03</v>
      </c>
      <c r="X50" s="113">
        <v>36.799999999999997</v>
      </c>
      <c r="Y50" s="113">
        <v>36.03</v>
      </c>
      <c r="Z50" s="113">
        <v>36.450000000000003</v>
      </c>
      <c r="AA50" s="111">
        <v>3713800</v>
      </c>
      <c r="AB50" s="110">
        <v>35.99</v>
      </c>
      <c r="AC50" s="2">
        <f t="shared" si="0"/>
        <v>0.76999999999999602</v>
      </c>
      <c r="AD50" s="148">
        <f t="shared" si="1"/>
        <v>2.799200228506149E-2</v>
      </c>
    </row>
    <row r="51" spans="15:30" x14ac:dyDescent="0.25">
      <c r="O51" s="93">
        <v>1</v>
      </c>
      <c r="P51" s="93">
        <f t="shared" si="2"/>
        <v>40.97</v>
      </c>
      <c r="Q51" s="2"/>
      <c r="S51" s="97" t="s">
        <v>110</v>
      </c>
      <c r="T51" s="100">
        <v>0</v>
      </c>
      <c r="V51" s="109">
        <v>42390</v>
      </c>
      <c r="W51" s="113">
        <v>35.450000000000003</v>
      </c>
      <c r="X51" s="113">
        <v>35.99</v>
      </c>
      <c r="Y51" s="113">
        <v>34.94</v>
      </c>
      <c r="Z51" s="113">
        <v>35.46</v>
      </c>
      <c r="AA51" s="111">
        <v>3355600</v>
      </c>
      <c r="AB51" s="110">
        <v>35.01</v>
      </c>
      <c r="AC51" s="2">
        <f t="shared" si="0"/>
        <v>1.0500000000000043</v>
      </c>
      <c r="AD51" s="148">
        <f t="shared" si="1"/>
        <v>4.8794489092995885E-3</v>
      </c>
    </row>
    <row r="52" spans="15:30" x14ac:dyDescent="0.25">
      <c r="O52" s="93">
        <v>0.99</v>
      </c>
      <c r="P52" s="93">
        <f t="shared" si="2"/>
        <v>40.560299999999998</v>
      </c>
      <c r="Q52" s="2"/>
      <c r="S52" s="97" t="s">
        <v>113</v>
      </c>
      <c r="T52" s="100">
        <v>4859510</v>
      </c>
      <c r="V52" s="109">
        <v>42389</v>
      </c>
      <c r="W52" s="113">
        <v>35.07</v>
      </c>
      <c r="X52" s="113">
        <v>35.61</v>
      </c>
      <c r="Y52" s="113">
        <v>34.03</v>
      </c>
      <c r="Z52" s="113">
        <v>35.29</v>
      </c>
      <c r="AA52" s="111">
        <v>4650400</v>
      </c>
      <c r="AB52" s="110">
        <v>34.840000000000003</v>
      </c>
      <c r="AC52" s="2">
        <f t="shared" si="0"/>
        <v>1.5799999999999983</v>
      </c>
      <c r="AD52" s="148">
        <f t="shared" si="1"/>
        <v>-9.9460073884625189E-3</v>
      </c>
    </row>
    <row r="53" spans="15:30" x14ac:dyDescent="0.25">
      <c r="O53" s="93">
        <v>0.98</v>
      </c>
      <c r="P53" s="93">
        <f t="shared" si="2"/>
        <v>40.150599999999997</v>
      </c>
      <c r="Q53" s="2"/>
      <c r="S53" s="97" t="s">
        <v>111</v>
      </c>
      <c r="T53" s="98" t="s">
        <v>311</v>
      </c>
      <c r="V53" s="109">
        <v>42388</v>
      </c>
      <c r="W53" s="113">
        <v>36.76</v>
      </c>
      <c r="X53" s="113">
        <v>36.83</v>
      </c>
      <c r="Y53" s="113">
        <v>35.020000000000003</v>
      </c>
      <c r="Z53" s="113">
        <v>35.64</v>
      </c>
      <c r="AA53" s="111">
        <v>4418100</v>
      </c>
      <c r="AB53" s="110">
        <v>35.19</v>
      </c>
      <c r="AC53" s="2">
        <f t="shared" si="0"/>
        <v>1.8099999999999952</v>
      </c>
      <c r="AD53" s="148">
        <f t="shared" si="1"/>
        <v>-2.141268075639613E-2</v>
      </c>
    </row>
    <row r="54" spans="15:30" x14ac:dyDescent="0.25">
      <c r="O54" s="93">
        <v>0.97</v>
      </c>
      <c r="P54" s="93">
        <f t="shared" si="2"/>
        <v>39.740899999999996</v>
      </c>
      <c r="S54" s="97" t="s">
        <v>114</v>
      </c>
      <c r="T54" s="98">
        <v>18.399999999999999</v>
      </c>
      <c r="V54" s="109">
        <v>42384</v>
      </c>
      <c r="W54" s="113">
        <v>35.49</v>
      </c>
      <c r="X54" s="113">
        <v>36.799999999999997</v>
      </c>
      <c r="Y54" s="113">
        <v>35.49</v>
      </c>
      <c r="Z54" s="113">
        <v>36.42</v>
      </c>
      <c r="AA54" s="111">
        <v>5079700</v>
      </c>
      <c r="AB54" s="110">
        <v>35.96</v>
      </c>
      <c r="AC54" s="2">
        <f t="shared" si="0"/>
        <v>1.3099999999999952</v>
      </c>
      <c r="AD54" s="148">
        <f t="shared" si="1"/>
        <v>-3.3259423503325669E-3</v>
      </c>
    </row>
    <row r="55" spans="15:30" x14ac:dyDescent="0.25">
      <c r="O55" s="93">
        <v>0.96</v>
      </c>
      <c r="P55" s="93">
        <f t="shared" si="2"/>
        <v>39.331199999999995</v>
      </c>
      <c r="S55" s="97" t="s">
        <v>115</v>
      </c>
      <c r="T55" s="98">
        <v>2.23</v>
      </c>
      <c r="V55" s="109">
        <v>42383</v>
      </c>
      <c r="W55" s="113">
        <v>36.17</v>
      </c>
      <c r="X55" s="113">
        <v>36.79</v>
      </c>
      <c r="Y55" s="113">
        <v>35.69</v>
      </c>
      <c r="Z55" s="113">
        <v>36.54</v>
      </c>
      <c r="AA55" s="111">
        <v>4106100</v>
      </c>
      <c r="AB55" s="110">
        <v>36.08</v>
      </c>
      <c r="AC55" s="2">
        <f t="shared" si="0"/>
        <v>1.1000000000000014</v>
      </c>
      <c r="AD55" s="148">
        <f t="shared" si="1"/>
        <v>1.376791233492547E-2</v>
      </c>
    </row>
    <row r="56" spans="15:30" x14ac:dyDescent="0.25">
      <c r="O56" s="93">
        <v>0.95</v>
      </c>
      <c r="P56" s="93">
        <f t="shared" si="2"/>
        <v>38.921499999999995</v>
      </c>
      <c r="S56" s="97" t="s">
        <v>112</v>
      </c>
      <c r="T56" s="98" t="s">
        <v>281</v>
      </c>
      <c r="V56" s="109">
        <v>42382</v>
      </c>
      <c r="W56" s="113">
        <v>36.549999999999997</v>
      </c>
      <c r="X56" s="113">
        <v>37.049999999999997</v>
      </c>
      <c r="Y56" s="113">
        <v>35.979999999999997</v>
      </c>
      <c r="Z56" s="113">
        <v>36.049999999999997</v>
      </c>
      <c r="AA56" s="111">
        <v>3962300</v>
      </c>
      <c r="AB56" s="110">
        <v>35.590000000000003</v>
      </c>
      <c r="AC56" s="2">
        <f t="shared" si="0"/>
        <v>1.0700000000000003</v>
      </c>
      <c r="AD56" s="148">
        <f t="shared" si="1"/>
        <v>-8.3588743382556618E-3</v>
      </c>
    </row>
    <row r="57" spans="15:30" x14ac:dyDescent="0.25">
      <c r="O57" s="93">
        <v>0.94</v>
      </c>
      <c r="P57" s="93">
        <f t="shared" si="2"/>
        <v>38.511799999999994</v>
      </c>
      <c r="V57" s="109">
        <v>42381</v>
      </c>
      <c r="W57" s="113">
        <v>36.72</v>
      </c>
      <c r="X57" s="113">
        <v>36.880000000000003</v>
      </c>
      <c r="Y57" s="113">
        <v>35.950000000000003</v>
      </c>
      <c r="Z57" s="113">
        <v>36.35</v>
      </c>
      <c r="AA57" s="111">
        <v>3960200</v>
      </c>
      <c r="AB57" s="110">
        <v>35.89</v>
      </c>
      <c r="AC57" s="2">
        <f t="shared" si="0"/>
        <v>0.92999999999999972</v>
      </c>
      <c r="AD57" s="148">
        <f t="shared" si="1"/>
        <v>-1.3912075681691283E-3</v>
      </c>
    </row>
    <row r="58" spans="15:30" x14ac:dyDescent="0.25">
      <c r="O58" s="93">
        <v>0.93</v>
      </c>
      <c r="P58" s="93">
        <f t="shared" si="2"/>
        <v>38.1021</v>
      </c>
      <c r="V58" s="109">
        <v>42380</v>
      </c>
      <c r="W58" s="113">
        <v>36.18</v>
      </c>
      <c r="X58" s="113">
        <v>36.54</v>
      </c>
      <c r="Y58" s="113">
        <v>35.950000000000003</v>
      </c>
      <c r="Z58" s="113">
        <v>36.4</v>
      </c>
      <c r="AA58" s="111">
        <v>5870700</v>
      </c>
      <c r="AB58" s="110">
        <v>35.94</v>
      </c>
      <c r="AC58" s="2">
        <f t="shared" si="0"/>
        <v>0.58999999999999631</v>
      </c>
      <c r="AD58" s="148">
        <f t="shared" si="1"/>
        <v>1.3822284908321381E-2</v>
      </c>
    </row>
    <row r="59" spans="15:30" x14ac:dyDescent="0.25">
      <c r="O59" s="93">
        <v>0.92</v>
      </c>
      <c r="P59" s="93">
        <f t="shared" si="2"/>
        <v>37.692399999999999</v>
      </c>
      <c r="V59" s="109">
        <v>42377</v>
      </c>
      <c r="W59" s="113">
        <v>36.299999999999997</v>
      </c>
      <c r="X59" s="113">
        <v>36.78</v>
      </c>
      <c r="Y59" s="113">
        <v>35.78</v>
      </c>
      <c r="Z59" s="113">
        <v>35.9</v>
      </c>
      <c r="AA59" s="111">
        <v>4781000</v>
      </c>
      <c r="AB59" s="110">
        <v>35.450000000000003</v>
      </c>
      <c r="AC59" s="2">
        <f t="shared" si="0"/>
        <v>1</v>
      </c>
      <c r="AD59" s="148">
        <f t="shared" si="1"/>
        <v>-1.0605637733742568E-2</v>
      </c>
    </row>
    <row r="60" spans="15:30" x14ac:dyDescent="0.25">
      <c r="O60" s="93">
        <v>0.91</v>
      </c>
      <c r="P60" s="93">
        <f t="shared" si="2"/>
        <v>37.282699999999998</v>
      </c>
      <c r="V60" s="109">
        <v>42376</v>
      </c>
      <c r="W60" s="113">
        <v>36.79</v>
      </c>
      <c r="X60" s="113">
        <v>37.22</v>
      </c>
      <c r="Y60" s="113">
        <v>36.18</v>
      </c>
      <c r="Z60" s="113">
        <v>36.29</v>
      </c>
      <c r="AA60" s="111">
        <v>4851900</v>
      </c>
      <c r="AB60" s="110">
        <v>35.83</v>
      </c>
      <c r="AC60" s="2">
        <f t="shared" si="0"/>
        <v>1.0399999999999991</v>
      </c>
      <c r="AD60" s="148">
        <f t="shared" si="1"/>
        <v>-2.9523293607800705E-2</v>
      </c>
    </row>
    <row r="61" spans="15:30" x14ac:dyDescent="0.25">
      <c r="O61" s="93">
        <v>0.9</v>
      </c>
      <c r="P61" s="93">
        <f t="shared" si="2"/>
        <v>36.872999999999998</v>
      </c>
      <c r="V61" s="109">
        <v>42375</v>
      </c>
      <c r="W61" s="113">
        <v>37.47</v>
      </c>
      <c r="X61" s="113">
        <v>37.58</v>
      </c>
      <c r="Y61" s="113">
        <v>37.119999999999997</v>
      </c>
      <c r="Z61" s="113">
        <v>37.39</v>
      </c>
      <c r="AA61" s="111">
        <v>3536800</v>
      </c>
      <c r="AB61" s="110">
        <v>36.92</v>
      </c>
      <c r="AC61" s="2">
        <f t="shared" si="0"/>
        <v>0.46000000000000085</v>
      </c>
      <c r="AD61" s="148">
        <f t="shared" si="1"/>
        <v>-1.5729138896294237E-2</v>
      </c>
    </row>
    <row r="62" spans="15:30" x14ac:dyDescent="0.25">
      <c r="V62" s="109">
        <v>42374</v>
      </c>
      <c r="W62" s="113">
        <v>37.79</v>
      </c>
      <c r="X62" s="113">
        <v>38</v>
      </c>
      <c r="Y62" s="113">
        <v>37.42</v>
      </c>
      <c r="Z62" s="113">
        <v>37.99</v>
      </c>
      <c r="AA62" s="111">
        <v>3313900</v>
      </c>
      <c r="AB62" s="110">
        <v>37.51</v>
      </c>
      <c r="AC62" s="2">
        <f t="shared" si="0"/>
        <v>0.57999999999999829</v>
      </c>
      <c r="AD62" s="148">
        <f t="shared" si="1"/>
        <v>8.6044635654745072E-3</v>
      </c>
    </row>
    <row r="63" spans="15:30" x14ac:dyDescent="0.25">
      <c r="V63" s="109">
        <v>42373</v>
      </c>
      <c r="W63" s="113">
        <v>37.159999999999997</v>
      </c>
      <c r="X63" s="113">
        <v>37.67</v>
      </c>
      <c r="Y63" s="113">
        <v>36.86</v>
      </c>
      <c r="Z63" s="113">
        <v>37.67</v>
      </c>
      <c r="AA63" s="111">
        <v>4115100</v>
      </c>
      <c r="AB63" s="110">
        <v>37.19</v>
      </c>
      <c r="AC63" s="2">
        <f t="shared" si="0"/>
        <v>0.81000000000000227</v>
      </c>
      <c r="AD63" s="148">
        <f t="shared" si="1"/>
        <v>-8.0601826974746604E-4</v>
      </c>
    </row>
    <row r="64" spans="15:30" x14ac:dyDescent="0.25">
      <c r="V64" s="109">
        <v>42369</v>
      </c>
      <c r="W64" s="113">
        <v>38.08</v>
      </c>
      <c r="X64" s="113">
        <v>38.200000000000003</v>
      </c>
      <c r="Y64" s="113">
        <v>37.69</v>
      </c>
      <c r="Z64" s="113">
        <v>37.700000000000003</v>
      </c>
      <c r="AA64" s="111">
        <v>2572500</v>
      </c>
      <c r="AB64" s="110">
        <v>37.22</v>
      </c>
      <c r="AC64" s="2">
        <f t="shared" si="0"/>
        <v>0.51000000000000512</v>
      </c>
      <c r="AD64" s="148">
        <f t="shared" si="1"/>
        <v>-1.3255567338282037E-2</v>
      </c>
    </row>
    <row r="65" spans="22:30" x14ac:dyDescent="0.25">
      <c r="V65" s="109">
        <v>42368</v>
      </c>
      <c r="W65" s="113">
        <v>38.520000000000003</v>
      </c>
      <c r="X65" s="113">
        <v>38.79</v>
      </c>
      <c r="Y65" s="113">
        <v>38.159999999999997</v>
      </c>
      <c r="Z65" s="113">
        <v>38.200000000000003</v>
      </c>
      <c r="AA65" s="111">
        <v>2425200</v>
      </c>
      <c r="AB65" s="110">
        <v>37.72</v>
      </c>
      <c r="AC65" s="2">
        <f t="shared" si="0"/>
        <v>0.63000000000000256</v>
      </c>
      <c r="AD65" s="148">
        <f t="shared" si="1"/>
        <v>-1.1530398322851076E-2</v>
      </c>
    </row>
    <row r="66" spans="22:30" x14ac:dyDescent="0.25">
      <c r="V66" s="109">
        <v>42367</v>
      </c>
      <c r="W66" s="113">
        <v>38.36</v>
      </c>
      <c r="X66" s="113">
        <v>38.75</v>
      </c>
      <c r="Y66" s="113">
        <v>38.21</v>
      </c>
      <c r="Z66" s="113">
        <v>38.65</v>
      </c>
      <c r="AA66" s="111">
        <v>2885200</v>
      </c>
      <c r="AB66" s="110">
        <v>38.159999999999997</v>
      </c>
      <c r="AC66" s="2">
        <f t="shared" si="0"/>
        <v>0.53999999999999915</v>
      </c>
      <c r="AD66" s="148">
        <f t="shared" si="1"/>
        <v>1.381509032943673E-2</v>
      </c>
    </row>
    <row r="67" spans="22:30" x14ac:dyDescent="0.25">
      <c r="V67" s="109">
        <v>42366</v>
      </c>
      <c r="W67" s="113">
        <v>38.35</v>
      </c>
      <c r="X67" s="113">
        <v>38.44</v>
      </c>
      <c r="Y67" s="113">
        <v>37.96</v>
      </c>
      <c r="Z67" s="113">
        <v>38.119999999999997</v>
      </c>
      <c r="AA67" s="111">
        <v>2243600</v>
      </c>
      <c r="AB67" s="110">
        <v>37.64</v>
      </c>
      <c r="AC67" s="2">
        <f>X67-Y67</f>
        <v>0.47999999999999687</v>
      </c>
      <c r="AD67" s="148">
        <f>AB67/AB68-1</f>
        <v>-1.025506179332103E-2</v>
      </c>
    </row>
    <row r="68" spans="22:30" x14ac:dyDescent="0.25">
      <c r="V68" s="109">
        <v>42362</v>
      </c>
      <c r="W68" s="113">
        <v>38.380000000000003</v>
      </c>
      <c r="X68" s="113">
        <v>38.72</v>
      </c>
      <c r="Y68" s="113">
        <v>38.270000000000003</v>
      </c>
      <c r="Z68" s="113">
        <v>38.520000000000003</v>
      </c>
      <c r="AA68" s="111">
        <v>1147700</v>
      </c>
      <c r="AB68" s="110">
        <v>38.03</v>
      </c>
      <c r="AC68" s="2">
        <f>X68-Y68</f>
        <v>0.44999999999999574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55" priority="17">
      <formula>Q7&gt;0</formula>
    </cfRule>
    <cfRule type="expression" dxfId="35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53" priority="7">
      <formula>F16&gt;0</formula>
    </cfRule>
    <cfRule type="expression" dxfId="352" priority="8">
      <formula>F16&lt;0</formula>
    </cfRule>
  </conditionalFormatting>
  <conditionalFormatting sqref="H16:H18">
    <cfRule type="expression" dxfId="351" priority="5">
      <formula>H16&gt;0</formula>
    </cfRule>
    <cfRule type="expression" dxfId="350" priority="6">
      <formula>H16&lt;0</formula>
    </cfRule>
  </conditionalFormatting>
  <conditionalFormatting sqref="F12:F15">
    <cfRule type="expression" dxfId="349" priority="3">
      <formula>F12&gt;0</formula>
    </cfRule>
    <cfRule type="expression" dxfId="348" priority="4">
      <formula>F12&lt;0</formula>
    </cfRule>
  </conditionalFormatting>
  <conditionalFormatting sqref="H12:H15">
    <cfRule type="expression" dxfId="347" priority="1">
      <formula>H12&gt;0</formula>
    </cfRule>
    <cfRule type="expression" dxfId="34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42460</v>
      </c>
      <c r="W2" s="113">
        <v>32.53</v>
      </c>
      <c r="X2" s="113">
        <v>32.659999999999997</v>
      </c>
      <c r="Y2" s="113">
        <v>32.32</v>
      </c>
      <c r="Z2" s="113">
        <v>32.35</v>
      </c>
      <c r="AA2" s="111">
        <v>17650800</v>
      </c>
      <c r="AB2" s="110">
        <v>32.35</v>
      </c>
      <c r="AC2" s="2">
        <f>X2-Y2</f>
        <v>0.33999999999999631</v>
      </c>
      <c r="AD2" s="148">
        <f>AB2/AB3-1</f>
        <v>-1.1005808621216695E-2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32.450000000000003</v>
      </c>
      <c r="S3" s="125"/>
      <c r="T3" s="20"/>
      <c r="U3" s="20"/>
      <c r="V3" s="109">
        <v>42459</v>
      </c>
      <c r="W3" s="113">
        <v>32.450000000000003</v>
      </c>
      <c r="X3" s="113">
        <v>32.75</v>
      </c>
      <c r="Y3" s="113">
        <v>32.29</v>
      </c>
      <c r="Z3" s="113">
        <v>32.71</v>
      </c>
      <c r="AA3" s="111">
        <v>16364800</v>
      </c>
      <c r="AB3" s="110">
        <v>32.71</v>
      </c>
      <c r="AC3" s="2">
        <f t="shared" ref="AC3:AC66" si="2">X3-Y3</f>
        <v>0.46000000000000085</v>
      </c>
      <c r="AD3" s="148">
        <f t="shared" ref="AD3:AD66" si="3">AB3/AB4-1</f>
        <v>1.0191476219888695E-2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32.450000000000003</v>
      </c>
      <c r="V4" s="109">
        <v>42458</v>
      </c>
      <c r="W4" s="113">
        <v>31.93</v>
      </c>
      <c r="X4" s="113">
        <v>32.44</v>
      </c>
      <c r="Y4" s="113">
        <v>31.73</v>
      </c>
      <c r="Z4" s="113">
        <v>32.380000000000003</v>
      </c>
      <c r="AA4" s="111">
        <v>15178600</v>
      </c>
      <c r="AB4" s="110">
        <v>32.380000000000003</v>
      </c>
      <c r="AC4" s="2">
        <f t="shared" si="2"/>
        <v>0.7099999999999973</v>
      </c>
      <c r="AD4" s="148">
        <f t="shared" si="3"/>
        <v>1.5047021943573879E-2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42457</v>
      </c>
      <c r="W5" s="113">
        <v>31.87</v>
      </c>
      <c r="X5" s="113">
        <v>32</v>
      </c>
      <c r="Y5" s="113">
        <v>31.62</v>
      </c>
      <c r="Z5" s="113">
        <v>31.9</v>
      </c>
      <c r="AA5" s="111">
        <v>11419200</v>
      </c>
      <c r="AB5" s="110">
        <v>31.9</v>
      </c>
      <c r="AC5" s="2">
        <f t="shared" si="2"/>
        <v>0.37999999999999901</v>
      </c>
      <c r="AD5" s="148">
        <f t="shared" si="3"/>
        <v>6.2735257214563411E-4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42453</v>
      </c>
      <c r="W6" s="113">
        <v>31.87</v>
      </c>
      <c r="X6" s="113">
        <v>31.95</v>
      </c>
      <c r="Y6" s="113">
        <v>31.7</v>
      </c>
      <c r="Z6" s="113">
        <v>31.88</v>
      </c>
      <c r="AA6" s="111">
        <v>14126100</v>
      </c>
      <c r="AB6" s="110">
        <v>31.88</v>
      </c>
      <c r="AC6" s="2">
        <f t="shared" si="2"/>
        <v>0.25</v>
      </c>
      <c r="AD6" s="148">
        <f t="shared" si="3"/>
        <v>-3.7500000000000311E-3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42452</v>
      </c>
      <c r="W7" s="113">
        <v>32.47</v>
      </c>
      <c r="X7" s="113">
        <v>32.47</v>
      </c>
      <c r="Y7" s="113">
        <v>31.98</v>
      </c>
      <c r="Z7" s="113">
        <v>32</v>
      </c>
      <c r="AA7" s="111">
        <v>18460900</v>
      </c>
      <c r="AB7" s="110">
        <v>32</v>
      </c>
      <c r="AC7" s="2">
        <f t="shared" si="2"/>
        <v>0.48999999999999844</v>
      </c>
      <c r="AD7" s="148">
        <f t="shared" si="3"/>
        <v>-9.9009900990099098E-3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42451</v>
      </c>
      <c r="W8" s="113">
        <v>32.159999999999997</v>
      </c>
      <c r="X8" s="113">
        <v>32.46</v>
      </c>
      <c r="Y8" s="113">
        <v>31.95</v>
      </c>
      <c r="Z8" s="113">
        <v>32.32</v>
      </c>
      <c r="AA8" s="111">
        <v>22150700</v>
      </c>
      <c r="AB8" s="110">
        <v>32.32</v>
      </c>
      <c r="AC8" s="2">
        <f t="shared" si="2"/>
        <v>0.51000000000000156</v>
      </c>
      <c r="AD8" s="148">
        <f t="shared" si="3"/>
        <v>-6.1842918985788309E-4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42450</v>
      </c>
      <c r="W9" s="113">
        <v>32.229999999999997</v>
      </c>
      <c r="X9" s="113">
        <v>32.42</v>
      </c>
      <c r="Y9" s="113">
        <v>31.95</v>
      </c>
      <c r="Z9" s="113">
        <v>32.340000000000003</v>
      </c>
      <c r="AA9" s="111">
        <v>21642300</v>
      </c>
      <c r="AB9" s="110">
        <v>32.340000000000003</v>
      </c>
      <c r="AC9" s="2">
        <f t="shared" si="2"/>
        <v>0.47000000000000242</v>
      </c>
      <c r="AD9" s="148">
        <f t="shared" si="3"/>
        <v>-1.04039167686657E-2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42447</v>
      </c>
      <c r="W10" s="113">
        <v>32.159999999999997</v>
      </c>
      <c r="X10" s="113">
        <v>32.69</v>
      </c>
      <c r="Y10" s="113">
        <v>32.06</v>
      </c>
      <c r="Z10" s="113">
        <v>32.68</v>
      </c>
      <c r="AA10" s="111">
        <v>49633200</v>
      </c>
      <c r="AB10" s="110">
        <v>32.68</v>
      </c>
      <c r="AC10" s="2">
        <f t="shared" si="2"/>
        <v>0.62999999999999545</v>
      </c>
      <c r="AD10" s="148">
        <f t="shared" si="3"/>
        <v>2.1888680425265816E-2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42446</v>
      </c>
      <c r="W11" s="113">
        <v>31.76</v>
      </c>
      <c r="X11" s="113">
        <v>32.17</v>
      </c>
      <c r="Y11" s="113">
        <v>31.7</v>
      </c>
      <c r="Z11" s="113">
        <v>31.98</v>
      </c>
      <c r="AA11" s="111">
        <v>22813000</v>
      </c>
      <c r="AB11" s="110">
        <v>31.98</v>
      </c>
      <c r="AC11" s="2">
        <f t="shared" si="2"/>
        <v>0.47000000000000242</v>
      </c>
      <c r="AD11" s="148">
        <f t="shared" si="3"/>
        <v>9.151151782896827E-3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42445</v>
      </c>
      <c r="W12" s="113">
        <v>31.49</v>
      </c>
      <c r="X12" s="113">
        <v>31.8</v>
      </c>
      <c r="Y12" s="113">
        <v>31.17</v>
      </c>
      <c r="Z12" s="113">
        <v>31.69</v>
      </c>
      <c r="AA12" s="111">
        <v>26062400</v>
      </c>
      <c r="AB12" s="110">
        <v>31.69</v>
      </c>
      <c r="AC12" s="2">
        <f t="shared" si="2"/>
        <v>0.62999999999999901</v>
      </c>
      <c r="AD12" s="148">
        <f t="shared" si="3"/>
        <v>1.2638230647710191E-3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42444</v>
      </c>
      <c r="W13" s="113">
        <v>31.34</v>
      </c>
      <c r="X13" s="113">
        <v>31.65</v>
      </c>
      <c r="Y13" s="113">
        <v>31.06</v>
      </c>
      <c r="Z13" s="113">
        <v>31.65</v>
      </c>
      <c r="AA13" s="111">
        <v>16893700</v>
      </c>
      <c r="AB13" s="110">
        <v>31.65</v>
      </c>
      <c r="AC13" s="2">
        <f t="shared" si="2"/>
        <v>0.58999999999999986</v>
      </c>
      <c r="AD13" s="148">
        <f t="shared" si="3"/>
        <v>6.9996818326438781E-3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42443</v>
      </c>
      <c r="W14" s="113">
        <v>31.66</v>
      </c>
      <c r="X14" s="113">
        <v>31.69</v>
      </c>
      <c r="Y14" s="113">
        <v>31.3</v>
      </c>
      <c r="Z14" s="113">
        <v>31.43</v>
      </c>
      <c r="AA14" s="111">
        <v>17391300</v>
      </c>
      <c r="AB14" s="110">
        <v>31.43</v>
      </c>
      <c r="AC14" s="2">
        <f t="shared" si="2"/>
        <v>0.39000000000000057</v>
      </c>
      <c r="AD14" s="148">
        <f t="shared" si="3"/>
        <v>-1.0390428211586977E-2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42440</v>
      </c>
      <c r="W15" s="113">
        <v>31.67</v>
      </c>
      <c r="X15" s="113">
        <v>31.79</v>
      </c>
      <c r="Y15" s="113">
        <v>31.53</v>
      </c>
      <c r="Z15" s="113">
        <v>31.76</v>
      </c>
      <c r="AA15" s="111">
        <v>22394500</v>
      </c>
      <c r="AB15" s="110">
        <v>31.76</v>
      </c>
      <c r="AC15" s="2">
        <f t="shared" si="2"/>
        <v>0.25999999999999801</v>
      </c>
      <c r="AD15" s="148">
        <f t="shared" si="3"/>
        <v>1.6320000000000112E-2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42439</v>
      </c>
      <c r="W16" s="113">
        <v>31.14</v>
      </c>
      <c r="X16" s="113">
        <v>31.4</v>
      </c>
      <c r="Y16" s="113">
        <v>30.38</v>
      </c>
      <c r="Z16" s="113">
        <v>31.25</v>
      </c>
      <c r="AA16" s="111">
        <v>29434600</v>
      </c>
      <c r="AB16" s="110">
        <v>31.25</v>
      </c>
      <c r="AC16" s="2">
        <f t="shared" si="2"/>
        <v>1.0199999999999996</v>
      </c>
      <c r="AD16" s="148">
        <f t="shared" si="3"/>
        <v>1.2309685779073432E-2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42438</v>
      </c>
      <c r="W17" s="113">
        <v>30.83</v>
      </c>
      <c r="X17" s="113">
        <v>31.04</v>
      </c>
      <c r="Y17" s="113">
        <v>30.67</v>
      </c>
      <c r="Z17" s="113">
        <v>30.87</v>
      </c>
      <c r="AA17" s="111">
        <v>14572800</v>
      </c>
      <c r="AB17" s="110">
        <v>30.87</v>
      </c>
      <c r="AC17" s="2">
        <f t="shared" si="2"/>
        <v>0.36999999999999744</v>
      </c>
      <c r="AD17" s="148">
        <f t="shared" si="3"/>
        <v>1.0143979057591679E-2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42437</v>
      </c>
      <c r="W18" s="113">
        <v>30.83</v>
      </c>
      <c r="X18" s="113">
        <v>30.88</v>
      </c>
      <c r="Y18" s="113">
        <v>30.38</v>
      </c>
      <c r="Z18" s="113">
        <v>30.56</v>
      </c>
      <c r="AA18" s="111">
        <v>18850600</v>
      </c>
      <c r="AB18" s="110">
        <v>30.56</v>
      </c>
      <c r="AC18" s="2">
        <f t="shared" si="2"/>
        <v>0.5</v>
      </c>
      <c r="AD18" s="148">
        <f t="shared" si="3"/>
        <v>-1.2281835811247643E-2</v>
      </c>
    </row>
    <row r="19" spans="1:30" x14ac:dyDescent="0.25">
      <c r="E19" s="2"/>
      <c r="G19" s="2"/>
      <c r="I19" s="2"/>
      <c r="K19" s="2"/>
      <c r="V19" s="109">
        <v>42436</v>
      </c>
      <c r="W19" s="113">
        <v>30.59</v>
      </c>
      <c r="X19" s="113">
        <v>31.12</v>
      </c>
      <c r="Y19" s="113">
        <v>30.5</v>
      </c>
      <c r="Z19" s="113">
        <v>30.94</v>
      </c>
      <c r="AA19" s="111">
        <v>18858200</v>
      </c>
      <c r="AB19" s="110">
        <v>30.94</v>
      </c>
      <c r="AC19" s="2">
        <f t="shared" si="2"/>
        <v>0.62000000000000099</v>
      </c>
      <c r="AD19" s="148">
        <f t="shared" si="3"/>
        <v>1.0120796604636162E-2</v>
      </c>
    </row>
    <row r="20" spans="1:30" x14ac:dyDescent="0.25">
      <c r="V20" s="109">
        <v>42433</v>
      </c>
      <c r="W20" s="113">
        <v>30.5</v>
      </c>
      <c r="X20" s="113">
        <v>30.86</v>
      </c>
      <c r="Y20" s="113">
        <v>30.05</v>
      </c>
      <c r="Z20" s="113">
        <v>30.63</v>
      </c>
      <c r="AA20" s="111">
        <v>20169900</v>
      </c>
      <c r="AB20" s="110">
        <v>30.63</v>
      </c>
      <c r="AC20" s="2">
        <f t="shared" si="2"/>
        <v>0.80999999999999872</v>
      </c>
      <c r="AD20" s="148">
        <f t="shared" si="3"/>
        <v>1.6350555918902554E-3</v>
      </c>
    </row>
    <row r="21" spans="1:30" x14ac:dyDescent="0.25">
      <c r="V21" s="109">
        <v>42432</v>
      </c>
      <c r="W21" s="113">
        <v>31.13</v>
      </c>
      <c r="X21" s="113">
        <v>31.35</v>
      </c>
      <c r="Y21" s="113">
        <v>30.54</v>
      </c>
      <c r="Z21" s="113">
        <v>30.58</v>
      </c>
      <c r="AA21" s="111">
        <v>25608800</v>
      </c>
      <c r="AB21" s="110">
        <v>30.58</v>
      </c>
      <c r="AC21" s="2">
        <f t="shared" si="2"/>
        <v>0.81000000000000227</v>
      </c>
      <c r="AD21" s="148">
        <f t="shared" si="3"/>
        <v>1.3097576948264411E-3</v>
      </c>
    </row>
    <row r="22" spans="1:30" x14ac:dyDescent="0.25">
      <c r="V22" s="109">
        <v>42431</v>
      </c>
      <c r="W22" s="113">
        <v>30.3</v>
      </c>
      <c r="X22" s="113">
        <v>30.87</v>
      </c>
      <c r="Y22" s="113">
        <v>30.12</v>
      </c>
      <c r="Z22" s="113">
        <v>30.54</v>
      </c>
      <c r="AA22" s="111">
        <v>23418500</v>
      </c>
      <c r="AB22" s="110">
        <v>30.54</v>
      </c>
      <c r="AC22" s="2">
        <f t="shared" si="2"/>
        <v>0.75</v>
      </c>
      <c r="AD22" s="148">
        <f t="shared" si="3"/>
        <v>5.5976292393808968E-3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42430</v>
      </c>
      <c r="W23" s="113">
        <v>29.93</v>
      </c>
      <c r="X23" s="113">
        <v>30.53</v>
      </c>
      <c r="Y23" s="113">
        <v>29.75</v>
      </c>
      <c r="Z23" s="113">
        <v>30.37</v>
      </c>
      <c r="AA23" s="111">
        <v>25355600</v>
      </c>
      <c r="AB23" s="110">
        <v>30.37</v>
      </c>
      <c r="AC23" s="2">
        <f t="shared" si="2"/>
        <v>0.78000000000000114</v>
      </c>
      <c r="AD23" s="148">
        <f t="shared" si="3"/>
        <v>2.6360256843528163E-2</v>
      </c>
    </row>
    <row r="24" spans="1:30" x14ac:dyDescent="0.25">
      <c r="V24" s="109">
        <v>42429</v>
      </c>
      <c r="W24" s="113">
        <v>29.72</v>
      </c>
      <c r="X24" s="113">
        <v>30.14</v>
      </c>
      <c r="Y24" s="113">
        <v>29.58</v>
      </c>
      <c r="Z24" s="113">
        <v>29.59</v>
      </c>
      <c r="AA24" s="111">
        <v>21616500</v>
      </c>
      <c r="AB24" s="110">
        <v>29.59</v>
      </c>
      <c r="AC24" s="2">
        <f t="shared" si="2"/>
        <v>0.56000000000000227</v>
      </c>
      <c r="AD24" s="148">
        <f t="shared" si="3"/>
        <v>-7.0469798657718519E-3</v>
      </c>
    </row>
    <row r="25" spans="1:30" x14ac:dyDescent="0.25">
      <c r="B25" s="209" t="s">
        <v>117</v>
      </c>
      <c r="C25" s="209" t="s">
        <v>167</v>
      </c>
      <c r="D25" s="210" t="s">
        <v>166</v>
      </c>
      <c r="E25" s="212" t="s">
        <v>168</v>
      </c>
      <c r="F25" s="213" t="s">
        <v>65</v>
      </c>
      <c r="G25" s="253" t="s">
        <v>172</v>
      </c>
      <c r="V25" s="109">
        <v>42426</v>
      </c>
      <c r="W25" s="113">
        <v>29.88</v>
      </c>
      <c r="X25" s="113">
        <v>30.08</v>
      </c>
      <c r="Y25" s="113">
        <v>29.7</v>
      </c>
      <c r="Z25" s="113">
        <v>29.8</v>
      </c>
      <c r="AA25" s="111">
        <v>19878200</v>
      </c>
      <c r="AB25" s="110">
        <v>29.8</v>
      </c>
      <c r="AC25" s="2">
        <f t="shared" si="2"/>
        <v>0.37999999999999901</v>
      </c>
      <c r="AD25" s="148">
        <f t="shared" si="3"/>
        <v>6.076975016880537E-3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42425</v>
      </c>
      <c r="W26" s="113">
        <v>29.32</v>
      </c>
      <c r="X26" s="113">
        <v>29.62</v>
      </c>
      <c r="Y26" s="113">
        <v>28.95</v>
      </c>
      <c r="Z26" s="113">
        <v>29.62</v>
      </c>
      <c r="AA26" s="111">
        <v>17311000</v>
      </c>
      <c r="AB26" s="110">
        <v>29.62</v>
      </c>
      <c r="AC26" s="2">
        <f t="shared" si="2"/>
        <v>0.67000000000000171</v>
      </c>
      <c r="AD26" s="148">
        <f t="shared" si="3"/>
        <v>1.4731072285029123E-2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42424</v>
      </c>
      <c r="W27" s="113">
        <v>28.52</v>
      </c>
      <c r="X27" s="113">
        <v>29.3</v>
      </c>
      <c r="Y27" s="113">
        <v>28.38</v>
      </c>
      <c r="Z27" s="113">
        <v>29.19</v>
      </c>
      <c r="AA27" s="111">
        <v>21444600</v>
      </c>
      <c r="AB27" s="110">
        <v>29.19</v>
      </c>
      <c r="AC27" s="2">
        <f t="shared" si="2"/>
        <v>0.92000000000000171</v>
      </c>
      <c r="AD27" s="148">
        <f t="shared" si="3"/>
        <v>1.3541666666666785E-2</v>
      </c>
    </row>
    <row r="28" spans="1:30" x14ac:dyDescent="0.25">
      <c r="B28" s="12"/>
      <c r="C28" s="12"/>
      <c r="D28" s="43"/>
      <c r="E28" s="43"/>
      <c r="F28" s="43"/>
      <c r="G28" s="43"/>
      <c r="V28" s="109">
        <v>42423</v>
      </c>
      <c r="W28" s="113">
        <v>29.3</v>
      </c>
      <c r="X28" s="113">
        <v>29.35</v>
      </c>
      <c r="Y28" s="113">
        <v>28.6</v>
      </c>
      <c r="Z28" s="113">
        <v>28.8</v>
      </c>
      <c r="AA28" s="111">
        <v>26432900</v>
      </c>
      <c r="AB28" s="110">
        <v>28.8</v>
      </c>
      <c r="AC28" s="2">
        <f t="shared" si="2"/>
        <v>0.75</v>
      </c>
      <c r="AD28" s="148">
        <f t="shared" si="3"/>
        <v>-1.8739352640545159E-2</v>
      </c>
    </row>
    <row r="29" spans="1:30" x14ac:dyDescent="0.25">
      <c r="B29" s="12"/>
      <c r="C29" s="12"/>
      <c r="D29" s="43"/>
      <c r="E29" s="43"/>
      <c r="F29" s="43"/>
      <c r="G29" s="43"/>
      <c r="V29" s="109">
        <v>42422</v>
      </c>
      <c r="W29" s="113">
        <v>29.11</v>
      </c>
      <c r="X29" s="113">
        <v>29.54</v>
      </c>
      <c r="Y29" s="113">
        <v>29</v>
      </c>
      <c r="Z29" s="113">
        <v>29.35</v>
      </c>
      <c r="AA29" s="111">
        <v>23750400</v>
      </c>
      <c r="AB29" s="110">
        <v>29.35</v>
      </c>
      <c r="AC29" s="2">
        <f t="shared" si="2"/>
        <v>0.53999999999999915</v>
      </c>
      <c r="AD29" s="148">
        <f t="shared" si="3"/>
        <v>2.2291884360849945E-2</v>
      </c>
    </row>
    <row r="30" spans="1:30" x14ac:dyDescent="0.25">
      <c r="B30" s="12"/>
      <c r="C30" s="12"/>
      <c r="D30" s="43"/>
      <c r="E30" s="43"/>
      <c r="F30" s="43"/>
      <c r="G30" s="43"/>
      <c r="V30" s="109">
        <v>42419</v>
      </c>
      <c r="W30" s="113">
        <v>29.2</v>
      </c>
      <c r="X30" s="113">
        <v>29.33</v>
      </c>
      <c r="Y30" s="113">
        <v>28.71</v>
      </c>
      <c r="Z30" s="113">
        <v>28.71</v>
      </c>
      <c r="AA30" s="111">
        <v>41618800</v>
      </c>
      <c r="AB30" s="110">
        <v>28.71</v>
      </c>
      <c r="AC30" s="2">
        <f t="shared" si="2"/>
        <v>0.61999999999999744</v>
      </c>
      <c r="AD30" s="148">
        <f t="shared" si="3"/>
        <v>-2.4133242692046308E-2</v>
      </c>
    </row>
    <row r="31" spans="1:30" x14ac:dyDescent="0.25">
      <c r="B31" s="12"/>
      <c r="C31" s="12"/>
      <c r="D31" s="43"/>
      <c r="E31" s="43"/>
      <c r="F31" s="43"/>
      <c r="G31" s="43"/>
      <c r="V31" s="109">
        <v>42418</v>
      </c>
      <c r="W31" s="113">
        <v>29.53</v>
      </c>
      <c r="X31" s="113">
        <v>29.76</v>
      </c>
      <c r="Y31" s="113">
        <v>29.38</v>
      </c>
      <c r="Z31" s="113">
        <v>29.42</v>
      </c>
      <c r="AA31" s="111">
        <v>20261500</v>
      </c>
      <c r="AB31" s="110">
        <v>29.42</v>
      </c>
      <c r="AC31" s="2">
        <f t="shared" si="2"/>
        <v>0.38000000000000256</v>
      </c>
      <c r="AD31" s="148">
        <f t="shared" si="3"/>
        <v>-1.6966406515098731E-3</v>
      </c>
    </row>
    <row r="32" spans="1:30" x14ac:dyDescent="0.25">
      <c r="B32" s="12"/>
      <c r="C32" s="12"/>
      <c r="D32" s="43"/>
      <c r="E32" s="43"/>
      <c r="F32" s="43"/>
      <c r="G32" s="43"/>
      <c r="V32" s="109">
        <v>42417</v>
      </c>
      <c r="W32" s="113">
        <v>28.86</v>
      </c>
      <c r="X32" s="113">
        <v>29.62</v>
      </c>
      <c r="Y32" s="113">
        <v>28.73</v>
      </c>
      <c r="Z32" s="113">
        <v>29.47</v>
      </c>
      <c r="AA32" s="111">
        <v>27295100</v>
      </c>
      <c r="AB32" s="110">
        <v>29.47</v>
      </c>
      <c r="AC32" s="2">
        <f t="shared" si="2"/>
        <v>0.89000000000000057</v>
      </c>
      <c r="AD32" s="148">
        <f t="shared" si="3"/>
        <v>2.3974982626824071E-2</v>
      </c>
    </row>
    <row r="33" spans="2:30" x14ac:dyDescent="0.25">
      <c r="B33" s="12"/>
      <c r="C33" s="12"/>
      <c r="D33" s="43"/>
      <c r="E33" s="43"/>
      <c r="F33" s="43"/>
      <c r="G33" s="43"/>
      <c r="V33" s="109">
        <v>42416</v>
      </c>
      <c r="W33" s="113">
        <v>28.75</v>
      </c>
      <c r="X33" s="113">
        <v>28.95</v>
      </c>
      <c r="Y33" s="113">
        <v>28.36</v>
      </c>
      <c r="Z33" s="113">
        <v>28.78</v>
      </c>
      <c r="AA33" s="111">
        <v>30354200</v>
      </c>
      <c r="AB33" s="110">
        <v>28.78</v>
      </c>
      <c r="AC33" s="2">
        <f t="shared" si="2"/>
        <v>0.58999999999999986</v>
      </c>
      <c r="AD33" s="148">
        <f t="shared" si="3"/>
        <v>4.8882681564246244E-3</v>
      </c>
    </row>
    <row r="34" spans="2:30" x14ac:dyDescent="0.25">
      <c r="B34" s="12"/>
      <c r="C34" s="12"/>
      <c r="D34" s="43"/>
      <c r="E34" s="43"/>
      <c r="F34" s="43"/>
      <c r="G34" s="43"/>
      <c r="V34" s="109">
        <v>42412</v>
      </c>
      <c r="W34" s="113">
        <v>28.57</v>
      </c>
      <c r="X34" s="113">
        <v>28.7</v>
      </c>
      <c r="Y34" s="113">
        <v>28.14</v>
      </c>
      <c r="Z34" s="113">
        <v>28.64</v>
      </c>
      <c r="AA34" s="111">
        <v>19507900</v>
      </c>
      <c r="AB34" s="110">
        <v>28.64</v>
      </c>
      <c r="AC34" s="2">
        <f t="shared" si="2"/>
        <v>0.55999999999999872</v>
      </c>
      <c r="AD34" s="148">
        <f t="shared" si="3"/>
        <v>1.4883061658398367E-2</v>
      </c>
    </row>
    <row r="35" spans="2:30" x14ac:dyDescent="0.25">
      <c r="B35" s="12"/>
      <c r="C35" s="12"/>
      <c r="D35" s="43"/>
      <c r="E35" s="43"/>
      <c r="F35" s="43"/>
      <c r="G35" s="43"/>
      <c r="V35" s="109">
        <v>42411</v>
      </c>
      <c r="W35" s="113">
        <v>27.83</v>
      </c>
      <c r="X35" s="113">
        <v>28.41</v>
      </c>
      <c r="Y35" s="113">
        <v>27.68</v>
      </c>
      <c r="Z35" s="113">
        <v>28.22</v>
      </c>
      <c r="AA35" s="111">
        <v>28142600</v>
      </c>
      <c r="AB35" s="110">
        <v>28.22</v>
      </c>
      <c r="AC35" s="2">
        <f t="shared" si="2"/>
        <v>0.73000000000000043</v>
      </c>
      <c r="AD35" s="148">
        <f t="shared" si="3"/>
        <v>-3.5423308537019249E-4</v>
      </c>
    </row>
    <row r="36" spans="2:30" x14ac:dyDescent="0.25">
      <c r="V36" s="109">
        <v>42410</v>
      </c>
      <c r="W36" s="113">
        <v>28.88</v>
      </c>
      <c r="X36" s="113">
        <v>29</v>
      </c>
      <c r="Y36" s="113">
        <v>28.19</v>
      </c>
      <c r="Z36" s="113">
        <v>28.23</v>
      </c>
      <c r="AA36" s="111">
        <v>26850900</v>
      </c>
      <c r="AB36" s="110">
        <v>28.23</v>
      </c>
      <c r="AC36" s="2">
        <f t="shared" si="2"/>
        <v>0.80999999999999872</v>
      </c>
      <c r="AD36" s="148">
        <f t="shared" si="3"/>
        <v>-2.013189864630327E-2</v>
      </c>
    </row>
    <row r="37" spans="2:30" x14ac:dyDescent="0.25">
      <c r="V37" s="109">
        <v>42409</v>
      </c>
      <c r="W37" s="113">
        <v>28.49</v>
      </c>
      <c r="X37" s="113">
        <v>29.15</v>
      </c>
      <c r="Y37" s="113">
        <v>28.41</v>
      </c>
      <c r="Z37" s="113">
        <v>28.81</v>
      </c>
      <c r="AA37" s="111">
        <v>22710600</v>
      </c>
      <c r="AB37" s="110">
        <v>28.81</v>
      </c>
      <c r="AC37" s="2">
        <f t="shared" si="2"/>
        <v>0.73999999999999844</v>
      </c>
      <c r="AD37" s="148">
        <f t="shared" si="3"/>
        <v>-3.4698126301180299E-4</v>
      </c>
    </row>
    <row r="38" spans="2:30" x14ac:dyDescent="0.25">
      <c r="V38" s="109">
        <v>42408</v>
      </c>
      <c r="W38" s="113">
        <v>28.74</v>
      </c>
      <c r="X38" s="113">
        <v>28.98</v>
      </c>
      <c r="Y38" s="113">
        <v>28.3</v>
      </c>
      <c r="Z38" s="113">
        <v>28.82</v>
      </c>
      <c r="AA38" s="111">
        <v>28623800</v>
      </c>
      <c r="AB38" s="110">
        <v>28.82</v>
      </c>
      <c r="AC38" s="2">
        <f t="shared" si="2"/>
        <v>0.67999999999999972</v>
      </c>
      <c r="AD38" s="148">
        <f t="shared" si="3"/>
        <v>-7.575757575757569E-3</v>
      </c>
    </row>
    <row r="39" spans="2:30" x14ac:dyDescent="0.25">
      <c r="V39" s="109">
        <v>42405</v>
      </c>
      <c r="W39" s="113">
        <v>29.58</v>
      </c>
      <c r="X39" s="113">
        <v>29.76</v>
      </c>
      <c r="Y39" s="113">
        <v>28.91</v>
      </c>
      <c r="Z39" s="113">
        <v>29.04</v>
      </c>
      <c r="AA39" s="111">
        <v>27429400</v>
      </c>
      <c r="AB39" s="110">
        <v>29.04</v>
      </c>
      <c r="AC39" s="2">
        <f t="shared" si="2"/>
        <v>0.85000000000000142</v>
      </c>
      <c r="AD39" s="148">
        <f t="shared" si="3"/>
        <v>-2.4521330198186142E-2</v>
      </c>
    </row>
    <row r="40" spans="2:30" ht="20.25" thickBot="1" x14ac:dyDescent="0.35">
      <c r="O40" s="420" t="s">
        <v>78</v>
      </c>
      <c r="P40" s="420"/>
      <c r="S40" s="101" t="s">
        <v>116</v>
      </c>
      <c r="V40" s="109">
        <v>42404</v>
      </c>
      <c r="W40" s="113">
        <v>29.14</v>
      </c>
      <c r="X40" s="113">
        <v>29.88</v>
      </c>
      <c r="Y40" s="113">
        <v>29.11</v>
      </c>
      <c r="Z40" s="113">
        <v>29.77</v>
      </c>
      <c r="AA40" s="111">
        <v>29109700</v>
      </c>
      <c r="AB40" s="110">
        <v>29.77</v>
      </c>
      <c r="AC40" s="2">
        <f t="shared" si="2"/>
        <v>0.76999999999999957</v>
      </c>
      <c r="AD40" s="148">
        <f t="shared" si="3"/>
        <v>1.4655760054532951E-2</v>
      </c>
    </row>
    <row r="41" spans="2:30" ht="15.75" thickTop="1" x14ac:dyDescent="0.25">
      <c r="O41" s="93">
        <v>1.1000000000000001</v>
      </c>
      <c r="P41" s="93">
        <f>O41*$Q$4</f>
        <v>35.695000000000007</v>
      </c>
      <c r="Q41" s="2"/>
      <c r="S41" s="107" t="s">
        <v>101</v>
      </c>
      <c r="T41" s="108">
        <v>32.380000000000003</v>
      </c>
      <c r="V41" s="109">
        <v>42403</v>
      </c>
      <c r="W41" s="113">
        <v>29.72</v>
      </c>
      <c r="X41" s="113">
        <v>29.72</v>
      </c>
      <c r="Y41" s="113">
        <v>28.52</v>
      </c>
      <c r="Z41" s="113">
        <v>29.34</v>
      </c>
      <c r="AA41" s="111">
        <v>44632000</v>
      </c>
      <c r="AB41" s="110">
        <v>29.34</v>
      </c>
      <c r="AC41" s="2">
        <f t="shared" si="2"/>
        <v>1.1999999999999993</v>
      </c>
      <c r="AD41" s="148" t="e">
        <f t="shared" si="3"/>
        <v>#DIV/0!</v>
      </c>
    </row>
    <row r="42" spans="2:30" x14ac:dyDescent="0.25">
      <c r="O42" s="93">
        <v>1.0900000000000001</v>
      </c>
      <c r="P42" s="93">
        <f t="shared" ref="P42:P61" si="4">O42*$Q$4</f>
        <v>35.370500000000007</v>
      </c>
      <c r="Q42" s="2"/>
      <c r="S42" s="97" t="s">
        <v>102</v>
      </c>
      <c r="T42" s="98">
        <v>32.450000000000003</v>
      </c>
      <c r="V42" s="109">
        <v>42403</v>
      </c>
      <c r="W42" s="113" t="s">
        <v>146</v>
      </c>
      <c r="X42" s="113"/>
      <c r="Y42" s="113"/>
      <c r="Z42" s="113"/>
      <c r="AA42" s="111"/>
      <c r="AB42" s="110"/>
      <c r="AC42" s="2">
        <f t="shared" si="2"/>
        <v>0</v>
      </c>
      <c r="AD42" s="148">
        <f t="shared" si="3"/>
        <v>-1</v>
      </c>
    </row>
    <row r="43" spans="2:30" x14ac:dyDescent="0.25">
      <c r="O43" s="93">
        <v>1.08</v>
      </c>
      <c r="P43" s="93">
        <f t="shared" si="4"/>
        <v>35.046000000000006</v>
      </c>
      <c r="Q43" s="2"/>
      <c r="S43" s="97" t="s">
        <v>103</v>
      </c>
      <c r="T43" s="98" t="s">
        <v>295</v>
      </c>
      <c r="V43" s="109">
        <v>42402</v>
      </c>
      <c r="W43" s="113">
        <v>30.45</v>
      </c>
      <c r="X43" s="113">
        <v>30.49</v>
      </c>
      <c r="Y43" s="113">
        <v>29.63</v>
      </c>
      <c r="Z43" s="113">
        <v>29.8</v>
      </c>
      <c r="AA43" s="111">
        <v>24994300</v>
      </c>
      <c r="AB43" s="110">
        <v>29.54</v>
      </c>
      <c r="AC43" s="2">
        <f t="shared" si="2"/>
        <v>0.85999999999999943</v>
      </c>
      <c r="AD43" s="148">
        <f t="shared" si="3"/>
        <v>-3.3060556464811874E-2</v>
      </c>
    </row>
    <row r="44" spans="2:30" x14ac:dyDescent="0.25">
      <c r="O44" s="93">
        <v>1.07</v>
      </c>
      <c r="P44" s="93">
        <f t="shared" si="4"/>
        <v>34.721500000000006</v>
      </c>
      <c r="Q44" s="2"/>
      <c r="S44" s="97" t="s">
        <v>104</v>
      </c>
      <c r="T44" s="98" t="s">
        <v>296</v>
      </c>
      <c r="V44" s="109">
        <v>42401</v>
      </c>
      <c r="W44" s="113">
        <v>30.72</v>
      </c>
      <c r="X44" s="113">
        <v>31.12</v>
      </c>
      <c r="Y44" s="113">
        <v>30.64</v>
      </c>
      <c r="Z44" s="113">
        <v>30.82</v>
      </c>
      <c r="AA44" s="111">
        <v>19015100</v>
      </c>
      <c r="AB44" s="110">
        <v>30.55</v>
      </c>
      <c r="AC44" s="2">
        <f t="shared" si="2"/>
        <v>0.48000000000000043</v>
      </c>
      <c r="AD44" s="148">
        <f t="shared" si="3"/>
        <v>-6.5040650406503753E-3</v>
      </c>
    </row>
    <row r="45" spans="2:30" x14ac:dyDescent="0.25">
      <c r="O45" s="93">
        <v>1.06</v>
      </c>
      <c r="P45" s="93">
        <f t="shared" si="4"/>
        <v>34.397000000000006</v>
      </c>
      <c r="Q45" s="2"/>
      <c r="S45" s="97" t="s">
        <v>105</v>
      </c>
      <c r="T45" s="98">
        <v>35.94</v>
      </c>
      <c r="V45" s="109">
        <v>42398</v>
      </c>
      <c r="W45" s="113">
        <v>30.21</v>
      </c>
      <c r="X45" s="113">
        <v>31.03</v>
      </c>
      <c r="Y45" s="113">
        <v>30.1</v>
      </c>
      <c r="Z45" s="113">
        <v>31.02</v>
      </c>
      <c r="AA45" s="111">
        <v>38311400</v>
      </c>
      <c r="AB45" s="110">
        <v>30.75</v>
      </c>
      <c r="AC45" s="2">
        <f t="shared" si="2"/>
        <v>0.92999999999999972</v>
      </c>
      <c r="AD45" s="148">
        <f t="shared" si="3"/>
        <v>3.5005048805116123E-2</v>
      </c>
    </row>
    <row r="46" spans="2:30" x14ac:dyDescent="0.25">
      <c r="O46" s="93">
        <v>1.05</v>
      </c>
      <c r="P46" s="93">
        <f t="shared" si="4"/>
        <v>34.072500000000005</v>
      </c>
      <c r="Q46" s="2"/>
      <c r="S46" s="97" t="s">
        <v>106</v>
      </c>
      <c r="T46" s="98">
        <v>1.0309299999999999</v>
      </c>
      <c r="V46" s="109">
        <v>42397</v>
      </c>
      <c r="W46" s="113">
        <v>30.02</v>
      </c>
      <c r="X46" s="113">
        <v>30.18</v>
      </c>
      <c r="Y46" s="113">
        <v>29.75</v>
      </c>
      <c r="Z46" s="113">
        <v>29.97</v>
      </c>
      <c r="AA46" s="111">
        <v>22028100</v>
      </c>
      <c r="AB46" s="110">
        <v>29.71</v>
      </c>
      <c r="AC46" s="2">
        <f t="shared" si="2"/>
        <v>0.42999999999999972</v>
      </c>
      <c r="AD46" s="148">
        <f t="shared" si="3"/>
        <v>5.4145516074450839E-3</v>
      </c>
    </row>
    <row r="47" spans="2:30" x14ac:dyDescent="0.25">
      <c r="O47" s="93">
        <v>1.04</v>
      </c>
      <c r="P47" s="93">
        <f t="shared" si="4"/>
        <v>33.748000000000005</v>
      </c>
      <c r="Q47" s="2"/>
      <c r="S47" s="97" t="s">
        <v>107</v>
      </c>
      <c r="T47" s="99" t="s">
        <v>211</v>
      </c>
      <c r="V47" s="109">
        <v>42396</v>
      </c>
      <c r="W47" s="113">
        <v>29.88</v>
      </c>
      <c r="X47" s="113">
        <v>30.22</v>
      </c>
      <c r="Y47" s="113">
        <v>29.64</v>
      </c>
      <c r="Z47" s="113">
        <v>29.81</v>
      </c>
      <c r="AA47" s="111">
        <v>26384100</v>
      </c>
      <c r="AB47" s="110">
        <v>29.55</v>
      </c>
      <c r="AC47" s="2">
        <f t="shared" si="2"/>
        <v>0.57999999999999829</v>
      </c>
      <c r="AD47" s="148">
        <f t="shared" si="3"/>
        <v>-4.3800539083557188E-3</v>
      </c>
    </row>
    <row r="48" spans="2:30" x14ac:dyDescent="0.25">
      <c r="O48" s="93">
        <v>1.03</v>
      </c>
      <c r="P48" s="93">
        <f t="shared" si="4"/>
        <v>33.423500000000004</v>
      </c>
      <c r="Q48" s="2"/>
      <c r="S48" s="97"/>
      <c r="T48" s="98"/>
      <c r="V48" s="109">
        <v>42395</v>
      </c>
      <c r="W48" s="113">
        <v>29.61</v>
      </c>
      <c r="X48" s="113">
        <v>30.05</v>
      </c>
      <c r="Y48" s="113">
        <v>29.61</v>
      </c>
      <c r="Z48" s="113">
        <v>29.94</v>
      </c>
      <c r="AA48" s="111">
        <v>24754900</v>
      </c>
      <c r="AB48" s="110">
        <v>29.68</v>
      </c>
      <c r="AC48" s="2">
        <f t="shared" si="2"/>
        <v>0.44000000000000128</v>
      </c>
      <c r="AD48" s="148">
        <f t="shared" si="3"/>
        <v>1.1588275391956282E-2</v>
      </c>
    </row>
    <row r="49" spans="15:30" x14ac:dyDescent="0.25">
      <c r="O49" s="93">
        <v>1.02</v>
      </c>
      <c r="P49" s="93">
        <f t="shared" si="4"/>
        <v>33.099000000000004</v>
      </c>
      <c r="Q49" s="2"/>
      <c r="S49" s="97" t="s">
        <v>108</v>
      </c>
      <c r="T49" s="98" t="s">
        <v>282</v>
      </c>
      <c r="V49" s="109">
        <v>42394</v>
      </c>
      <c r="W49" s="113">
        <v>29.99</v>
      </c>
      <c r="X49" s="113">
        <v>30.22</v>
      </c>
      <c r="Y49" s="113">
        <v>29.57</v>
      </c>
      <c r="Z49" s="113">
        <v>29.6</v>
      </c>
      <c r="AA49" s="111">
        <v>26441000</v>
      </c>
      <c r="AB49" s="110">
        <v>29.34</v>
      </c>
      <c r="AC49" s="2">
        <f t="shared" si="2"/>
        <v>0.64999999999999858</v>
      </c>
      <c r="AD49" s="148">
        <f t="shared" si="3"/>
        <v>-1.1122345803842304E-2</v>
      </c>
    </row>
    <row r="50" spans="15:30" x14ac:dyDescent="0.25">
      <c r="O50" s="93">
        <v>1.01</v>
      </c>
      <c r="P50" s="93">
        <f t="shared" si="4"/>
        <v>32.774500000000003</v>
      </c>
      <c r="Q50" s="2"/>
      <c r="S50" s="97" t="s">
        <v>109</v>
      </c>
      <c r="T50" s="98" t="s">
        <v>212</v>
      </c>
      <c r="V50" s="109">
        <v>42391</v>
      </c>
      <c r="W50" s="113">
        <v>30.12</v>
      </c>
      <c r="X50" s="113">
        <v>30.24</v>
      </c>
      <c r="Y50" s="113">
        <v>29.51</v>
      </c>
      <c r="Z50" s="113">
        <v>29.93</v>
      </c>
      <c r="AA50" s="111">
        <v>25326500</v>
      </c>
      <c r="AB50" s="110">
        <v>29.67</v>
      </c>
      <c r="AC50" s="2">
        <f t="shared" si="2"/>
        <v>0.72999999999999687</v>
      </c>
      <c r="AD50" s="148">
        <f t="shared" si="3"/>
        <v>9.1836734693877542E-3</v>
      </c>
    </row>
    <row r="51" spans="15:30" x14ac:dyDescent="0.25">
      <c r="O51" s="93">
        <v>1</v>
      </c>
      <c r="P51" s="93">
        <f t="shared" si="4"/>
        <v>32.450000000000003</v>
      </c>
      <c r="Q51" s="2"/>
      <c r="S51" s="97" t="s">
        <v>110</v>
      </c>
      <c r="T51" s="100">
        <v>16598019</v>
      </c>
      <c r="V51" s="109">
        <v>42390</v>
      </c>
      <c r="W51" s="113">
        <v>29.65</v>
      </c>
      <c r="X51" s="113">
        <v>30.03</v>
      </c>
      <c r="Y51" s="113">
        <v>29.24</v>
      </c>
      <c r="Z51" s="113">
        <v>29.66</v>
      </c>
      <c r="AA51" s="111">
        <v>30157400</v>
      </c>
      <c r="AB51" s="110">
        <v>29.4</v>
      </c>
      <c r="AC51" s="2">
        <f t="shared" si="2"/>
        <v>0.7900000000000027</v>
      </c>
      <c r="AD51" s="148">
        <f t="shared" si="3"/>
        <v>2.3866348448686736E-3</v>
      </c>
    </row>
    <row r="52" spans="15:30" x14ac:dyDescent="0.25">
      <c r="O52" s="93">
        <v>0.99</v>
      </c>
      <c r="P52" s="93">
        <f t="shared" si="4"/>
        <v>32.125500000000002</v>
      </c>
      <c r="Q52" s="2"/>
      <c r="S52" s="97" t="s">
        <v>113</v>
      </c>
      <c r="T52" s="100">
        <v>26402600</v>
      </c>
      <c r="V52" s="109">
        <v>42389</v>
      </c>
      <c r="W52" s="113">
        <v>29.35</v>
      </c>
      <c r="X52" s="113">
        <v>29.87</v>
      </c>
      <c r="Y52" s="113">
        <v>29.21</v>
      </c>
      <c r="Z52" s="113">
        <v>29.59</v>
      </c>
      <c r="AA52" s="111">
        <v>39598200</v>
      </c>
      <c r="AB52" s="110">
        <v>29.33</v>
      </c>
      <c r="AC52" s="2">
        <f t="shared" si="2"/>
        <v>0.66000000000000014</v>
      </c>
      <c r="AD52" s="148">
        <f t="shared" si="3"/>
        <v>-7.1090047393365108E-3</v>
      </c>
    </row>
    <row r="53" spans="15:30" x14ac:dyDescent="0.25">
      <c r="O53" s="93">
        <v>0.98</v>
      </c>
      <c r="P53" s="93">
        <f t="shared" si="4"/>
        <v>31.801000000000002</v>
      </c>
      <c r="Q53" s="2"/>
      <c r="S53" s="97" t="s">
        <v>111</v>
      </c>
      <c r="T53" s="98" t="s">
        <v>283</v>
      </c>
      <c r="V53" s="109">
        <v>42388</v>
      </c>
      <c r="W53" s="113">
        <v>29.98</v>
      </c>
      <c r="X53" s="113">
        <v>30.06</v>
      </c>
      <c r="Y53" s="113">
        <v>29.48</v>
      </c>
      <c r="Z53" s="113">
        <v>29.8</v>
      </c>
      <c r="AA53" s="111">
        <v>28878100</v>
      </c>
      <c r="AB53" s="110">
        <v>29.54</v>
      </c>
      <c r="AC53" s="2">
        <f t="shared" si="2"/>
        <v>0.57999999999999829</v>
      </c>
      <c r="AD53" s="148">
        <f t="shared" si="3"/>
        <v>1.3559322033898091E-3</v>
      </c>
    </row>
    <row r="54" spans="15:30" x14ac:dyDescent="0.25">
      <c r="O54" s="93">
        <v>0.97</v>
      </c>
      <c r="P54" s="93">
        <f t="shared" si="4"/>
        <v>31.476500000000001</v>
      </c>
      <c r="S54" s="97" t="s">
        <v>114</v>
      </c>
      <c r="T54" s="98">
        <v>14.04</v>
      </c>
      <c r="V54" s="109">
        <v>42384</v>
      </c>
      <c r="W54" s="113">
        <v>29.73</v>
      </c>
      <c r="X54" s="113">
        <v>30.5</v>
      </c>
      <c r="Y54" s="113">
        <v>29.45</v>
      </c>
      <c r="Z54" s="113">
        <v>29.76</v>
      </c>
      <c r="AA54" s="111">
        <v>76373900</v>
      </c>
      <c r="AB54" s="110">
        <v>29.5</v>
      </c>
      <c r="AC54" s="2">
        <f t="shared" si="2"/>
        <v>1.0500000000000007</v>
      </c>
      <c r="AD54" s="148">
        <f t="shared" si="3"/>
        <v>-9.0909090909090939E-2</v>
      </c>
    </row>
    <row r="55" spans="15:30" x14ac:dyDescent="0.25">
      <c r="O55" s="93">
        <v>0.96</v>
      </c>
      <c r="P55" s="93">
        <f t="shared" si="4"/>
        <v>31.152000000000001</v>
      </c>
      <c r="S55" s="97" t="s">
        <v>115</v>
      </c>
      <c r="T55" s="98">
        <v>2.33</v>
      </c>
      <c r="V55" s="109">
        <v>42383</v>
      </c>
      <c r="W55" s="113">
        <v>31.97</v>
      </c>
      <c r="X55" s="113">
        <v>32.869999999999997</v>
      </c>
      <c r="Y55" s="113">
        <v>31.8</v>
      </c>
      <c r="Z55" s="113">
        <v>32.74</v>
      </c>
      <c r="AA55" s="111">
        <v>48728200</v>
      </c>
      <c r="AB55" s="110">
        <v>32.450000000000003</v>
      </c>
      <c r="AC55" s="2">
        <f t="shared" si="2"/>
        <v>1.0699999999999967</v>
      </c>
      <c r="AD55" s="148">
        <f t="shared" si="3"/>
        <v>2.5924754979449904E-2</v>
      </c>
    </row>
    <row r="56" spans="15:30" x14ac:dyDescent="0.25">
      <c r="O56" s="93">
        <v>0.95</v>
      </c>
      <c r="P56" s="93">
        <f t="shared" si="4"/>
        <v>30.827500000000001</v>
      </c>
      <c r="S56" s="97" t="s">
        <v>112</v>
      </c>
      <c r="T56" s="98" t="s">
        <v>284</v>
      </c>
      <c r="V56" s="109">
        <v>42382</v>
      </c>
      <c r="W56" s="113">
        <v>32.76</v>
      </c>
      <c r="X56" s="113">
        <v>32.93</v>
      </c>
      <c r="Y56" s="113">
        <v>31.83</v>
      </c>
      <c r="Z56" s="113">
        <v>31.91</v>
      </c>
      <c r="AA56" s="111">
        <v>34445700</v>
      </c>
      <c r="AB56" s="110">
        <v>31.63</v>
      </c>
      <c r="AC56" s="2">
        <f t="shared" si="2"/>
        <v>1.1000000000000014</v>
      </c>
      <c r="AD56" s="148">
        <f t="shared" si="3"/>
        <v>-2.3464032108675537E-2</v>
      </c>
    </row>
    <row r="57" spans="15:30" x14ac:dyDescent="0.25">
      <c r="O57" s="93">
        <v>0.94</v>
      </c>
      <c r="P57" s="93">
        <f t="shared" si="4"/>
        <v>30.503</v>
      </c>
      <c r="V57" s="109">
        <v>42381</v>
      </c>
      <c r="W57" s="113">
        <v>32.76</v>
      </c>
      <c r="X57" s="113">
        <v>32.89</v>
      </c>
      <c r="Y57" s="113">
        <v>32.270000000000003</v>
      </c>
      <c r="Z57" s="113">
        <v>32.68</v>
      </c>
      <c r="AA57" s="111">
        <v>28587700</v>
      </c>
      <c r="AB57" s="110">
        <v>32.39</v>
      </c>
      <c r="AC57" s="2">
        <f t="shared" si="2"/>
        <v>0.61999999999999744</v>
      </c>
      <c r="AD57" s="148">
        <f t="shared" si="3"/>
        <v>1.919446192573937E-2</v>
      </c>
    </row>
    <row r="58" spans="15:30" x14ac:dyDescent="0.25">
      <c r="O58" s="93">
        <v>0.93</v>
      </c>
      <c r="P58" s="93">
        <f t="shared" si="4"/>
        <v>30.178500000000003</v>
      </c>
      <c r="V58" s="109">
        <v>42380</v>
      </c>
      <c r="W58" s="113">
        <v>31.81</v>
      </c>
      <c r="X58" s="113">
        <v>32.22</v>
      </c>
      <c r="Y58" s="113">
        <v>31.68</v>
      </c>
      <c r="Z58" s="113">
        <v>32.06</v>
      </c>
      <c r="AA58" s="111">
        <v>27732400</v>
      </c>
      <c r="AB58" s="110">
        <v>31.78</v>
      </c>
      <c r="AC58" s="2">
        <f t="shared" si="2"/>
        <v>0.53999999999999915</v>
      </c>
      <c r="AD58" s="148">
        <f t="shared" si="3"/>
        <v>1.7285531370038409E-2</v>
      </c>
    </row>
    <row r="59" spans="15:30" x14ac:dyDescent="0.25">
      <c r="O59" s="93">
        <v>0.92</v>
      </c>
      <c r="P59" s="93">
        <f t="shared" si="4"/>
        <v>29.854000000000003</v>
      </c>
      <c r="V59" s="109">
        <v>42377</v>
      </c>
      <c r="W59" s="113">
        <v>32.090000000000003</v>
      </c>
      <c r="X59" s="113">
        <v>32.22</v>
      </c>
      <c r="Y59" s="113">
        <v>31.43</v>
      </c>
      <c r="Z59" s="113">
        <v>31.51</v>
      </c>
      <c r="AA59" s="111">
        <v>29953800</v>
      </c>
      <c r="AB59" s="110">
        <v>31.24</v>
      </c>
      <c r="AC59" s="2">
        <f t="shared" si="2"/>
        <v>0.78999999999999915</v>
      </c>
      <c r="AD59" s="148">
        <f t="shared" si="3"/>
        <v>-1.0139416983523497E-2</v>
      </c>
    </row>
    <row r="60" spans="15:30" x14ac:dyDescent="0.25">
      <c r="O60" s="93">
        <v>0.91</v>
      </c>
      <c r="P60" s="93">
        <f t="shared" si="4"/>
        <v>29.529500000000002</v>
      </c>
      <c r="V60" s="109">
        <v>42376</v>
      </c>
      <c r="W60" s="113">
        <v>32.28</v>
      </c>
      <c r="X60" s="113">
        <v>33.01</v>
      </c>
      <c r="Y60" s="113">
        <v>31.84</v>
      </c>
      <c r="Z60" s="113">
        <v>31.84</v>
      </c>
      <c r="AA60" s="111">
        <v>37680500</v>
      </c>
      <c r="AB60" s="110">
        <v>31.56</v>
      </c>
      <c r="AC60" s="2">
        <f t="shared" si="2"/>
        <v>1.1699999999999982</v>
      </c>
      <c r="AD60" s="148">
        <f t="shared" si="3"/>
        <v>-3.7511436413540711E-2</v>
      </c>
    </row>
    <row r="61" spans="15:30" x14ac:dyDescent="0.25">
      <c r="O61" s="93">
        <v>0.9</v>
      </c>
      <c r="P61" s="93">
        <f t="shared" si="4"/>
        <v>29.205000000000002</v>
      </c>
      <c r="V61" s="109">
        <v>42375</v>
      </c>
      <c r="W61" s="113">
        <v>33.25</v>
      </c>
      <c r="X61" s="113">
        <v>33.520000000000003</v>
      </c>
      <c r="Y61" s="113">
        <v>32.799999999999997</v>
      </c>
      <c r="Z61" s="113">
        <v>33.08</v>
      </c>
      <c r="AA61" s="111">
        <v>25491300</v>
      </c>
      <c r="AB61" s="110">
        <v>32.79</v>
      </c>
      <c r="AC61" s="2">
        <f t="shared" si="2"/>
        <v>0.72000000000000597</v>
      </c>
      <c r="AD61" s="148">
        <f t="shared" si="3"/>
        <v>-2.2069788249329036E-2</v>
      </c>
    </row>
    <row r="62" spans="15:30" x14ac:dyDescent="0.25">
      <c r="V62" s="109">
        <v>42374</v>
      </c>
      <c r="W62" s="113">
        <v>33.96</v>
      </c>
      <c r="X62" s="113">
        <v>34</v>
      </c>
      <c r="Y62" s="113">
        <v>33.53</v>
      </c>
      <c r="Z62" s="113">
        <v>33.83</v>
      </c>
      <c r="AA62" s="111">
        <v>16709500</v>
      </c>
      <c r="AB62" s="110">
        <v>33.53</v>
      </c>
      <c r="AC62" s="2">
        <f t="shared" si="2"/>
        <v>0.46999999999999886</v>
      </c>
      <c r="AD62" s="148">
        <f t="shared" si="3"/>
        <v>-4.7491837340456478E-3</v>
      </c>
    </row>
    <row r="63" spans="15:30" x14ac:dyDescent="0.25">
      <c r="V63" s="109">
        <v>42373</v>
      </c>
      <c r="W63" s="113">
        <v>33.880000000000003</v>
      </c>
      <c r="X63" s="113">
        <v>34.01</v>
      </c>
      <c r="Y63" s="113">
        <v>33.46</v>
      </c>
      <c r="Z63" s="113">
        <v>33.99</v>
      </c>
      <c r="AA63" s="111">
        <v>27882200</v>
      </c>
      <c r="AB63" s="110">
        <v>33.69</v>
      </c>
      <c r="AC63" s="2">
        <f t="shared" si="2"/>
        <v>0.54999999999999716</v>
      </c>
      <c r="AD63" s="148">
        <f t="shared" si="3"/>
        <v>-1.3469985358711578E-2</v>
      </c>
    </row>
    <row r="64" spans="15:30" x14ac:dyDescent="0.25">
      <c r="V64" s="109">
        <v>42369</v>
      </c>
      <c r="W64" s="113">
        <v>34.82</v>
      </c>
      <c r="X64" s="113">
        <v>34.96</v>
      </c>
      <c r="Y64" s="113">
        <v>34.44</v>
      </c>
      <c r="Z64" s="113">
        <v>34.450000000000003</v>
      </c>
      <c r="AA64" s="111">
        <v>14736700</v>
      </c>
      <c r="AB64" s="110">
        <v>34.15</v>
      </c>
      <c r="AC64" s="2">
        <f t="shared" si="2"/>
        <v>0.52000000000000313</v>
      </c>
      <c r="AD64" s="148">
        <f t="shared" si="3"/>
        <v>-1.5282583621683998E-2</v>
      </c>
    </row>
    <row r="65" spans="22:30" x14ac:dyDescent="0.25">
      <c r="V65" s="109">
        <v>42368</v>
      </c>
      <c r="W65" s="113">
        <v>35.380000000000003</v>
      </c>
      <c r="X65" s="113">
        <v>35.450000000000003</v>
      </c>
      <c r="Y65" s="113">
        <v>34.950000000000003</v>
      </c>
      <c r="Z65" s="113">
        <v>34.99</v>
      </c>
      <c r="AA65" s="111">
        <v>11566800</v>
      </c>
      <c r="AB65" s="110">
        <v>34.68</v>
      </c>
      <c r="AC65" s="2">
        <f t="shared" si="2"/>
        <v>0.5</v>
      </c>
      <c r="AD65" s="148">
        <f t="shared" si="3"/>
        <v>-1.2809564474807966E-2</v>
      </c>
    </row>
    <row r="66" spans="22:30" x14ac:dyDescent="0.25">
      <c r="V66" s="109">
        <v>42367</v>
      </c>
      <c r="W66" s="113">
        <v>35.01</v>
      </c>
      <c r="X66" s="113">
        <v>35.590000000000003</v>
      </c>
      <c r="Y66" s="113">
        <v>35.01</v>
      </c>
      <c r="Z66" s="113">
        <v>35.44</v>
      </c>
      <c r="AA66" s="111">
        <v>14188600</v>
      </c>
      <c r="AB66" s="110">
        <v>35.130000000000003</v>
      </c>
      <c r="AC66" s="2">
        <f t="shared" si="2"/>
        <v>0.5800000000000054</v>
      </c>
      <c r="AD66" s="148">
        <f t="shared" si="3"/>
        <v>1.4438348252959754E-2</v>
      </c>
    </row>
    <row r="67" spans="22:30" x14ac:dyDescent="0.25">
      <c r="V67" s="109">
        <v>42366</v>
      </c>
      <c r="W67" s="113">
        <v>34.950000000000003</v>
      </c>
      <c r="X67" s="113">
        <v>35</v>
      </c>
      <c r="Y67" s="113">
        <v>34.57</v>
      </c>
      <c r="Z67" s="113">
        <v>34.93</v>
      </c>
      <c r="AA67" s="111">
        <v>9449400</v>
      </c>
      <c r="AB67" s="110">
        <v>34.630000000000003</v>
      </c>
      <c r="AC67" s="2">
        <f>X67-Y67</f>
        <v>0.42999999999999972</v>
      </c>
      <c r="AD67" s="148">
        <f>AB67/AB68-1</f>
        <v>-1.1537352177675153E-3</v>
      </c>
    </row>
    <row r="68" spans="22:30" x14ac:dyDescent="0.25">
      <c r="V68" s="109">
        <v>42362</v>
      </c>
      <c r="W68" s="113">
        <v>35.07</v>
      </c>
      <c r="X68" s="113">
        <v>35.26</v>
      </c>
      <c r="Y68" s="113">
        <v>34.96</v>
      </c>
      <c r="Z68" s="113">
        <v>34.979999999999997</v>
      </c>
      <c r="AA68" s="111">
        <v>5893800</v>
      </c>
      <c r="AB68" s="110">
        <v>34.67</v>
      </c>
      <c r="AC68" s="2">
        <f>X68-Y68</f>
        <v>0.29999999999999716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45" priority="12">
      <formula>Q7&gt;0</formula>
    </cfRule>
    <cfRule type="expression" dxfId="34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43" priority="3">
      <formula>F26&gt;0</formula>
    </cfRule>
    <cfRule type="expression" dxfId="342" priority="4">
      <formula>F26&lt;0</formula>
    </cfRule>
  </conditionalFormatting>
  <conditionalFormatting sqref="F27">
    <cfRule type="expression" dxfId="341" priority="1">
      <formula>F27&gt;0</formula>
    </cfRule>
    <cfRule type="expression" dxfId="34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3" si="1">H2*I2-J2</f>
        <v>1501.22</v>
      </c>
      <c r="L2" s="1">
        <v>42185</v>
      </c>
      <c r="M2" s="2">
        <v>5</v>
      </c>
      <c r="O2" s="13" t="s">
        <v>57</v>
      </c>
      <c r="Q2">
        <f>C53-H53</f>
        <v>50</v>
      </c>
      <c r="W2" s="120">
        <v>42460</v>
      </c>
      <c r="X2" s="44">
        <v>50.73</v>
      </c>
      <c r="Y2" s="44">
        <v>52.96</v>
      </c>
      <c r="Z2" s="44">
        <v>50.52</v>
      </c>
      <c r="AA2" s="44">
        <v>52.65</v>
      </c>
      <c r="AB2" s="114">
        <v>4256800</v>
      </c>
      <c r="AC2" s="44">
        <v>52.65</v>
      </c>
      <c r="AD2" s="2">
        <f>Y2-Z2</f>
        <v>2.4399999999999977</v>
      </c>
      <c r="AE2" s="148">
        <f>AC2/AC3-1</f>
        <v>3.2960565038257839E-2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-2.1340000000008148</v>
      </c>
      <c r="W3" s="120">
        <v>42459</v>
      </c>
      <c r="X3" s="44">
        <v>51.6</v>
      </c>
      <c r="Y3" s="44">
        <v>52.03</v>
      </c>
      <c r="Z3" s="44">
        <v>50.26</v>
      </c>
      <c r="AA3" s="44">
        <v>50.97</v>
      </c>
      <c r="AB3" s="114">
        <v>3260000</v>
      </c>
      <c r="AC3" s="44">
        <v>50.97</v>
      </c>
      <c r="AD3" s="2">
        <f t="shared" ref="AD3:AD66" si="2">Y3-Z3</f>
        <v>1.7700000000000031</v>
      </c>
      <c r="AE3" s="148">
        <f t="shared" ref="AE3:AE66" si="3">AC3/AC4-1</f>
        <v>1.1309523809523769E-2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52.03</v>
      </c>
      <c r="T4" s="134"/>
      <c r="U4" s="33"/>
      <c r="V4" s="38"/>
      <c r="W4" s="120">
        <v>42458</v>
      </c>
      <c r="X4" s="44">
        <v>49.65</v>
      </c>
      <c r="Y4" s="44">
        <v>50.42</v>
      </c>
      <c r="Z4" s="44">
        <v>48.9</v>
      </c>
      <c r="AA4" s="44">
        <v>50.4</v>
      </c>
      <c r="AB4" s="114">
        <v>4428700</v>
      </c>
      <c r="AC4" s="44">
        <v>50.4</v>
      </c>
      <c r="AD4" s="2">
        <f t="shared" si="2"/>
        <v>1.5200000000000031</v>
      </c>
      <c r="AE4" s="148">
        <f t="shared" si="3"/>
        <v>-8.6546026750591309E-3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2601.5</v>
      </c>
      <c r="W5" s="120">
        <v>42457</v>
      </c>
      <c r="X5" s="44">
        <v>52.49</v>
      </c>
      <c r="Y5" s="44">
        <v>52.59</v>
      </c>
      <c r="Z5" s="44">
        <v>50.23</v>
      </c>
      <c r="AA5" s="44">
        <v>50.84</v>
      </c>
      <c r="AB5" s="114">
        <v>3843900</v>
      </c>
      <c r="AC5" s="44">
        <v>50.84</v>
      </c>
      <c r="AD5" s="2">
        <f t="shared" si="2"/>
        <v>2.3600000000000065</v>
      </c>
      <c r="AE5" s="148">
        <f t="shared" si="3"/>
        <v>-2.4184261036468313E-2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-106.70000000004075</v>
      </c>
      <c r="W6" s="120">
        <v>42453</v>
      </c>
      <c r="X6" s="44">
        <v>50.18</v>
      </c>
      <c r="Y6" s="44">
        <v>52.27</v>
      </c>
      <c r="Z6" s="44">
        <v>49.7</v>
      </c>
      <c r="AA6" s="44">
        <v>52.1</v>
      </c>
      <c r="AB6" s="114">
        <v>4204900</v>
      </c>
      <c r="AC6" s="44">
        <v>52.1</v>
      </c>
      <c r="AD6" s="2">
        <f t="shared" si="2"/>
        <v>2.5700000000000003</v>
      </c>
      <c r="AE6" s="148">
        <f t="shared" si="3"/>
        <v>9.6899224806201723E-3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2708.2000000000407</v>
      </c>
      <c r="R7" s="207"/>
      <c r="W7" s="120">
        <v>42452</v>
      </c>
      <c r="X7" s="44">
        <v>53.08</v>
      </c>
      <c r="Y7" s="44">
        <v>53.3</v>
      </c>
      <c r="Z7" s="44">
        <v>51.45</v>
      </c>
      <c r="AA7" s="44">
        <v>51.6</v>
      </c>
      <c r="AB7" s="114">
        <v>4231700</v>
      </c>
      <c r="AC7" s="44">
        <v>51.6</v>
      </c>
      <c r="AD7" s="2">
        <f t="shared" si="2"/>
        <v>1.8499999999999943</v>
      </c>
      <c r="AE7" s="148">
        <f t="shared" si="3"/>
        <v>-3.9106145251396662E-2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-25.381443298959766</v>
      </c>
      <c r="W8" s="120">
        <v>42451</v>
      </c>
      <c r="X8" s="44">
        <v>53.66</v>
      </c>
      <c r="Y8" s="44">
        <v>54.83</v>
      </c>
      <c r="Z8" s="44">
        <v>53.45</v>
      </c>
      <c r="AA8" s="44">
        <v>53.7</v>
      </c>
      <c r="AB8" s="114">
        <v>3324300</v>
      </c>
      <c r="AC8" s="44">
        <v>53.7</v>
      </c>
      <c r="AD8" s="2">
        <f t="shared" si="2"/>
        <v>1.3799999999999955</v>
      </c>
      <c r="AE8" s="148">
        <f t="shared" si="3"/>
        <v>-2.6002971768201988E-3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42450</v>
      </c>
      <c r="X9" s="44">
        <v>53.4</v>
      </c>
      <c r="Y9" s="44">
        <v>54.51</v>
      </c>
      <c r="Z9" s="44">
        <v>52.22</v>
      </c>
      <c r="AA9" s="44">
        <v>53.84</v>
      </c>
      <c r="AB9" s="114">
        <v>4670800</v>
      </c>
      <c r="AC9" s="44">
        <v>53.84</v>
      </c>
      <c r="AD9" s="2">
        <f t="shared" si="2"/>
        <v>2.2899999999999991</v>
      </c>
      <c r="AE9" s="148">
        <f t="shared" si="3"/>
        <v>-1.1131725417439231E-3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42447</v>
      </c>
      <c r="X10" s="44">
        <v>54.5</v>
      </c>
      <c r="Y10" s="44">
        <v>54.65</v>
      </c>
      <c r="Z10" s="44">
        <v>53.02</v>
      </c>
      <c r="AA10" s="44">
        <v>53.9</v>
      </c>
      <c r="AB10" s="114">
        <v>6903500</v>
      </c>
      <c r="AC10" s="44">
        <v>53.9</v>
      </c>
      <c r="AD10" s="2">
        <f t="shared" si="2"/>
        <v>1.6299999999999955</v>
      </c>
      <c r="AE10" s="148">
        <f t="shared" si="3"/>
        <v>1.334837375446507E-2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42446</v>
      </c>
      <c r="X11" s="44">
        <v>52.29</v>
      </c>
      <c r="Y11" s="44">
        <v>54.18</v>
      </c>
      <c r="Z11" s="44">
        <v>51.94</v>
      </c>
      <c r="AA11" s="44">
        <v>53.19</v>
      </c>
      <c r="AB11" s="114">
        <v>5925500</v>
      </c>
      <c r="AC11" s="44">
        <v>53.19</v>
      </c>
      <c r="AD11" s="2">
        <f t="shared" si="2"/>
        <v>2.240000000000002</v>
      </c>
      <c r="AE11" s="148">
        <f t="shared" si="3"/>
        <v>2.6239629558170829E-2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42445</v>
      </c>
      <c r="X12" s="44">
        <v>50.65</v>
      </c>
      <c r="Y12" s="44">
        <v>51.98</v>
      </c>
      <c r="Z12" s="44">
        <v>49.92</v>
      </c>
      <c r="AA12" s="44">
        <v>51.83</v>
      </c>
      <c r="AB12" s="114">
        <v>4007200</v>
      </c>
      <c r="AC12" s="44">
        <v>51.83</v>
      </c>
      <c r="AD12" s="2">
        <f t="shared" si="2"/>
        <v>2.0599999999999952</v>
      </c>
      <c r="AE12" s="148">
        <f t="shared" si="3"/>
        <v>3.3087502491528697E-2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42444</v>
      </c>
      <c r="X13" s="44">
        <v>48.82</v>
      </c>
      <c r="Y13" s="44">
        <v>50.28</v>
      </c>
      <c r="Z13" s="44">
        <v>48.17</v>
      </c>
      <c r="AA13" s="44">
        <v>50.17</v>
      </c>
      <c r="AB13" s="114">
        <v>3496400</v>
      </c>
      <c r="AC13" s="44">
        <v>50.17</v>
      </c>
      <c r="AD13" s="2">
        <f t="shared" si="2"/>
        <v>2.1099999999999994</v>
      </c>
      <c r="AE13" s="148" t="e">
        <f t="shared" si="3"/>
        <v>#DIV/0!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42444</v>
      </c>
      <c r="X14" s="44" t="s">
        <v>130</v>
      </c>
      <c r="Y14" s="44"/>
      <c r="Z14" s="44"/>
      <c r="AA14" s="44"/>
      <c r="AB14" s="114"/>
      <c r="AC14" s="44"/>
      <c r="AD14" s="2">
        <f t="shared" si="2"/>
        <v>0</v>
      </c>
      <c r="AE14" s="148">
        <f t="shared" si="3"/>
        <v>-1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42443</v>
      </c>
      <c r="X15" s="44">
        <v>50</v>
      </c>
      <c r="Y15" s="44">
        <v>50.65</v>
      </c>
      <c r="Z15" s="44">
        <v>49.08</v>
      </c>
      <c r="AA15" s="44">
        <v>50.2</v>
      </c>
      <c r="AB15" s="114">
        <v>4332600</v>
      </c>
      <c r="AC15" s="44">
        <v>49.95</v>
      </c>
      <c r="AD15" s="2">
        <f t="shared" si="2"/>
        <v>1.5700000000000003</v>
      </c>
      <c r="AE15" s="148">
        <f t="shared" si="3"/>
        <v>-2.0588235294117574E-2</v>
      </c>
    </row>
    <row r="16" spans="1:40" x14ac:dyDescent="0.25">
      <c r="B16" s="425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42440</v>
      </c>
      <c r="X16" s="44">
        <v>49.32</v>
      </c>
      <c r="Y16" s="44">
        <v>51.95</v>
      </c>
      <c r="Z16" s="44">
        <v>49.28</v>
      </c>
      <c r="AA16" s="44">
        <v>51.26</v>
      </c>
      <c r="AB16" s="114">
        <v>7686200</v>
      </c>
      <c r="AC16" s="44">
        <v>51</v>
      </c>
      <c r="AD16" s="2">
        <f t="shared" si="2"/>
        <v>2.6700000000000017</v>
      </c>
      <c r="AE16" s="148">
        <f t="shared" si="3"/>
        <v>6.1836352279825091E-2</v>
      </c>
    </row>
    <row r="17" spans="2:31" x14ac:dyDescent="0.25">
      <c r="B17" s="425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42439</v>
      </c>
      <c r="X17" s="44">
        <v>47.15</v>
      </c>
      <c r="Y17" s="44">
        <v>48.36</v>
      </c>
      <c r="Z17" s="44">
        <v>45.99</v>
      </c>
      <c r="AA17" s="44">
        <v>48.27</v>
      </c>
      <c r="AB17" s="114">
        <v>5524200</v>
      </c>
      <c r="AC17" s="44">
        <v>48.03</v>
      </c>
      <c r="AD17" s="2">
        <f t="shared" si="2"/>
        <v>2.3699999999999974</v>
      </c>
      <c r="AE17" s="148">
        <f t="shared" si="3"/>
        <v>2.5186766275346884E-2</v>
      </c>
    </row>
    <row r="18" spans="2:31" x14ac:dyDescent="0.25">
      <c r="B18" s="419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42438</v>
      </c>
      <c r="X18" s="44">
        <v>47.68</v>
      </c>
      <c r="Y18" s="44">
        <v>48.21</v>
      </c>
      <c r="Z18" s="44">
        <v>46.23</v>
      </c>
      <c r="AA18" s="44">
        <v>47.08</v>
      </c>
      <c r="AB18" s="114">
        <v>4652700</v>
      </c>
      <c r="AC18" s="44">
        <v>46.85</v>
      </c>
      <c r="AD18" s="2">
        <f t="shared" si="2"/>
        <v>1.980000000000004</v>
      </c>
      <c r="AE18" s="148">
        <f t="shared" si="3"/>
        <v>6.877283473028184E-3</v>
      </c>
    </row>
    <row r="19" spans="2:31" x14ac:dyDescent="0.25">
      <c r="B19" s="419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42437</v>
      </c>
      <c r="X19" s="44">
        <v>48.84</v>
      </c>
      <c r="Y19" s="44">
        <v>48.96</v>
      </c>
      <c r="Z19" s="44">
        <v>46.53</v>
      </c>
      <c r="AA19" s="44">
        <v>46.76</v>
      </c>
      <c r="AB19" s="114">
        <v>5907300</v>
      </c>
      <c r="AC19" s="44">
        <v>46.53</v>
      </c>
      <c r="AD19" s="2">
        <f t="shared" si="2"/>
        <v>2.4299999999999997</v>
      </c>
      <c r="AE19" s="148">
        <f t="shared" si="3"/>
        <v>-5.098919029165816E-2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42436</v>
      </c>
      <c r="X20" s="44">
        <v>48.51</v>
      </c>
      <c r="Y20" s="44">
        <v>49.88</v>
      </c>
      <c r="Z20" s="44">
        <v>47.96</v>
      </c>
      <c r="AA20" s="44">
        <v>49.28</v>
      </c>
      <c r="AB20" s="114">
        <v>8473500</v>
      </c>
      <c r="AC20" s="44">
        <v>49.03</v>
      </c>
      <c r="AD20" s="2">
        <f t="shared" si="2"/>
        <v>1.9200000000000017</v>
      </c>
      <c r="AE20" s="148">
        <f t="shared" si="3"/>
        <v>1.8276220145378996E-2</v>
      </c>
    </row>
    <row r="21" spans="2:31" x14ac:dyDescent="0.25">
      <c r="B21" s="419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42433</v>
      </c>
      <c r="X21" s="44">
        <v>49.17</v>
      </c>
      <c r="Y21" s="44">
        <v>50.54</v>
      </c>
      <c r="Z21" s="44">
        <v>47.61</v>
      </c>
      <c r="AA21" s="44">
        <v>48.39</v>
      </c>
      <c r="AB21" s="114">
        <v>7051900</v>
      </c>
      <c r="AC21" s="44">
        <v>48.15</v>
      </c>
      <c r="AD21" s="2">
        <f t="shared" si="2"/>
        <v>2.9299999999999997</v>
      </c>
      <c r="AE21" s="148">
        <f t="shared" si="3"/>
        <v>8.1658291457287202E-3</v>
      </c>
    </row>
    <row r="22" spans="2:31" x14ac:dyDescent="0.25">
      <c r="B22" s="419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42432</v>
      </c>
      <c r="X22" s="44">
        <v>46.6</v>
      </c>
      <c r="Y22" s="44">
        <v>48.24</v>
      </c>
      <c r="Z22" s="44">
        <v>46.25</v>
      </c>
      <c r="AA22" s="44">
        <v>48</v>
      </c>
      <c r="AB22" s="114">
        <v>5752600</v>
      </c>
      <c r="AC22" s="44">
        <v>47.76</v>
      </c>
      <c r="AD22" s="2">
        <f t="shared" si="2"/>
        <v>1.990000000000002</v>
      </c>
      <c r="AE22" s="148">
        <f t="shared" si="3"/>
        <v>2.291711287213527E-2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42431</v>
      </c>
      <c r="X23" s="44">
        <v>44.09</v>
      </c>
      <c r="Y23" s="44">
        <v>46.94</v>
      </c>
      <c r="Z23" s="44">
        <v>43.86</v>
      </c>
      <c r="AA23" s="44">
        <v>46.92</v>
      </c>
      <c r="AB23" s="114">
        <v>5048300</v>
      </c>
      <c r="AC23" s="44">
        <v>46.69</v>
      </c>
      <c r="AD23" s="2">
        <f t="shared" si="2"/>
        <v>3.0799999999999983</v>
      </c>
      <c r="AE23" s="148">
        <f t="shared" si="3"/>
        <v>5.8970288047176078E-2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42430</v>
      </c>
      <c r="X24" s="44">
        <v>43.79</v>
      </c>
      <c r="Y24" s="44">
        <v>44.71</v>
      </c>
      <c r="Z24" s="44">
        <v>42.56</v>
      </c>
      <c r="AA24" s="44">
        <v>44.31</v>
      </c>
      <c r="AB24" s="114">
        <v>5232300</v>
      </c>
      <c r="AC24" s="44">
        <v>44.09</v>
      </c>
      <c r="AD24" s="2">
        <f t="shared" si="2"/>
        <v>2.1499999999999986</v>
      </c>
      <c r="AE24" s="148">
        <f t="shared" si="3"/>
        <v>1.6366989396034981E-2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42429</v>
      </c>
      <c r="X25" s="44">
        <v>43.05</v>
      </c>
      <c r="Y25" s="44">
        <v>44.01</v>
      </c>
      <c r="Z25" s="44">
        <v>42.62</v>
      </c>
      <c r="AA25" s="44">
        <v>43.6</v>
      </c>
      <c r="AB25" s="114">
        <v>6697300</v>
      </c>
      <c r="AC25" s="44">
        <v>43.38</v>
      </c>
      <c r="AD25" s="2">
        <f t="shared" si="2"/>
        <v>1.3900000000000006</v>
      </c>
      <c r="AE25" s="148">
        <f t="shared" si="3"/>
        <v>1.213252449836677E-2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42426</v>
      </c>
      <c r="X26" s="44">
        <v>42.69</v>
      </c>
      <c r="Y26" s="44">
        <v>43.62</v>
      </c>
      <c r="Z26" s="44">
        <v>42.48</v>
      </c>
      <c r="AA26" s="44">
        <v>43.07</v>
      </c>
      <c r="AB26" s="114">
        <v>5549300</v>
      </c>
      <c r="AC26" s="44">
        <v>42.86</v>
      </c>
      <c r="AD26" s="2">
        <f t="shared" si="2"/>
        <v>1.1400000000000006</v>
      </c>
      <c r="AE26" s="148">
        <f t="shared" si="3"/>
        <v>3.6016437031665571E-2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42425</v>
      </c>
      <c r="X27" s="44">
        <v>41.66</v>
      </c>
      <c r="Y27" s="44">
        <v>42.37</v>
      </c>
      <c r="Z27" s="44">
        <v>39.950000000000003</v>
      </c>
      <c r="AA27" s="44">
        <v>41.58</v>
      </c>
      <c r="AB27" s="114">
        <v>4257300</v>
      </c>
      <c r="AC27" s="44">
        <v>41.37</v>
      </c>
      <c r="AD27" s="2">
        <f t="shared" si="2"/>
        <v>2.4199999999999946</v>
      </c>
      <c r="AE27" s="148">
        <f t="shared" si="3"/>
        <v>-2.8922631959509282E-3</v>
      </c>
    </row>
    <row r="28" spans="2:31" x14ac:dyDescent="0.25">
      <c r="B28" s="417" t="s">
        <v>202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42424</v>
      </c>
      <c r="X28" s="44">
        <v>40.65</v>
      </c>
      <c r="Y28" s="44">
        <v>42.04</v>
      </c>
      <c r="Z28" s="44">
        <v>39.979999999999997</v>
      </c>
      <c r="AA28" s="44">
        <v>41.7</v>
      </c>
      <c r="AB28" s="114">
        <v>4909000</v>
      </c>
      <c r="AC28" s="44">
        <v>41.49</v>
      </c>
      <c r="AD28" s="2">
        <f t="shared" si="2"/>
        <v>2.0600000000000023</v>
      </c>
      <c r="AE28" s="148">
        <f t="shared" si="3"/>
        <v>-5.2745145049148956E-3</v>
      </c>
    </row>
    <row r="29" spans="2:31" x14ac:dyDescent="0.25">
      <c r="B29" s="417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42423</v>
      </c>
      <c r="X29" s="44">
        <v>43.66</v>
      </c>
      <c r="Y29" s="44">
        <v>44.71</v>
      </c>
      <c r="Z29" s="44">
        <v>41.61</v>
      </c>
      <c r="AA29" s="44">
        <v>41.92</v>
      </c>
      <c r="AB29" s="114">
        <v>5151400</v>
      </c>
      <c r="AC29" s="44">
        <v>41.71</v>
      </c>
      <c r="AD29" s="2">
        <f t="shared" si="2"/>
        <v>3.1000000000000014</v>
      </c>
      <c r="AE29" s="148">
        <f t="shared" si="3"/>
        <v>-5.9738503155996381E-2</v>
      </c>
    </row>
    <row r="30" spans="2:31" x14ac:dyDescent="0.25">
      <c r="B30" s="417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42422</v>
      </c>
      <c r="X30" s="44">
        <v>43.47</v>
      </c>
      <c r="Y30" s="44">
        <v>44.59</v>
      </c>
      <c r="Z30" s="44">
        <v>43.04</v>
      </c>
      <c r="AA30" s="44">
        <v>44.58</v>
      </c>
      <c r="AB30" s="114">
        <v>5400700</v>
      </c>
      <c r="AC30" s="44">
        <v>44.36</v>
      </c>
      <c r="AD30" s="2">
        <f t="shared" si="2"/>
        <v>1.5500000000000043</v>
      </c>
      <c r="AE30" s="148">
        <f t="shared" si="3"/>
        <v>5.3681710213776768E-2</v>
      </c>
    </row>
    <row r="31" spans="2:31" x14ac:dyDescent="0.25">
      <c r="B31" s="417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42419</v>
      </c>
      <c r="X31" s="217">
        <v>41.54</v>
      </c>
      <c r="Y31" s="44">
        <v>42.34</v>
      </c>
      <c r="Z31" s="44">
        <v>40.25</v>
      </c>
      <c r="AA31" s="44">
        <v>42.31</v>
      </c>
      <c r="AB31" s="114">
        <v>6160300</v>
      </c>
      <c r="AC31" s="44">
        <v>42.1</v>
      </c>
      <c r="AD31" s="2">
        <f t="shared" si="2"/>
        <v>2.0900000000000034</v>
      </c>
      <c r="AE31" s="148">
        <f t="shared" si="3"/>
        <v>5.7333970377448917E-3</v>
      </c>
    </row>
    <row r="32" spans="2:31" x14ac:dyDescent="0.25">
      <c r="B32" s="417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42418</v>
      </c>
      <c r="X32" s="44">
        <v>44</v>
      </c>
      <c r="Y32" s="44">
        <v>44.2</v>
      </c>
      <c r="Z32" s="44">
        <v>41.49</v>
      </c>
      <c r="AA32" s="44">
        <v>42.07</v>
      </c>
      <c r="AB32" s="114">
        <v>7996700</v>
      </c>
      <c r="AC32" s="44">
        <v>41.86</v>
      </c>
      <c r="AD32" s="2">
        <f t="shared" si="2"/>
        <v>2.7100000000000009</v>
      </c>
      <c r="AE32" s="148">
        <f t="shared" si="3"/>
        <v>-3.2138728323699461E-2</v>
      </c>
    </row>
    <row r="33" spans="2:31" x14ac:dyDescent="0.25">
      <c r="B33" s="417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42417</v>
      </c>
      <c r="X33" s="44">
        <v>41.57</v>
      </c>
      <c r="Y33" s="44">
        <v>44.14</v>
      </c>
      <c r="Z33" s="44">
        <v>41.43</v>
      </c>
      <c r="AA33" s="44">
        <v>43.47</v>
      </c>
      <c r="AB33" s="114">
        <v>7811600</v>
      </c>
      <c r="AC33" s="44">
        <v>43.25</v>
      </c>
      <c r="AD33" s="2">
        <f t="shared" si="2"/>
        <v>2.7100000000000009</v>
      </c>
      <c r="AE33" s="148">
        <f t="shared" si="3"/>
        <v>6.4222440944881942E-2</v>
      </c>
    </row>
    <row r="34" spans="2:31" x14ac:dyDescent="0.25">
      <c r="B34" s="417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42416</v>
      </c>
      <c r="X34" s="44">
        <v>41</v>
      </c>
      <c r="Y34" s="44">
        <v>41.25</v>
      </c>
      <c r="Z34" s="44">
        <v>39.96</v>
      </c>
      <c r="AA34" s="44">
        <v>40.840000000000003</v>
      </c>
      <c r="AB34" s="114">
        <v>6583500</v>
      </c>
      <c r="AC34" s="44">
        <v>40.64</v>
      </c>
      <c r="AD34" s="2">
        <f t="shared" si="2"/>
        <v>1.2899999999999991</v>
      </c>
      <c r="AE34" s="148">
        <f t="shared" si="3"/>
        <v>1.8291155098972833E-2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42412</v>
      </c>
      <c r="X35" s="44">
        <v>39.28</v>
      </c>
      <c r="Y35" s="44">
        <v>40.15</v>
      </c>
      <c r="Z35" s="44">
        <v>38.5</v>
      </c>
      <c r="AA35" s="44">
        <v>40.11</v>
      </c>
      <c r="AB35" s="114">
        <v>12408000</v>
      </c>
      <c r="AC35" s="44">
        <v>39.909999999999997</v>
      </c>
      <c r="AD35" s="2">
        <f t="shared" si="2"/>
        <v>1.6499999999999986</v>
      </c>
      <c r="AE35" s="148">
        <f t="shared" si="3"/>
        <v>3.0201342281878985E-2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42411</v>
      </c>
      <c r="X36" s="44">
        <v>38.44</v>
      </c>
      <c r="Y36" s="44">
        <v>39.409999999999997</v>
      </c>
      <c r="Z36" s="44">
        <v>36.950000000000003</v>
      </c>
      <c r="AA36" s="44">
        <v>38.93</v>
      </c>
      <c r="AB36" s="114">
        <v>9707200</v>
      </c>
      <c r="AC36" s="44">
        <v>38.74</v>
      </c>
      <c r="AD36" s="2">
        <f t="shared" si="2"/>
        <v>2.4599999999999937</v>
      </c>
      <c r="AE36" s="148">
        <f t="shared" si="3"/>
        <v>-8.9536965975953731E-3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42410</v>
      </c>
      <c r="X37" s="44">
        <v>39.22</v>
      </c>
      <c r="Y37" s="44">
        <v>40.15</v>
      </c>
      <c r="Z37" s="44">
        <v>38.75</v>
      </c>
      <c r="AA37" s="44">
        <v>39.29</v>
      </c>
      <c r="AB37" s="114">
        <v>9993900</v>
      </c>
      <c r="AC37" s="44">
        <v>39.090000000000003</v>
      </c>
      <c r="AD37" s="2">
        <f t="shared" si="2"/>
        <v>1.3999999999999986</v>
      </c>
      <c r="AE37" s="148">
        <f t="shared" si="3"/>
        <v>1.5061023110880534E-2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42409</v>
      </c>
      <c r="X38" s="44">
        <v>38.28</v>
      </c>
      <c r="Y38" s="44">
        <v>39.369999999999997</v>
      </c>
      <c r="Z38" s="44">
        <v>37.35</v>
      </c>
      <c r="AA38" s="44">
        <v>38.700000000000003</v>
      </c>
      <c r="AB38" s="114">
        <v>8910000</v>
      </c>
      <c r="AC38" s="44">
        <v>38.51</v>
      </c>
      <c r="AD38" s="2">
        <f t="shared" si="2"/>
        <v>2.019999999999996</v>
      </c>
      <c r="AE38" s="148">
        <f t="shared" si="3"/>
        <v>-7.4742268041236848E-3</v>
      </c>
    </row>
    <row r="39" spans="2:31" x14ac:dyDescent="0.25">
      <c r="B39" s="419">
        <v>42375</v>
      </c>
      <c r="C39" s="4">
        <v>30</v>
      </c>
      <c r="D39" s="273">
        <v>45.1</v>
      </c>
      <c r="E39" s="3">
        <v>0</v>
      </c>
      <c r="F39" s="3">
        <f t="shared" si="4"/>
        <v>1353</v>
      </c>
      <c r="W39" s="120">
        <v>42408</v>
      </c>
      <c r="X39" s="44">
        <v>37.229999999999997</v>
      </c>
      <c r="Y39" s="44">
        <v>39.119999999999997</v>
      </c>
      <c r="Z39" s="44">
        <v>37</v>
      </c>
      <c r="AA39" s="44">
        <v>38.99</v>
      </c>
      <c r="AB39" s="114">
        <v>14543500</v>
      </c>
      <c r="AC39" s="44">
        <v>38.799999999999997</v>
      </c>
      <c r="AD39" s="2">
        <f t="shared" si="2"/>
        <v>2.1199999999999974</v>
      </c>
      <c r="AE39" s="148">
        <f t="shared" si="3"/>
        <v>2.564102564102555E-2</v>
      </c>
    </row>
    <row r="40" spans="2:31" x14ac:dyDescent="0.25">
      <c r="B40" s="419"/>
      <c r="C40" s="4">
        <v>20</v>
      </c>
      <c r="D40" s="273">
        <v>45.1</v>
      </c>
      <c r="E40" s="3">
        <v>0</v>
      </c>
      <c r="F40" s="3">
        <f t="shared" si="4"/>
        <v>902</v>
      </c>
      <c r="W40" s="120">
        <v>42405</v>
      </c>
      <c r="X40" s="44">
        <v>38.700000000000003</v>
      </c>
      <c r="Y40" s="44">
        <v>39.299999999999997</v>
      </c>
      <c r="Z40" s="44">
        <v>38</v>
      </c>
      <c r="AA40" s="44">
        <v>38.020000000000003</v>
      </c>
      <c r="AB40" s="114">
        <v>40193500</v>
      </c>
      <c r="AC40" s="44">
        <v>37.83</v>
      </c>
      <c r="AD40" s="2">
        <f t="shared" si="2"/>
        <v>1.2999999999999972</v>
      </c>
      <c r="AE40" s="148">
        <f t="shared" si="3"/>
        <v>-0.12531791907514456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49" si="5">D41*C41+E41</f>
        <v>5917.5</v>
      </c>
      <c r="W41" s="120">
        <v>42404</v>
      </c>
      <c r="X41" s="44">
        <v>43.38</v>
      </c>
      <c r="Y41" s="44">
        <v>45.16</v>
      </c>
      <c r="Z41" s="44">
        <v>42.53</v>
      </c>
      <c r="AA41" s="44">
        <v>43.47</v>
      </c>
      <c r="AB41" s="114">
        <v>10121600</v>
      </c>
      <c r="AC41" s="44">
        <v>43.25</v>
      </c>
      <c r="AD41" s="2">
        <f t="shared" si="2"/>
        <v>2.6299999999999955</v>
      </c>
      <c r="AE41" s="148">
        <f t="shared" si="3"/>
        <v>1.0986442262739482E-2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42403</v>
      </c>
      <c r="X42" s="44">
        <v>40.270000000000003</v>
      </c>
      <c r="Y42" s="44">
        <v>43.02</v>
      </c>
      <c r="Z42" s="44">
        <v>38.97</v>
      </c>
      <c r="AA42" s="44">
        <v>42.99</v>
      </c>
      <c r="AB42" s="114">
        <v>10059700</v>
      </c>
      <c r="AC42" s="44">
        <v>42.78</v>
      </c>
      <c r="AD42" s="2">
        <f t="shared" si="2"/>
        <v>4.0500000000000043</v>
      </c>
      <c r="AE42" s="148">
        <f t="shared" si="3"/>
        <v>9.2441266598570104E-2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42402</v>
      </c>
      <c r="X43" s="44">
        <v>40.57</v>
      </c>
      <c r="Y43" s="44">
        <v>40.57</v>
      </c>
      <c r="Z43" s="44">
        <v>38.770000000000003</v>
      </c>
      <c r="AA43" s="44">
        <v>39.36</v>
      </c>
      <c r="AB43" s="114">
        <v>7280400</v>
      </c>
      <c r="AC43" s="44">
        <v>39.159999999999997</v>
      </c>
      <c r="AD43" s="2">
        <f t="shared" si="2"/>
        <v>1.7999999999999972</v>
      </c>
      <c r="AE43" s="148">
        <f t="shared" si="3"/>
        <v>-5.752105896510229E-2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20" t="s">
        <v>78</v>
      </c>
      <c r="P44" s="420"/>
      <c r="T44" s="115" t="s">
        <v>94</v>
      </c>
      <c r="U44" s="37"/>
      <c r="W44" s="120">
        <v>42401</v>
      </c>
      <c r="X44" s="44">
        <v>41.38</v>
      </c>
      <c r="Y44" s="44">
        <v>42.26</v>
      </c>
      <c r="Z44" s="44">
        <v>40.799999999999997</v>
      </c>
      <c r="AA44" s="44">
        <v>41.76</v>
      </c>
      <c r="AB44" s="114">
        <v>6180900</v>
      </c>
      <c r="AC44" s="44">
        <v>41.55</v>
      </c>
      <c r="AD44" s="2">
        <f t="shared" si="2"/>
        <v>1.4600000000000009</v>
      </c>
      <c r="AE44" s="148">
        <f t="shared" si="3"/>
        <v>-1.7498226531094896E-2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57.233000000000004</v>
      </c>
      <c r="R45" s="37"/>
      <c r="T45" s="118" t="s">
        <v>101</v>
      </c>
      <c r="U45" s="116">
        <v>52.65</v>
      </c>
      <c r="W45" s="120">
        <v>42398</v>
      </c>
      <c r="X45" s="44">
        <v>40.83</v>
      </c>
      <c r="Y45" s="44">
        <v>42.66</v>
      </c>
      <c r="Z45" s="44">
        <v>40.520000000000003</v>
      </c>
      <c r="AA45" s="44">
        <v>42.5</v>
      </c>
      <c r="AB45" s="114">
        <v>8134500</v>
      </c>
      <c r="AC45" s="44">
        <v>42.29</v>
      </c>
      <c r="AD45" s="2">
        <f t="shared" si="2"/>
        <v>2.1399999999999935</v>
      </c>
      <c r="AE45" s="148">
        <f t="shared" si="3"/>
        <v>5.3562531141006398E-2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56.712700000000005</v>
      </c>
      <c r="Q46" s="2"/>
      <c r="R46" s="37"/>
      <c r="T46" s="118" t="s">
        <v>102</v>
      </c>
      <c r="U46" s="116" t="s">
        <v>134</v>
      </c>
      <c r="W46" s="120">
        <v>42397</v>
      </c>
      <c r="X46" s="44">
        <v>40.590000000000003</v>
      </c>
      <c r="Y46" s="44">
        <v>41.99</v>
      </c>
      <c r="Z46" s="44">
        <v>39.049999999999997</v>
      </c>
      <c r="AA46" s="44">
        <v>40.340000000000003</v>
      </c>
      <c r="AB46" s="114">
        <v>9889000</v>
      </c>
      <c r="AC46" s="44">
        <v>40.14</v>
      </c>
      <c r="AD46" s="2">
        <f t="shared" si="2"/>
        <v>2.9400000000000048</v>
      </c>
      <c r="AE46" s="148">
        <f t="shared" si="3"/>
        <v>9.4627761112626052E-2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56.192400000000006</v>
      </c>
      <c r="Q47" s="2"/>
      <c r="R47" s="37"/>
      <c r="T47" s="118" t="s">
        <v>103</v>
      </c>
      <c r="U47" s="116" t="s">
        <v>312</v>
      </c>
      <c r="W47" s="120">
        <v>42396</v>
      </c>
      <c r="X47" s="44">
        <v>34.97</v>
      </c>
      <c r="Y47" s="44">
        <v>39.659999999999997</v>
      </c>
      <c r="Z47" s="44">
        <v>34.020000000000003</v>
      </c>
      <c r="AA47" s="44">
        <v>36.85</v>
      </c>
      <c r="AB47" s="114">
        <v>11428700</v>
      </c>
      <c r="AC47" s="44">
        <v>36.67</v>
      </c>
      <c r="AD47" s="2">
        <f t="shared" si="2"/>
        <v>5.6399999999999935</v>
      </c>
      <c r="AE47" s="148">
        <f t="shared" si="3"/>
        <v>5.8602771362586736E-2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55.672100000000007</v>
      </c>
      <c r="Q48" s="2"/>
      <c r="R48" s="37"/>
      <c r="T48" s="118" t="s">
        <v>104</v>
      </c>
      <c r="U48" s="116" t="s">
        <v>313</v>
      </c>
      <c r="W48" s="120">
        <v>42395</v>
      </c>
      <c r="X48" s="44">
        <v>35.119999999999997</v>
      </c>
      <c r="Y48" s="44">
        <v>35.979999999999997</v>
      </c>
      <c r="Z48" s="44">
        <v>34.549999999999997</v>
      </c>
      <c r="AA48" s="44">
        <v>34.81</v>
      </c>
      <c r="AB48" s="114">
        <v>8791100</v>
      </c>
      <c r="AC48" s="44">
        <v>34.64</v>
      </c>
      <c r="AD48" s="2">
        <f t="shared" si="2"/>
        <v>1.4299999999999997</v>
      </c>
      <c r="AE48" s="148">
        <f t="shared" si="3"/>
        <v>1.2569424144986741E-2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55.151800000000001</v>
      </c>
      <c r="Q49" s="2"/>
      <c r="R49" s="37"/>
      <c r="T49" s="118" t="s">
        <v>105</v>
      </c>
      <c r="U49" s="116">
        <v>56.43</v>
      </c>
      <c r="W49" s="120">
        <v>42394</v>
      </c>
      <c r="X49" s="44">
        <v>37.159999999999997</v>
      </c>
      <c r="Y49" s="44">
        <v>37.840000000000003</v>
      </c>
      <c r="Z49" s="44">
        <v>34.28</v>
      </c>
      <c r="AA49" s="44">
        <v>34.380000000000003</v>
      </c>
      <c r="AB49" s="114">
        <v>10090500</v>
      </c>
      <c r="AC49" s="44">
        <v>34.21</v>
      </c>
      <c r="AD49" s="2">
        <f t="shared" si="2"/>
        <v>3.5600000000000023</v>
      </c>
      <c r="AE49" s="148">
        <f t="shared" si="3"/>
        <v>-0.10304142632406921</v>
      </c>
    </row>
    <row r="50" spans="1:31" x14ac:dyDescent="0.25">
      <c r="O50" s="93">
        <v>1.05</v>
      </c>
      <c r="P50" s="93">
        <f t="shared" si="6"/>
        <v>54.631500000000003</v>
      </c>
      <c r="Q50" s="2"/>
      <c r="R50" s="37"/>
      <c r="T50" s="118" t="s">
        <v>106</v>
      </c>
      <c r="U50" s="116">
        <v>1.4104399999999999</v>
      </c>
      <c r="W50" s="120">
        <v>42391</v>
      </c>
      <c r="X50" s="44">
        <v>39.409999999999997</v>
      </c>
      <c r="Y50" s="44">
        <v>39.950000000000003</v>
      </c>
      <c r="Z50" s="44">
        <v>36.799999999999997</v>
      </c>
      <c r="AA50" s="44">
        <v>38.33</v>
      </c>
      <c r="AB50" s="114">
        <v>7601000</v>
      </c>
      <c r="AC50" s="44">
        <v>38.14</v>
      </c>
      <c r="AD50" s="2">
        <f t="shared" si="2"/>
        <v>3.1500000000000057</v>
      </c>
      <c r="AE50" s="148">
        <f t="shared" si="3"/>
        <v>1.8968741651081977E-2</v>
      </c>
    </row>
    <row r="51" spans="1:31" x14ac:dyDescent="0.25">
      <c r="O51" s="93">
        <v>1.04</v>
      </c>
      <c r="P51" s="93">
        <f t="shared" si="6"/>
        <v>54.111200000000004</v>
      </c>
      <c r="Q51" s="2"/>
      <c r="R51" s="37"/>
      <c r="T51" s="118" t="s">
        <v>126</v>
      </c>
      <c r="U51" s="116" t="s">
        <v>214</v>
      </c>
      <c r="W51" s="120">
        <v>42390</v>
      </c>
      <c r="X51" s="44">
        <v>35.07</v>
      </c>
      <c r="Y51" s="44">
        <v>37.950000000000003</v>
      </c>
      <c r="Z51" s="44">
        <v>35</v>
      </c>
      <c r="AA51" s="44">
        <v>37.619999999999997</v>
      </c>
      <c r="AB51" s="114">
        <v>7468600</v>
      </c>
      <c r="AC51" s="44">
        <v>37.43</v>
      </c>
      <c r="AD51" s="2">
        <f t="shared" si="2"/>
        <v>2.9500000000000028</v>
      </c>
      <c r="AE51" s="148">
        <f t="shared" si="3"/>
        <v>6.8512703397088259E-2</v>
      </c>
    </row>
    <row r="52" spans="1:31" x14ac:dyDescent="0.25">
      <c r="O52" s="93">
        <v>1.03</v>
      </c>
      <c r="P52" s="93">
        <f t="shared" si="6"/>
        <v>53.590900000000005</v>
      </c>
      <c r="Q52" s="2"/>
      <c r="R52" s="37"/>
      <c r="T52" s="118"/>
      <c r="U52" s="116"/>
      <c r="W52" s="120">
        <v>42389</v>
      </c>
      <c r="X52" s="44">
        <v>35.770000000000003</v>
      </c>
      <c r="Y52" s="44">
        <v>35.770000000000003</v>
      </c>
      <c r="Z52" s="44">
        <v>32.409999999999997</v>
      </c>
      <c r="AA52" s="44">
        <v>35.21</v>
      </c>
      <c r="AB52" s="114">
        <v>10518900</v>
      </c>
      <c r="AC52" s="44">
        <v>35.03</v>
      </c>
      <c r="AD52" s="2">
        <f t="shared" si="2"/>
        <v>3.3600000000000065</v>
      </c>
      <c r="AE52" s="148">
        <f t="shared" si="3"/>
        <v>-3.6313617606602455E-2</v>
      </c>
    </row>
    <row r="53" spans="1:31" x14ac:dyDescent="0.25">
      <c r="A53" s="35" t="s">
        <v>81</v>
      </c>
      <c r="B53" s="128"/>
      <c r="C53" s="16">
        <f>SUM(C2:C49)</f>
        <v>3430</v>
      </c>
      <c r="D53" s="91"/>
      <c r="E53" s="16"/>
      <c r="F53" s="21">
        <f>SUM(F2:F49)</f>
        <v>169226.38</v>
      </c>
      <c r="G53" s="16"/>
      <c r="H53" s="82">
        <f>SUM(H2:H52)</f>
        <v>3380</v>
      </c>
      <c r="I53" s="16"/>
      <c r="J53" s="16"/>
      <c r="K53" s="21">
        <f>SUM(K2:K52)</f>
        <v>169165.58000000005</v>
      </c>
      <c r="L53" s="16"/>
      <c r="M53" s="21">
        <f>SUM(M2:M25)</f>
        <v>167.5</v>
      </c>
      <c r="O53" s="93">
        <v>1.02</v>
      </c>
      <c r="P53" s="93">
        <f t="shared" si="6"/>
        <v>53.070599999999999</v>
      </c>
      <c r="Q53" s="2"/>
      <c r="R53" s="37"/>
      <c r="T53" s="118" t="s">
        <v>108</v>
      </c>
      <c r="U53" s="116" t="s">
        <v>302</v>
      </c>
      <c r="W53" s="120">
        <v>42388</v>
      </c>
      <c r="X53" s="44">
        <v>38.97</v>
      </c>
      <c r="Y53" s="44">
        <v>39.26</v>
      </c>
      <c r="Z53" s="44">
        <v>35.72</v>
      </c>
      <c r="AA53" s="44">
        <v>36.53</v>
      </c>
      <c r="AB53" s="114">
        <v>6149500</v>
      </c>
      <c r="AC53" s="44">
        <v>36.35</v>
      </c>
      <c r="AD53" s="2">
        <f t="shared" si="2"/>
        <v>3.5399999999999991</v>
      </c>
      <c r="AE53" s="148">
        <f t="shared" si="3"/>
        <v>-5.6579288865818866E-2</v>
      </c>
    </row>
    <row r="54" spans="1:31" x14ac:dyDescent="0.25">
      <c r="O54" s="93">
        <v>1.01</v>
      </c>
      <c r="P54" s="93">
        <f t="shared" si="6"/>
        <v>52.5503</v>
      </c>
      <c r="Q54" s="2"/>
      <c r="R54" s="37"/>
      <c r="T54" s="118" t="s">
        <v>109</v>
      </c>
      <c r="U54" s="116" t="s">
        <v>213</v>
      </c>
      <c r="W54" s="120">
        <v>42384</v>
      </c>
      <c r="X54" s="44">
        <v>38</v>
      </c>
      <c r="Y54" s="44">
        <v>39.21</v>
      </c>
      <c r="Z54" s="44">
        <v>37.71</v>
      </c>
      <c r="AA54" s="44">
        <v>38.72</v>
      </c>
      <c r="AB54" s="114">
        <v>6923600</v>
      </c>
      <c r="AC54" s="44">
        <v>38.53</v>
      </c>
      <c r="AD54" s="2">
        <f t="shared" si="2"/>
        <v>1.5</v>
      </c>
      <c r="AE54" s="148">
        <f t="shared" si="3"/>
        <v>-3.0935613682092522E-2</v>
      </c>
    </row>
    <row r="55" spans="1:31" x14ac:dyDescent="0.25">
      <c r="B55" s="209" t="s">
        <v>117</v>
      </c>
      <c r="C55" s="209" t="s">
        <v>167</v>
      </c>
      <c r="D55" s="219" t="s">
        <v>166</v>
      </c>
      <c r="E55" s="212" t="s">
        <v>168</v>
      </c>
      <c r="F55" s="213" t="s">
        <v>65</v>
      </c>
      <c r="G55" s="253" t="s">
        <v>172</v>
      </c>
      <c r="H55" s="213" t="s">
        <v>90</v>
      </c>
      <c r="I55" s="213" t="s">
        <v>179</v>
      </c>
      <c r="J55" s="2" t="s">
        <v>128</v>
      </c>
      <c r="O55" s="93">
        <v>1</v>
      </c>
      <c r="P55" s="93">
        <f t="shared" si="6"/>
        <v>52.03</v>
      </c>
      <c r="Q55" s="2"/>
      <c r="R55" s="37"/>
      <c r="T55" s="118" t="s">
        <v>110</v>
      </c>
      <c r="U55" s="117">
        <v>429</v>
      </c>
      <c r="W55" s="120">
        <v>42383</v>
      </c>
      <c r="X55" s="44">
        <v>38.880000000000003</v>
      </c>
      <c r="Y55" s="44">
        <v>40.54</v>
      </c>
      <c r="Z55" s="44">
        <v>38.47</v>
      </c>
      <c r="AA55" s="44">
        <v>39.96</v>
      </c>
      <c r="AB55" s="114">
        <v>7968400</v>
      </c>
      <c r="AC55" s="44">
        <v>39.76</v>
      </c>
      <c r="AD55" s="2">
        <f t="shared" si="2"/>
        <v>2.0700000000000003</v>
      </c>
      <c r="AE55" s="148">
        <f t="shared" si="3"/>
        <v>3.5416666666666652E-2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51.509700000000002</v>
      </c>
      <c r="Q56" s="2"/>
      <c r="R56" s="37"/>
      <c r="T56" s="118" t="s">
        <v>113</v>
      </c>
      <c r="U56" s="117">
        <v>7209690</v>
      </c>
      <c r="W56" s="120">
        <v>42382</v>
      </c>
      <c r="X56" s="44">
        <v>40.19</v>
      </c>
      <c r="Y56" s="44">
        <v>41.05</v>
      </c>
      <c r="Z56" s="44">
        <v>38.22</v>
      </c>
      <c r="AA56" s="44">
        <v>38.590000000000003</v>
      </c>
      <c r="AB56" s="114">
        <v>7043000</v>
      </c>
      <c r="AC56" s="44">
        <v>38.4</v>
      </c>
      <c r="AD56" s="2">
        <f t="shared" si="2"/>
        <v>2.8299999999999983</v>
      </c>
      <c r="AE56" s="148">
        <f t="shared" si="3"/>
        <v>-2.5380710659898442E-2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50.989400000000003</v>
      </c>
      <c r="Q57" s="2"/>
      <c r="R57" s="37"/>
      <c r="T57" s="118" t="s">
        <v>111</v>
      </c>
      <c r="U57" s="116" t="s">
        <v>314</v>
      </c>
      <c r="W57" s="120">
        <v>42381</v>
      </c>
      <c r="X57" s="44">
        <v>42.49</v>
      </c>
      <c r="Y57" s="44">
        <v>42.82</v>
      </c>
      <c r="Z57" s="44">
        <v>38.799999999999997</v>
      </c>
      <c r="AA57" s="44">
        <v>39.6</v>
      </c>
      <c r="AB57" s="114">
        <v>6291100</v>
      </c>
      <c r="AC57" s="44">
        <v>39.4</v>
      </c>
      <c r="AD57" s="2">
        <f t="shared" si="2"/>
        <v>4.0200000000000031</v>
      </c>
      <c r="AE57" s="148">
        <f t="shared" si="3"/>
        <v>-5.0144648023143668E-2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50.469099999999997</v>
      </c>
      <c r="Q58" s="2"/>
      <c r="R58" s="37"/>
      <c r="T58" s="118" t="s">
        <v>114</v>
      </c>
      <c r="U58" s="116" t="s">
        <v>134</v>
      </c>
      <c r="W58" s="120">
        <v>42380</v>
      </c>
      <c r="X58" s="44">
        <v>43.55</v>
      </c>
      <c r="Y58" s="44">
        <v>43.77</v>
      </c>
      <c r="Z58" s="44">
        <v>41.3</v>
      </c>
      <c r="AA58" s="44">
        <v>41.69</v>
      </c>
      <c r="AB58" s="114">
        <v>6021500</v>
      </c>
      <c r="AC58" s="44">
        <v>41.48</v>
      </c>
      <c r="AD58" s="2">
        <f t="shared" si="2"/>
        <v>2.470000000000006</v>
      </c>
      <c r="AE58" s="148">
        <f t="shared" si="3"/>
        <v>-4.3357933579335817E-2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49.948799999999999</v>
      </c>
      <c r="T59" s="118" t="s">
        <v>115</v>
      </c>
      <c r="U59" s="116">
        <v>-10.78</v>
      </c>
      <c r="W59" s="120">
        <v>42377</v>
      </c>
      <c r="X59" s="44">
        <v>43.93</v>
      </c>
      <c r="Y59" s="44">
        <v>44.42</v>
      </c>
      <c r="Z59" s="44">
        <v>42.86</v>
      </c>
      <c r="AA59" s="44">
        <v>43.58</v>
      </c>
      <c r="AB59" s="114">
        <v>3851900</v>
      </c>
      <c r="AC59" s="44">
        <v>43.36</v>
      </c>
      <c r="AD59" s="2">
        <f t="shared" si="2"/>
        <v>1.5600000000000023</v>
      </c>
      <c r="AE59" s="148">
        <f t="shared" si="3"/>
        <v>-9.2165898617513342E-4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49.4285</v>
      </c>
      <c r="T60" s="118" t="s">
        <v>112</v>
      </c>
      <c r="U60" s="116" t="s">
        <v>315</v>
      </c>
      <c r="W60" s="120">
        <v>42376</v>
      </c>
      <c r="X60" s="44">
        <v>44</v>
      </c>
      <c r="Y60" s="44">
        <v>45.51</v>
      </c>
      <c r="Z60" s="44">
        <v>43.49</v>
      </c>
      <c r="AA60" s="44">
        <v>43.62</v>
      </c>
      <c r="AB60" s="114">
        <v>4562900</v>
      </c>
      <c r="AC60" s="44">
        <v>43.4</v>
      </c>
      <c r="AD60" s="2">
        <f t="shared" si="2"/>
        <v>2.019999999999996</v>
      </c>
      <c r="AE60" s="148">
        <f t="shared" si="3"/>
        <v>-3.2329988851727998E-2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2" si="10">C61*(E61-D61)</f>
        <v>943.60000000000014</v>
      </c>
      <c r="G61" s="43">
        <f t="shared" ref="G61:G92" si="11">D61*C61</f>
        <v>3448.3999999999996</v>
      </c>
      <c r="H61" s="260">
        <f t="shared" ref="H61:H91" si="12">(E61-D61)/D61</f>
        <v>0.27363414917062989</v>
      </c>
      <c r="I61" s="213"/>
      <c r="O61" s="93">
        <v>0.94</v>
      </c>
      <c r="P61" s="93">
        <f t="shared" si="6"/>
        <v>48.908200000000001</v>
      </c>
      <c r="W61" s="120">
        <v>42375</v>
      </c>
      <c r="X61" s="44">
        <v>46.68</v>
      </c>
      <c r="Y61" s="44">
        <v>46.77</v>
      </c>
      <c r="Z61" s="44">
        <v>44.86</v>
      </c>
      <c r="AA61" s="44">
        <v>45.07</v>
      </c>
      <c r="AB61" s="114">
        <v>7968400</v>
      </c>
      <c r="AC61" s="44">
        <v>44.85</v>
      </c>
      <c r="AD61" s="2">
        <f t="shared" si="2"/>
        <v>1.9100000000000037</v>
      </c>
      <c r="AE61" s="148">
        <f t="shared" si="3"/>
        <v>-6.2303993309638206E-2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48.387900000000002</v>
      </c>
      <c r="W62" s="120">
        <v>42374</v>
      </c>
      <c r="X62" s="44">
        <v>47.68</v>
      </c>
      <c r="Y62" s="44">
        <v>48.12</v>
      </c>
      <c r="Z62" s="44">
        <v>46.63</v>
      </c>
      <c r="AA62" s="44">
        <v>48.07</v>
      </c>
      <c r="AB62" s="114">
        <v>3143500</v>
      </c>
      <c r="AC62" s="44">
        <v>47.83</v>
      </c>
      <c r="AD62" s="2">
        <f t="shared" si="2"/>
        <v>1.4899999999999949</v>
      </c>
      <c r="AE62" s="148">
        <f t="shared" si="3"/>
        <v>-2.2945348352106931E-3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47.867600000000003</v>
      </c>
      <c r="W63" s="120">
        <v>42373</v>
      </c>
      <c r="X63" s="44">
        <v>48.4</v>
      </c>
      <c r="Y63" s="44">
        <v>49.85</v>
      </c>
      <c r="Z63" s="44">
        <v>47.57</v>
      </c>
      <c r="AA63" s="44">
        <v>48.18</v>
      </c>
      <c r="AB63" s="114">
        <v>3273600</v>
      </c>
      <c r="AC63" s="44">
        <v>47.94</v>
      </c>
      <c r="AD63" s="2">
        <f t="shared" si="2"/>
        <v>2.2800000000000011</v>
      </c>
      <c r="AE63" s="148">
        <f t="shared" si="3"/>
        <v>-6.2189054726369264E-3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47.347300000000004</v>
      </c>
      <c r="W64" s="120">
        <v>42369</v>
      </c>
      <c r="X64" s="44">
        <v>47.74</v>
      </c>
      <c r="Y64" s="44">
        <v>48.9</v>
      </c>
      <c r="Z64" s="44">
        <v>47.71</v>
      </c>
      <c r="AA64" s="44">
        <v>48.48</v>
      </c>
      <c r="AB64" s="114">
        <v>2394700</v>
      </c>
      <c r="AC64" s="44">
        <v>48.24</v>
      </c>
      <c r="AD64" s="2">
        <f t="shared" si="2"/>
        <v>1.1899999999999977</v>
      </c>
      <c r="AE64" s="148">
        <f t="shared" si="3"/>
        <v>6.4677654913416482E-3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46.827000000000005</v>
      </c>
      <c r="W65" s="120">
        <v>42368</v>
      </c>
      <c r="X65" s="44">
        <v>48.49</v>
      </c>
      <c r="Y65" s="44">
        <v>49.61</v>
      </c>
      <c r="Z65" s="44">
        <v>48.1</v>
      </c>
      <c r="AA65" s="44">
        <v>48.17</v>
      </c>
      <c r="AB65" s="114">
        <v>1932300</v>
      </c>
      <c r="AC65" s="44">
        <v>47.93</v>
      </c>
      <c r="AD65" s="2">
        <f t="shared" si="2"/>
        <v>1.509999999999998</v>
      </c>
      <c r="AE65" s="148">
        <f t="shared" si="3"/>
        <v>-2.4027692934229239E-2</v>
      </c>
    </row>
    <row r="66" spans="2:31" x14ac:dyDescent="0.25">
      <c r="B66" s="211">
        <v>42349</v>
      </c>
      <c r="C66" s="320">
        <v>400</v>
      </c>
      <c r="D66" s="321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42367</v>
      </c>
      <c r="X66" s="44">
        <v>49.8</v>
      </c>
      <c r="Y66" s="44">
        <v>49.99</v>
      </c>
      <c r="Z66" s="44">
        <v>48.79</v>
      </c>
      <c r="AA66" s="44">
        <v>49.36</v>
      </c>
      <c r="AB66" s="114">
        <v>1893500</v>
      </c>
      <c r="AC66" s="44">
        <v>49.11</v>
      </c>
      <c r="AD66" s="2">
        <f t="shared" si="2"/>
        <v>1.2000000000000028</v>
      </c>
      <c r="AE66" s="148">
        <f t="shared" si="3"/>
        <v>7.3846153846153229E-3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42366</v>
      </c>
      <c r="X67" s="44">
        <v>49.43</v>
      </c>
      <c r="Y67" s="44">
        <v>49.9</v>
      </c>
      <c r="Z67" s="44">
        <v>48.74</v>
      </c>
      <c r="AA67" s="44">
        <v>48.99</v>
      </c>
      <c r="AB67" s="114">
        <v>2298600</v>
      </c>
      <c r="AC67" s="44">
        <v>48.75</v>
      </c>
      <c r="AD67" s="2">
        <f>Y67-Z67</f>
        <v>1.1599999999999966</v>
      </c>
      <c r="AE67" s="148">
        <f>AC67/AC68-1</f>
        <v>-3.1200317965023872E-2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42362</v>
      </c>
      <c r="X68" s="44">
        <v>51.11</v>
      </c>
      <c r="Y68" s="44">
        <v>51.26</v>
      </c>
      <c r="Z68" s="44">
        <v>49.83</v>
      </c>
      <c r="AA68" s="44">
        <v>50.57</v>
      </c>
      <c r="AB68" s="114">
        <v>1147100</v>
      </c>
      <c r="AC68" s="44">
        <v>50.32</v>
      </c>
      <c r="AD68" s="2">
        <f>Y68-Z68</f>
        <v>1.4299999999999997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 t="s">
        <v>125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</row>
    <row r="71" spans="2:31" x14ac:dyDescent="0.25">
      <c r="B71" s="211">
        <v>42374</v>
      </c>
      <c r="C71" s="320">
        <v>600</v>
      </c>
      <c r="D71" s="321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20">
        <v>750</v>
      </c>
      <c r="D72" s="321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20">
        <v>600</v>
      </c>
      <c r="D73" s="321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20">
        <v>750</v>
      </c>
      <c r="D74" s="321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20">
        <v>750</v>
      </c>
      <c r="D75" s="321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20">
        <v>750</v>
      </c>
      <c r="D76" s="321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20">
        <v>750</v>
      </c>
      <c r="D77" s="321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20">
        <v>750</v>
      </c>
      <c r="D78" s="321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20">
        <v>750</v>
      </c>
      <c r="D79" s="321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20">
        <v>600</v>
      </c>
      <c r="D80" s="321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20">
        <v>750</v>
      </c>
      <c r="D81" s="321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320">
        <v>750</v>
      </c>
      <c r="D82" s="321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320">
        <v>450</v>
      </c>
      <c r="D83" s="321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320">
        <v>400</v>
      </c>
      <c r="D84" s="321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320">
        <v>450</v>
      </c>
      <c r="D85" s="321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61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61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61"/>
      <c r="I92" s="213"/>
    </row>
    <row r="93" spans="2:9" x14ac:dyDescent="0.25">
      <c r="B93" s="211"/>
      <c r="C93" s="12"/>
      <c r="D93" s="220"/>
      <c r="E93" s="43"/>
      <c r="F93" s="43"/>
      <c r="G93" s="43"/>
      <c r="H93" s="261"/>
      <c r="I93" s="213"/>
    </row>
    <row r="94" spans="2:9" x14ac:dyDescent="0.25">
      <c r="B94" s="211"/>
      <c r="C94" s="12"/>
      <c r="D94" s="220"/>
      <c r="E94" s="43"/>
      <c r="F94" s="43"/>
      <c r="G94" s="43"/>
      <c r="H94" s="261"/>
      <c r="I94" s="213"/>
    </row>
    <row r="95" spans="2:9" x14ac:dyDescent="0.25">
      <c r="B95" s="211"/>
      <c r="C95" s="12"/>
      <c r="D95" s="220"/>
      <c r="E95" s="43"/>
      <c r="F95" s="43"/>
      <c r="G95" s="43"/>
      <c r="H95" s="261"/>
      <c r="I95" s="213"/>
    </row>
    <row r="96" spans="2:9" x14ac:dyDescent="0.25">
      <c r="B96" s="211"/>
      <c r="C96" s="12"/>
      <c r="D96" s="220"/>
      <c r="E96" s="43"/>
      <c r="F96" s="43"/>
      <c r="G96" s="43"/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39" priority="20">
      <formula>Q7&gt;0</formula>
    </cfRule>
    <cfRule type="expression" dxfId="338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7">
    <cfRule type="expression" dxfId="337" priority="13">
      <formula>F73&gt;0</formula>
    </cfRule>
    <cfRule type="expression" dxfId="336" priority="14">
      <formula>F73&lt;0</formula>
    </cfRule>
  </conditionalFormatting>
  <conditionalFormatting sqref="H73:H97">
    <cfRule type="expression" dxfId="335" priority="5">
      <formula>H73&gt;0</formula>
    </cfRule>
    <cfRule type="expression" dxfId="334" priority="6">
      <formula>H73&lt;0</formula>
    </cfRule>
  </conditionalFormatting>
  <conditionalFormatting sqref="F56:F72">
    <cfRule type="expression" dxfId="333" priority="3">
      <formula>F56&gt;0</formula>
    </cfRule>
    <cfRule type="expression" dxfId="332" priority="4">
      <formula>F56&lt;0</formula>
    </cfRule>
  </conditionalFormatting>
  <conditionalFormatting sqref="H56:H72">
    <cfRule type="expression" dxfId="331" priority="1">
      <formula>H56&gt;0</formula>
    </cfRule>
    <cfRule type="expression" dxfId="330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42460</v>
      </c>
      <c r="X2" s="12">
        <v>80.290000000000006</v>
      </c>
      <c r="Y2" s="12">
        <v>80.709999999999994</v>
      </c>
      <c r="Z2" s="12">
        <v>78.540000000000006</v>
      </c>
      <c r="AA2" s="12">
        <v>79.55</v>
      </c>
      <c r="AB2" s="105">
        <v>5096400</v>
      </c>
      <c r="AC2" s="12">
        <v>79.55</v>
      </c>
      <c r="AD2" s="2">
        <f>Y2-Z2</f>
        <v>2.1699999999999875</v>
      </c>
      <c r="AE2" s="148">
        <f>AC2/AC3-1</f>
        <v>-1.2537239324726945E-2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78.92</v>
      </c>
      <c r="W3" s="143">
        <v>42459</v>
      </c>
      <c r="X3" s="12">
        <v>80.400000000000006</v>
      </c>
      <c r="Y3" s="12">
        <v>81.45</v>
      </c>
      <c r="Z3" s="12">
        <v>80.17</v>
      </c>
      <c r="AA3" s="12">
        <v>80.56</v>
      </c>
      <c r="AB3" s="105">
        <v>3136300</v>
      </c>
      <c r="AC3" s="12">
        <v>80.56</v>
      </c>
      <c r="AD3" s="2">
        <f t="shared" ref="AD3:AD66" si="1">Y3-Z3</f>
        <v>1.2800000000000011</v>
      </c>
      <c r="AE3" s="148">
        <f t="shared" ref="AE3:AE66" si="2">AC3/AC4-1</f>
        <v>9.52380952380949E-3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78.92</v>
      </c>
      <c r="W4" s="143">
        <v>42458</v>
      </c>
      <c r="X4" s="12">
        <v>78.41</v>
      </c>
      <c r="Y4" s="12">
        <v>79.989999999999995</v>
      </c>
      <c r="Z4" s="12">
        <v>77.8</v>
      </c>
      <c r="AA4" s="12">
        <v>79.8</v>
      </c>
      <c r="AB4" s="105">
        <v>4338900</v>
      </c>
      <c r="AC4" s="12">
        <v>79.8</v>
      </c>
      <c r="AD4" s="2">
        <f t="shared" si="1"/>
        <v>2.1899999999999977</v>
      </c>
      <c r="AE4" s="148">
        <f t="shared" si="2"/>
        <v>1.2561857632280127E-2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42457</v>
      </c>
      <c r="X5" s="12">
        <v>80.75</v>
      </c>
      <c r="Y5" s="12">
        <v>80.92</v>
      </c>
      <c r="Z5" s="12">
        <v>78.47</v>
      </c>
      <c r="AA5" s="12">
        <v>78.81</v>
      </c>
      <c r="AB5" s="105">
        <v>6304700</v>
      </c>
      <c r="AC5" s="12">
        <v>78.81</v>
      </c>
      <c r="AD5" s="2">
        <f t="shared" si="1"/>
        <v>2.4500000000000028</v>
      </c>
      <c r="AE5" s="148">
        <f t="shared" si="2"/>
        <v>-2.6075135936727611E-2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42453</v>
      </c>
      <c r="X6" s="12">
        <v>80.78</v>
      </c>
      <c r="Y6" s="12">
        <v>81.27</v>
      </c>
      <c r="Z6" s="12">
        <v>80.040000000000006</v>
      </c>
      <c r="AA6" s="12">
        <v>80.92</v>
      </c>
      <c r="AB6" s="105">
        <v>4209600</v>
      </c>
      <c r="AC6" s="12">
        <v>80.92</v>
      </c>
      <c r="AD6" s="2">
        <f t="shared" si="1"/>
        <v>1.2299999999999898</v>
      </c>
      <c r="AE6" s="148">
        <f t="shared" si="2"/>
        <v>-7.3601570166829111E-3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42452</v>
      </c>
      <c r="X7" s="12">
        <v>82.13</v>
      </c>
      <c r="Y7" s="12">
        <v>82.35</v>
      </c>
      <c r="Z7" s="12">
        <v>81.39</v>
      </c>
      <c r="AA7" s="12">
        <v>81.52</v>
      </c>
      <c r="AB7" s="105">
        <v>4203600</v>
      </c>
      <c r="AC7" s="12">
        <v>81.52</v>
      </c>
      <c r="AD7" s="2">
        <f t="shared" si="1"/>
        <v>0.95999999999999375</v>
      </c>
      <c r="AE7" s="148">
        <f t="shared" si="2"/>
        <v>-6.5805508164757942E-3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42451</v>
      </c>
      <c r="X8" s="12">
        <v>83.05</v>
      </c>
      <c r="Y8" s="12">
        <v>83.27</v>
      </c>
      <c r="Z8" s="12">
        <v>81.709999999999994</v>
      </c>
      <c r="AA8" s="12">
        <v>82.06</v>
      </c>
      <c r="AB8" s="105">
        <v>5133200</v>
      </c>
      <c r="AC8" s="12">
        <v>82.06</v>
      </c>
      <c r="AD8" s="2">
        <f t="shared" si="1"/>
        <v>1.5600000000000023</v>
      </c>
      <c r="AE8" s="148">
        <f t="shared" si="2"/>
        <v>-2.2862586330078649E-2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42450</v>
      </c>
      <c r="X9" s="12">
        <v>84.39</v>
      </c>
      <c r="Y9" s="12">
        <v>84.98</v>
      </c>
      <c r="Z9" s="12">
        <v>83.47</v>
      </c>
      <c r="AA9" s="12">
        <v>83.98</v>
      </c>
      <c r="AB9" s="105">
        <v>3790500</v>
      </c>
      <c r="AC9" s="12">
        <v>83.98</v>
      </c>
      <c r="AD9" s="2">
        <f t="shared" si="1"/>
        <v>1.5100000000000051</v>
      </c>
      <c r="AE9" s="148">
        <f t="shared" si="2"/>
        <v>-5.2120350627813394E-3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42447</v>
      </c>
      <c r="X10" s="12">
        <v>83.45</v>
      </c>
      <c r="Y10" s="12">
        <v>85.3</v>
      </c>
      <c r="Z10" s="12">
        <v>83.27</v>
      </c>
      <c r="AA10" s="12">
        <v>84.42</v>
      </c>
      <c r="AB10" s="105">
        <v>8335700</v>
      </c>
      <c r="AC10" s="12">
        <v>84.42</v>
      </c>
      <c r="AD10" s="2">
        <f t="shared" si="1"/>
        <v>2.0300000000000011</v>
      </c>
      <c r="AE10" s="148">
        <f t="shared" si="2"/>
        <v>1.6129032258064502E-2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42446</v>
      </c>
      <c r="X11" s="12">
        <v>80.709999999999994</v>
      </c>
      <c r="Y11" s="12">
        <v>83.27</v>
      </c>
      <c r="Z11" s="12">
        <v>79.61</v>
      </c>
      <c r="AA11" s="12">
        <v>83.08</v>
      </c>
      <c r="AB11" s="105">
        <v>4969800</v>
      </c>
      <c r="AC11" s="12">
        <v>83.08</v>
      </c>
      <c r="AD11" s="2">
        <f t="shared" si="1"/>
        <v>3.6599999999999966</v>
      </c>
      <c r="AE11" s="148">
        <f t="shared" si="2"/>
        <v>3.4491346034117853E-2</v>
      </c>
    </row>
    <row r="12" spans="1:31" x14ac:dyDescent="0.25">
      <c r="U12" s="147"/>
      <c r="W12" s="143">
        <v>42445</v>
      </c>
      <c r="X12" s="12">
        <v>80.14</v>
      </c>
      <c r="Y12" s="12">
        <v>80.790000000000006</v>
      </c>
      <c r="Z12" s="12">
        <v>79.37</v>
      </c>
      <c r="AA12" s="12">
        <v>80.31</v>
      </c>
      <c r="AB12" s="105">
        <v>3194900</v>
      </c>
      <c r="AC12" s="12">
        <v>80.31</v>
      </c>
      <c r="AD12" s="2">
        <f t="shared" si="1"/>
        <v>1.4200000000000017</v>
      </c>
      <c r="AE12" s="148">
        <f t="shared" si="2"/>
        <v>1.996257018091141E-3</v>
      </c>
    </row>
    <row r="13" spans="1:31" x14ac:dyDescent="0.25">
      <c r="T13" s="75"/>
      <c r="W13" s="143">
        <v>42444</v>
      </c>
      <c r="X13" s="12">
        <v>79.62</v>
      </c>
      <c r="Y13" s="12">
        <v>80.150000000000006</v>
      </c>
      <c r="Z13" s="12">
        <v>78.63</v>
      </c>
      <c r="AA13" s="12">
        <v>80.150000000000006</v>
      </c>
      <c r="AB13" s="105">
        <v>4675300</v>
      </c>
      <c r="AC13" s="12">
        <v>80.150000000000006</v>
      </c>
      <c r="AD13" s="2">
        <f t="shared" si="1"/>
        <v>1.5200000000000102</v>
      </c>
      <c r="AE13" s="148">
        <f t="shared" si="2"/>
        <v>-2.4891101431236962E-3</v>
      </c>
    </row>
    <row r="14" spans="1:31" x14ac:dyDescent="0.25">
      <c r="W14" s="143">
        <v>42443</v>
      </c>
      <c r="X14" s="12">
        <v>80.7</v>
      </c>
      <c r="Y14" s="12">
        <v>81.47</v>
      </c>
      <c r="Z14" s="12">
        <v>80.150000000000006</v>
      </c>
      <c r="AA14" s="12">
        <v>80.349999999999994</v>
      </c>
      <c r="AB14" s="105">
        <v>4362300</v>
      </c>
      <c r="AC14" s="12">
        <v>80.349999999999994</v>
      </c>
      <c r="AD14" s="2">
        <f t="shared" si="1"/>
        <v>1.3199999999999932</v>
      </c>
      <c r="AE14" s="148">
        <f t="shared" si="2"/>
        <v>-1.11986217080976E-2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42440</v>
      </c>
      <c r="X15" s="12">
        <v>80.180000000000007</v>
      </c>
      <c r="Y15" s="12">
        <v>81.38</v>
      </c>
      <c r="Z15" s="12">
        <v>79.91</v>
      </c>
      <c r="AA15" s="12">
        <v>81.260000000000005</v>
      </c>
      <c r="AB15" s="105">
        <v>3728700</v>
      </c>
      <c r="AC15" s="12">
        <v>81.260000000000005</v>
      </c>
      <c r="AD15" s="2">
        <f t="shared" si="1"/>
        <v>1.4699999999999989</v>
      </c>
      <c r="AE15" s="148">
        <f t="shared" si="2"/>
        <v>2.3683547493071444E-2</v>
      </c>
    </row>
    <row r="16" spans="1:31" x14ac:dyDescent="0.25">
      <c r="W16" s="143">
        <v>42439</v>
      </c>
      <c r="X16" s="12">
        <v>80.59</v>
      </c>
      <c r="Y16" s="12">
        <v>80.680000000000007</v>
      </c>
      <c r="Z16" s="12">
        <v>78.56</v>
      </c>
      <c r="AA16" s="12">
        <v>79.38</v>
      </c>
      <c r="AB16" s="105">
        <v>3949600</v>
      </c>
      <c r="AC16" s="12">
        <v>79.38</v>
      </c>
      <c r="AD16" s="2">
        <f t="shared" si="1"/>
        <v>2.1200000000000045</v>
      </c>
      <c r="AE16" s="148">
        <f t="shared" si="2"/>
        <v>-9.4834040429249145E-3</v>
      </c>
    </row>
    <row r="17" spans="2:31" x14ac:dyDescent="0.25">
      <c r="W17" s="143">
        <v>42438</v>
      </c>
      <c r="X17" s="12">
        <v>78.900000000000006</v>
      </c>
      <c r="Y17" s="12">
        <v>80.2</v>
      </c>
      <c r="Z17" s="12">
        <v>78.67</v>
      </c>
      <c r="AA17" s="12">
        <v>80.14</v>
      </c>
      <c r="AB17" s="105">
        <v>6028500</v>
      </c>
      <c r="AC17" s="12">
        <v>80.14</v>
      </c>
      <c r="AD17" s="2">
        <f t="shared" si="1"/>
        <v>1.5300000000000011</v>
      </c>
      <c r="AE17" s="148">
        <f t="shared" si="2"/>
        <v>2.4153354632587831E-2</v>
      </c>
    </row>
    <row r="18" spans="2:31" x14ac:dyDescent="0.25">
      <c r="W18" s="143">
        <v>42437</v>
      </c>
      <c r="X18" s="12">
        <v>80.64</v>
      </c>
      <c r="Y18" s="12">
        <v>81.06</v>
      </c>
      <c r="Z18" s="12">
        <v>78.150000000000006</v>
      </c>
      <c r="AA18" s="12">
        <v>78.25</v>
      </c>
      <c r="AB18" s="105">
        <v>5912100</v>
      </c>
      <c r="AC18" s="12">
        <v>78.25</v>
      </c>
      <c r="AD18" s="2">
        <f t="shared" si="1"/>
        <v>2.9099999999999966</v>
      </c>
      <c r="AE18" s="148">
        <f t="shared" si="2"/>
        <v>-3.9287906691221619E-2</v>
      </c>
    </row>
    <row r="19" spans="2:31" x14ac:dyDescent="0.25">
      <c r="W19" s="143">
        <v>42436</v>
      </c>
      <c r="X19" s="12">
        <v>80.03</v>
      </c>
      <c r="Y19" s="12">
        <v>81.569999999999993</v>
      </c>
      <c r="Z19" s="12">
        <v>79.75</v>
      </c>
      <c r="AA19" s="12">
        <v>81.45</v>
      </c>
      <c r="AB19" s="105">
        <v>6534300</v>
      </c>
      <c r="AC19" s="12">
        <v>81.45</v>
      </c>
      <c r="AD19" s="2">
        <f t="shared" si="1"/>
        <v>1.8199999999999932</v>
      </c>
      <c r="AE19" s="148">
        <f t="shared" si="2"/>
        <v>1.1801242236024967E-2</v>
      </c>
    </row>
    <row r="20" spans="2:31" x14ac:dyDescent="0.25">
      <c r="B20" s="209" t="s">
        <v>117</v>
      </c>
      <c r="C20" s="209" t="s">
        <v>167</v>
      </c>
      <c r="D20" s="210" t="s">
        <v>166</v>
      </c>
      <c r="E20" s="212" t="s">
        <v>168</v>
      </c>
      <c r="F20" s="212" t="s">
        <v>65</v>
      </c>
      <c r="G20" s="253" t="s">
        <v>172</v>
      </c>
      <c r="H20" s="253" t="s">
        <v>90</v>
      </c>
      <c r="I20" s="253" t="s">
        <v>179</v>
      </c>
      <c r="W20" s="143">
        <v>42433</v>
      </c>
      <c r="X20" s="12">
        <v>80.22</v>
      </c>
      <c r="Y20" s="12">
        <v>81.45</v>
      </c>
      <c r="Z20" s="12">
        <v>79.989999999999995</v>
      </c>
      <c r="AA20" s="12">
        <v>80.5</v>
      </c>
      <c r="AB20" s="105">
        <v>6411500</v>
      </c>
      <c r="AC20" s="12">
        <v>80.5</v>
      </c>
      <c r="AD20" s="2">
        <f t="shared" si="1"/>
        <v>1.460000000000008</v>
      </c>
      <c r="AE20" s="148">
        <f t="shared" si="2"/>
        <v>6.1242344706911034E-3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42432</v>
      </c>
      <c r="X21" s="12">
        <v>79.86</v>
      </c>
      <c r="Y21" s="12">
        <v>80.55</v>
      </c>
      <c r="Z21" s="12">
        <v>79.08</v>
      </c>
      <c r="AA21" s="12">
        <v>80.010000000000005</v>
      </c>
      <c r="AB21" s="105">
        <v>5167400</v>
      </c>
      <c r="AC21" s="12">
        <v>80.010000000000005</v>
      </c>
      <c r="AD21" s="2">
        <f t="shared" si="1"/>
        <v>1.4699999999999989</v>
      </c>
      <c r="AE21" s="148">
        <f t="shared" si="2"/>
        <v>6.4150943396226179E-3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42431</v>
      </c>
      <c r="X22" s="12">
        <v>80.239999999999995</v>
      </c>
      <c r="Y22" s="12">
        <v>80.83</v>
      </c>
      <c r="Z22" s="12">
        <v>79.25</v>
      </c>
      <c r="AA22" s="12">
        <v>79.5</v>
      </c>
      <c r="AB22" s="105">
        <v>5610200</v>
      </c>
      <c r="AC22" s="12">
        <v>79.5</v>
      </c>
      <c r="AD22" s="2">
        <f t="shared" si="1"/>
        <v>1.5799999999999983</v>
      </c>
      <c r="AE22" s="148">
        <f t="shared" si="2"/>
        <v>-7.7383924113829661E-3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42430</v>
      </c>
      <c r="X23" s="12">
        <v>79.7</v>
      </c>
      <c r="Y23" s="12">
        <v>80.92</v>
      </c>
      <c r="Z23" s="12">
        <v>79.14</v>
      </c>
      <c r="AA23" s="12">
        <v>80.12</v>
      </c>
      <c r="AB23" s="105">
        <v>5909800</v>
      </c>
      <c r="AC23" s="12">
        <v>80.12</v>
      </c>
      <c r="AD23" s="2">
        <f t="shared" si="1"/>
        <v>1.7800000000000011</v>
      </c>
      <c r="AE23" s="148">
        <f t="shared" si="2"/>
        <v>1.597768196804461E-2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42429</v>
      </c>
      <c r="X24" s="12">
        <v>79.81</v>
      </c>
      <c r="Y24" s="12">
        <v>79.98</v>
      </c>
      <c r="Z24" s="12">
        <v>78.75</v>
      </c>
      <c r="AA24" s="12">
        <v>78.86</v>
      </c>
      <c r="AB24" s="105">
        <v>5358600</v>
      </c>
      <c r="AC24" s="12">
        <v>78.86</v>
      </c>
      <c r="AD24" s="2">
        <f t="shared" si="1"/>
        <v>1.230000000000004</v>
      </c>
      <c r="AE24" s="148">
        <f t="shared" si="2"/>
        <v>-1.4249999999999985E-2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42426</v>
      </c>
      <c r="X25" s="12">
        <v>80.09</v>
      </c>
      <c r="Y25" s="12">
        <v>81.260000000000005</v>
      </c>
      <c r="Z25" s="12">
        <v>79.790000000000006</v>
      </c>
      <c r="AA25" s="12">
        <v>80</v>
      </c>
      <c r="AB25" s="105">
        <v>3836900</v>
      </c>
      <c r="AC25" s="12">
        <v>80</v>
      </c>
      <c r="AD25" s="2">
        <f t="shared" si="1"/>
        <v>1.4699999999999989</v>
      </c>
      <c r="AE25" s="148">
        <f t="shared" si="2"/>
        <v>8.5728693898134978E-3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42425</v>
      </c>
      <c r="X26" s="12">
        <v>79.5</v>
      </c>
      <c r="Y26" s="12">
        <v>80.349999999999994</v>
      </c>
      <c r="Z26" s="12">
        <v>78.53</v>
      </c>
      <c r="AA26" s="12">
        <v>79.319999999999993</v>
      </c>
      <c r="AB26" s="105">
        <v>3243000</v>
      </c>
      <c r="AC26" s="12">
        <v>79.319999999999993</v>
      </c>
      <c r="AD26" s="2">
        <f t="shared" si="1"/>
        <v>1.8199999999999932</v>
      </c>
      <c r="AE26" s="148" t="e">
        <f t="shared" si="2"/>
        <v>#DIV/0!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42425</v>
      </c>
      <c r="X27" s="12" t="s">
        <v>135</v>
      </c>
      <c r="Y27" s="12"/>
      <c r="Z27" s="12"/>
      <c r="AA27" s="12"/>
      <c r="AB27" s="105"/>
      <c r="AC27" s="12"/>
      <c r="AD27" s="2">
        <f t="shared" si="1"/>
        <v>0</v>
      </c>
      <c r="AE27" s="148">
        <f t="shared" si="2"/>
        <v>-1</v>
      </c>
    </row>
    <row r="28" spans="2:31" x14ac:dyDescent="0.25">
      <c r="W28" s="143">
        <v>42424</v>
      </c>
      <c r="X28" s="12">
        <v>78.02</v>
      </c>
      <c r="Y28" s="12">
        <v>80.290000000000006</v>
      </c>
      <c r="Z28" s="12">
        <v>77.069999999999993</v>
      </c>
      <c r="AA28" s="12">
        <v>80.09</v>
      </c>
      <c r="AB28" s="105">
        <v>4800500</v>
      </c>
      <c r="AC28" s="12">
        <v>79.540000000000006</v>
      </c>
      <c r="AD28" s="2">
        <f t="shared" si="1"/>
        <v>3.2200000000000131</v>
      </c>
      <c r="AE28" s="148">
        <f t="shared" si="2"/>
        <v>1.4411427113888653E-2</v>
      </c>
    </row>
    <row r="29" spans="2:31" x14ac:dyDescent="0.25">
      <c r="W29" s="143">
        <v>42423</v>
      </c>
      <c r="X29" s="12">
        <v>80.5</v>
      </c>
      <c r="Y29" s="12">
        <v>81.05</v>
      </c>
      <c r="Z29" s="12">
        <v>78.790000000000006</v>
      </c>
      <c r="AA29" s="12">
        <v>78.95</v>
      </c>
      <c r="AB29" s="105">
        <v>4966300</v>
      </c>
      <c r="AC29" s="12">
        <v>78.41</v>
      </c>
      <c r="AD29" s="2">
        <f t="shared" si="1"/>
        <v>2.2599999999999909</v>
      </c>
      <c r="AE29" s="148">
        <f t="shared" si="2"/>
        <v>-3.2572486119679223E-2</v>
      </c>
    </row>
    <row r="30" spans="2:31" x14ac:dyDescent="0.25">
      <c r="W30" s="143">
        <v>42422</v>
      </c>
      <c r="X30" s="12">
        <v>79.900000000000006</v>
      </c>
      <c r="Y30" s="12">
        <v>82.26</v>
      </c>
      <c r="Z30" s="12">
        <v>79.900000000000006</v>
      </c>
      <c r="AA30" s="12">
        <v>81.61</v>
      </c>
      <c r="AB30" s="105">
        <v>5448300</v>
      </c>
      <c r="AC30" s="12">
        <v>81.05</v>
      </c>
      <c r="AD30" s="2">
        <f t="shared" si="1"/>
        <v>2.3599999999999994</v>
      </c>
      <c r="AE30" s="148">
        <f t="shared" si="2"/>
        <v>2.1424070573409004E-2</v>
      </c>
    </row>
    <row r="31" spans="2:31" x14ac:dyDescent="0.25">
      <c r="W31" s="143">
        <v>42419</v>
      </c>
      <c r="X31" s="12">
        <v>78.52</v>
      </c>
      <c r="Y31" s="12">
        <v>80</v>
      </c>
      <c r="Z31" s="12">
        <v>78</v>
      </c>
      <c r="AA31" s="12">
        <v>79.900000000000006</v>
      </c>
      <c r="AB31" s="105">
        <v>4793200</v>
      </c>
      <c r="AC31" s="12">
        <v>79.349999999999994</v>
      </c>
      <c r="AD31" s="2">
        <f t="shared" si="1"/>
        <v>2</v>
      </c>
      <c r="AE31" s="148">
        <f t="shared" si="2"/>
        <v>1.5745007680491474E-2</v>
      </c>
    </row>
    <row r="32" spans="2:31" x14ac:dyDescent="0.25">
      <c r="W32" s="143">
        <v>42418</v>
      </c>
      <c r="X32" s="12">
        <v>79.760000000000005</v>
      </c>
      <c r="Y32" s="12">
        <v>80.13</v>
      </c>
      <c r="Z32" s="12">
        <v>78.180000000000007</v>
      </c>
      <c r="AA32" s="12">
        <v>78.66</v>
      </c>
      <c r="AB32" s="105">
        <v>5578000</v>
      </c>
      <c r="AC32" s="12">
        <v>78.12</v>
      </c>
      <c r="AD32" s="2">
        <f t="shared" si="1"/>
        <v>1.9499999999999886</v>
      </c>
      <c r="AE32" s="148">
        <f t="shared" si="2"/>
        <v>-1.6244805440120746E-2</v>
      </c>
    </row>
    <row r="33" spans="4:31" x14ac:dyDescent="0.25">
      <c r="W33" s="143">
        <v>42417</v>
      </c>
      <c r="X33" s="12">
        <v>78.72</v>
      </c>
      <c r="Y33" s="12">
        <v>80.5</v>
      </c>
      <c r="Z33" s="12">
        <v>78.47</v>
      </c>
      <c r="AA33" s="12">
        <v>79.959999999999994</v>
      </c>
      <c r="AB33" s="105">
        <v>6308000</v>
      </c>
      <c r="AC33" s="12">
        <v>79.41</v>
      </c>
      <c r="AD33" s="2">
        <f t="shared" si="1"/>
        <v>2.0300000000000011</v>
      </c>
      <c r="AE33" s="148">
        <f t="shared" si="2"/>
        <v>7.4854097944685449E-3</v>
      </c>
    </row>
    <row r="34" spans="4:31" x14ac:dyDescent="0.25">
      <c r="W34" s="143">
        <v>42416</v>
      </c>
      <c r="X34" s="12">
        <v>78</v>
      </c>
      <c r="Y34" s="12">
        <v>80.27</v>
      </c>
      <c r="Z34" s="12">
        <v>76.900000000000006</v>
      </c>
      <c r="AA34" s="12">
        <v>79.37</v>
      </c>
      <c r="AB34" s="105">
        <v>6640000</v>
      </c>
      <c r="AC34" s="12">
        <v>78.819999999999993</v>
      </c>
      <c r="AD34" s="2">
        <f t="shared" si="1"/>
        <v>3.3699999999999903</v>
      </c>
      <c r="AE34" s="148">
        <f t="shared" si="2"/>
        <v>2.8042259032215799E-2</v>
      </c>
    </row>
    <row r="35" spans="4:31" x14ac:dyDescent="0.25">
      <c r="W35" s="143">
        <v>42412</v>
      </c>
      <c r="X35" s="12">
        <v>77.33</v>
      </c>
      <c r="Y35" s="12">
        <v>78.34</v>
      </c>
      <c r="Z35" s="12">
        <v>76.25</v>
      </c>
      <c r="AA35" s="12">
        <v>77.2</v>
      </c>
      <c r="AB35" s="105">
        <v>5716400</v>
      </c>
      <c r="AC35" s="12">
        <v>76.67</v>
      </c>
      <c r="AD35" s="2">
        <f t="shared" si="1"/>
        <v>2.0900000000000034</v>
      </c>
      <c r="AE35" s="148">
        <f t="shared" si="2"/>
        <v>2.1994134897360684E-2</v>
      </c>
    </row>
    <row r="36" spans="4:31" x14ac:dyDescent="0.25">
      <c r="W36" s="143">
        <v>42411</v>
      </c>
      <c r="X36" s="12">
        <v>75.73</v>
      </c>
      <c r="Y36" s="12">
        <v>76.31</v>
      </c>
      <c r="Z36" s="12">
        <v>73.59</v>
      </c>
      <c r="AA36" s="12">
        <v>75.540000000000006</v>
      </c>
      <c r="AB36" s="105">
        <v>6715200</v>
      </c>
      <c r="AC36" s="12">
        <v>75.02</v>
      </c>
      <c r="AD36" s="2">
        <f t="shared" si="1"/>
        <v>2.7199999999999989</v>
      </c>
      <c r="AE36" s="148">
        <f t="shared" si="2"/>
        <v>-1.8191336212537657E-2</v>
      </c>
    </row>
    <row r="37" spans="4:31" x14ac:dyDescent="0.25">
      <c r="W37" s="143">
        <v>42410</v>
      </c>
      <c r="X37" s="12">
        <v>78.02</v>
      </c>
      <c r="Y37" s="12">
        <v>78.62</v>
      </c>
      <c r="Z37" s="12">
        <v>76.34</v>
      </c>
      <c r="AA37" s="12">
        <v>76.94</v>
      </c>
      <c r="AB37" s="105">
        <v>6259900</v>
      </c>
      <c r="AC37" s="12">
        <v>76.41</v>
      </c>
      <c r="AD37" s="2">
        <f t="shared" si="1"/>
        <v>2.2800000000000011</v>
      </c>
      <c r="AE37" s="148">
        <f t="shared" si="2"/>
        <v>-2.3501762632198719E-3</v>
      </c>
    </row>
    <row r="38" spans="4:31" x14ac:dyDescent="0.25">
      <c r="D38" s="76"/>
      <c r="W38" s="143">
        <v>42409</v>
      </c>
      <c r="X38" s="12">
        <v>75.099999999999994</v>
      </c>
      <c r="Y38" s="12">
        <v>77.849999999999994</v>
      </c>
      <c r="Z38" s="12">
        <v>75</v>
      </c>
      <c r="AA38" s="12">
        <v>77.12</v>
      </c>
      <c r="AB38" s="105">
        <v>7406300</v>
      </c>
      <c r="AC38" s="12">
        <v>76.59</v>
      </c>
      <c r="AD38" s="2">
        <f t="shared" si="1"/>
        <v>2.8499999999999943</v>
      </c>
      <c r="AE38" s="148">
        <f t="shared" si="2"/>
        <v>1.4302741358760418E-2</v>
      </c>
    </row>
    <row r="39" spans="4:31" x14ac:dyDescent="0.25">
      <c r="W39" s="143">
        <v>42408</v>
      </c>
      <c r="X39" s="12">
        <v>74.48</v>
      </c>
      <c r="Y39" s="12">
        <v>76.56</v>
      </c>
      <c r="Z39" s="12">
        <v>73.459999999999994</v>
      </c>
      <c r="AA39" s="12">
        <v>76.03</v>
      </c>
      <c r="AB39" s="105">
        <v>7602400</v>
      </c>
      <c r="AC39" s="12">
        <v>75.510000000000005</v>
      </c>
      <c r="AD39" s="2">
        <f t="shared" si="1"/>
        <v>3.1000000000000085</v>
      </c>
      <c r="AE39" s="148">
        <f t="shared" si="2"/>
        <v>1.3421017313112404E-2</v>
      </c>
    </row>
    <row r="40" spans="4:31" x14ac:dyDescent="0.25">
      <c r="W40" s="143">
        <v>42405</v>
      </c>
      <c r="X40" s="12">
        <v>75.209999999999994</v>
      </c>
      <c r="Y40" s="12">
        <v>76.010000000000005</v>
      </c>
      <c r="Z40" s="12">
        <v>74.2</v>
      </c>
      <c r="AA40" s="12">
        <v>75.03</v>
      </c>
      <c r="AB40" s="105">
        <v>5768200</v>
      </c>
      <c r="AC40" s="12">
        <v>74.510000000000005</v>
      </c>
      <c r="AD40" s="2">
        <f t="shared" si="1"/>
        <v>1.8100000000000023</v>
      </c>
      <c r="AE40" s="148">
        <f t="shared" si="2"/>
        <v>-6.5333333333332799E-3</v>
      </c>
    </row>
    <row r="41" spans="4:31" x14ac:dyDescent="0.25">
      <c r="W41" s="143">
        <v>42404</v>
      </c>
      <c r="X41" s="12">
        <v>72.02</v>
      </c>
      <c r="Y41" s="12">
        <v>76.42</v>
      </c>
      <c r="Z41" s="12">
        <v>72.02</v>
      </c>
      <c r="AA41" s="12">
        <v>75.52</v>
      </c>
      <c r="AB41" s="105">
        <v>7297000</v>
      </c>
      <c r="AC41" s="12">
        <v>75</v>
      </c>
      <c r="AD41" s="2">
        <f t="shared" si="1"/>
        <v>4.4000000000000057</v>
      </c>
      <c r="AE41" s="148">
        <f t="shared" si="2"/>
        <v>4.5150501672240662E-2</v>
      </c>
    </row>
    <row r="42" spans="4:31" x14ac:dyDescent="0.25">
      <c r="W42" s="143">
        <v>42403</v>
      </c>
      <c r="X42" s="12">
        <v>71.989999999999995</v>
      </c>
      <c r="Y42" s="12">
        <v>72.39</v>
      </c>
      <c r="Z42" s="12">
        <v>70.540000000000006</v>
      </c>
      <c r="AA42" s="12">
        <v>72.260000000000005</v>
      </c>
      <c r="AB42" s="105">
        <v>6501200</v>
      </c>
      <c r="AC42" s="12">
        <v>71.760000000000005</v>
      </c>
      <c r="AD42" s="2">
        <f t="shared" si="1"/>
        <v>1.8499999999999943</v>
      </c>
      <c r="AE42" s="148">
        <f t="shared" si="2"/>
        <v>7.5821398483573166E-3</v>
      </c>
    </row>
    <row r="43" spans="4:31" x14ac:dyDescent="0.25">
      <c r="W43" s="143">
        <v>42402</v>
      </c>
      <c r="X43" s="12">
        <v>73.260000000000005</v>
      </c>
      <c r="Y43" s="12">
        <v>73.36</v>
      </c>
      <c r="Z43" s="12">
        <v>71.17</v>
      </c>
      <c r="AA43" s="12">
        <v>71.709999999999994</v>
      </c>
      <c r="AB43" s="105">
        <v>8607400</v>
      </c>
      <c r="AC43" s="12">
        <v>71.22</v>
      </c>
      <c r="AD43" s="2">
        <f t="shared" si="1"/>
        <v>2.1899999999999977</v>
      </c>
      <c r="AE43" s="148">
        <f t="shared" si="2"/>
        <v>-1.8873123019699789E-2</v>
      </c>
    </row>
    <row r="44" spans="4:31" x14ac:dyDescent="0.25">
      <c r="W44" s="143">
        <v>42401</v>
      </c>
      <c r="X44" s="12">
        <v>70.900000000000006</v>
      </c>
      <c r="Y44" s="12">
        <v>73.56</v>
      </c>
      <c r="Z44" s="12">
        <v>70.349999999999994</v>
      </c>
      <c r="AA44" s="12">
        <v>73.09</v>
      </c>
      <c r="AB44" s="105">
        <v>8402900</v>
      </c>
      <c r="AC44" s="12">
        <v>72.59</v>
      </c>
      <c r="AD44" s="2">
        <f t="shared" si="1"/>
        <v>3.210000000000008</v>
      </c>
      <c r="AE44" s="148">
        <f t="shared" si="2"/>
        <v>1.5102782827576489E-2</v>
      </c>
    </row>
    <row r="45" spans="4:31" x14ac:dyDescent="0.25">
      <c r="W45" s="143">
        <v>42398</v>
      </c>
      <c r="X45" s="12">
        <v>70.5</v>
      </c>
      <c r="Y45" s="12">
        <v>72.03</v>
      </c>
      <c r="Z45" s="12">
        <v>70.17</v>
      </c>
      <c r="AA45" s="12">
        <v>72</v>
      </c>
      <c r="AB45" s="105">
        <v>6920500</v>
      </c>
      <c r="AC45" s="12">
        <v>71.510000000000005</v>
      </c>
      <c r="AD45" s="2">
        <f t="shared" si="1"/>
        <v>1.8599999999999994</v>
      </c>
      <c r="AE45" s="148">
        <f t="shared" si="2"/>
        <v>2.6262916188289243E-2</v>
      </c>
    </row>
    <row r="46" spans="4:31" ht="20.25" thickBot="1" x14ac:dyDescent="0.35">
      <c r="O46" s="420" t="s">
        <v>78</v>
      </c>
      <c r="P46" s="420"/>
      <c r="Q46" s="37"/>
      <c r="R46"/>
      <c r="T46" s="101" t="s">
        <v>116</v>
      </c>
      <c r="W46" s="143">
        <v>42397</v>
      </c>
      <c r="X46" s="12">
        <v>69.849999999999994</v>
      </c>
      <c r="Y46" s="12">
        <v>70.31</v>
      </c>
      <c r="Z46" s="12">
        <v>68.72</v>
      </c>
      <c r="AA46" s="12">
        <v>70.16</v>
      </c>
      <c r="AB46" s="105">
        <v>6741300</v>
      </c>
      <c r="AC46" s="12">
        <v>69.680000000000007</v>
      </c>
      <c r="AD46" s="2">
        <f t="shared" si="1"/>
        <v>1.5900000000000034</v>
      </c>
      <c r="AE46" s="148">
        <f t="shared" si="2"/>
        <v>1.5891529377460412E-2</v>
      </c>
    </row>
    <row r="47" spans="4:31" ht="15.75" thickTop="1" x14ac:dyDescent="0.25">
      <c r="O47" s="93">
        <v>1.1000000000000001</v>
      </c>
      <c r="P47" s="93">
        <f>O47*$Q$4</f>
        <v>86.812000000000012</v>
      </c>
      <c r="Q47" s="37"/>
      <c r="R47"/>
      <c r="T47" s="107" t="s">
        <v>101</v>
      </c>
      <c r="U47" s="139">
        <v>83.25</v>
      </c>
      <c r="W47" s="143">
        <v>42396</v>
      </c>
      <c r="X47" s="12">
        <v>70</v>
      </c>
      <c r="Y47" s="12">
        <v>70.97</v>
      </c>
      <c r="Z47" s="12">
        <v>68.72</v>
      </c>
      <c r="AA47" s="12">
        <v>69.06</v>
      </c>
      <c r="AB47" s="105">
        <v>6202400</v>
      </c>
      <c r="AC47" s="12">
        <v>68.59</v>
      </c>
      <c r="AD47" s="2">
        <f t="shared" si="1"/>
        <v>2.25</v>
      </c>
      <c r="AE47" s="148">
        <f t="shared" si="2"/>
        <v>-1.3944795859689441E-2</v>
      </c>
    </row>
    <row r="48" spans="4:31" x14ac:dyDescent="0.25">
      <c r="O48" s="93">
        <v>1.0900000000000001</v>
      </c>
      <c r="P48" s="93">
        <f t="shared" ref="P48:P67" si="8">O48*$Q$4</f>
        <v>86.022800000000004</v>
      </c>
      <c r="Q48" s="37"/>
      <c r="R48"/>
      <c r="T48" s="97" t="s">
        <v>102</v>
      </c>
      <c r="U48" s="140" t="s">
        <v>134</v>
      </c>
      <c r="W48" s="143">
        <v>42395</v>
      </c>
      <c r="X48" s="12">
        <v>69.34</v>
      </c>
      <c r="Y48" s="12">
        <v>70.47</v>
      </c>
      <c r="Z48" s="12">
        <v>69.11</v>
      </c>
      <c r="AA48" s="12">
        <v>70.040000000000006</v>
      </c>
      <c r="AB48" s="105">
        <v>6741200</v>
      </c>
      <c r="AC48" s="12">
        <v>69.56</v>
      </c>
      <c r="AD48" s="2">
        <f t="shared" si="1"/>
        <v>1.3599999999999994</v>
      </c>
      <c r="AE48" s="148">
        <f t="shared" si="2"/>
        <v>1.8149882903981451E-2</v>
      </c>
    </row>
    <row r="49" spans="15:31" x14ac:dyDescent="0.25">
      <c r="O49" s="93">
        <v>1.08</v>
      </c>
      <c r="P49" s="93">
        <f t="shared" si="8"/>
        <v>85.23360000000001</v>
      </c>
      <c r="Q49" s="37"/>
      <c r="R49"/>
      <c r="T49" s="97" t="s">
        <v>103</v>
      </c>
      <c r="U49" s="140" t="s">
        <v>134</v>
      </c>
      <c r="W49" s="143">
        <v>42394</v>
      </c>
      <c r="X49" s="12">
        <v>69.66</v>
      </c>
      <c r="Y49" s="12">
        <v>69.77</v>
      </c>
      <c r="Z49" s="12">
        <v>68.66</v>
      </c>
      <c r="AA49" s="12">
        <v>68.790000000000006</v>
      </c>
      <c r="AB49" s="105">
        <v>7171400</v>
      </c>
      <c r="AC49" s="12">
        <v>68.319999999999993</v>
      </c>
      <c r="AD49" s="2">
        <f t="shared" si="1"/>
        <v>1.1099999999999994</v>
      </c>
      <c r="AE49" s="148">
        <f t="shared" si="2"/>
        <v>-1.7119838872104887E-2</v>
      </c>
    </row>
    <row r="50" spans="15:31" x14ac:dyDescent="0.25">
      <c r="O50" s="93">
        <v>1.07</v>
      </c>
      <c r="P50" s="93">
        <f t="shared" si="8"/>
        <v>84.444400000000002</v>
      </c>
      <c r="Q50" s="93"/>
      <c r="R50"/>
      <c r="T50" s="97" t="s">
        <v>104</v>
      </c>
      <c r="U50" s="140" t="s">
        <v>134</v>
      </c>
      <c r="W50" s="143">
        <v>42391</v>
      </c>
      <c r="X50" s="12">
        <v>71.34</v>
      </c>
      <c r="Y50" s="12">
        <v>72.349999999999994</v>
      </c>
      <c r="Z50" s="12">
        <v>68.430000000000007</v>
      </c>
      <c r="AA50" s="12">
        <v>69.989999999999995</v>
      </c>
      <c r="AB50" s="105">
        <v>15358600</v>
      </c>
      <c r="AC50" s="12">
        <v>69.510000000000005</v>
      </c>
      <c r="AD50" s="2">
        <f t="shared" si="1"/>
        <v>3.9199999999999875</v>
      </c>
      <c r="AE50" s="148">
        <f t="shared" si="2"/>
        <v>-1.4182385477237269E-2</v>
      </c>
    </row>
    <row r="51" spans="15:31" x14ac:dyDescent="0.25">
      <c r="O51" s="93">
        <v>1.06</v>
      </c>
      <c r="P51" s="93">
        <f t="shared" si="8"/>
        <v>83.655200000000008</v>
      </c>
      <c r="Q51" s="93"/>
      <c r="R51"/>
      <c r="T51" s="97" t="s">
        <v>105</v>
      </c>
      <c r="U51" s="140">
        <v>83.7</v>
      </c>
      <c r="W51" s="143">
        <v>42390</v>
      </c>
      <c r="X51" s="12">
        <v>69.5</v>
      </c>
      <c r="Y51" s="12">
        <v>71.73</v>
      </c>
      <c r="Z51" s="12">
        <v>67.06</v>
      </c>
      <c r="AA51" s="12">
        <v>71</v>
      </c>
      <c r="AB51" s="105">
        <v>19539900</v>
      </c>
      <c r="AC51" s="12">
        <v>70.510000000000005</v>
      </c>
      <c r="AD51" s="2">
        <f t="shared" si="1"/>
        <v>4.6700000000000017</v>
      </c>
      <c r="AE51" s="148">
        <f t="shared" si="2"/>
        <v>-3.5430916552667391E-2</v>
      </c>
    </row>
    <row r="52" spans="15:31" x14ac:dyDescent="0.25">
      <c r="O52" s="93">
        <v>1.05</v>
      </c>
      <c r="P52" s="93">
        <f t="shared" si="8"/>
        <v>82.866</v>
      </c>
      <c r="Q52" s="93"/>
      <c r="R52"/>
      <c r="T52" s="97" t="s">
        <v>106</v>
      </c>
      <c r="U52" s="140">
        <v>1.1974100000000001</v>
      </c>
      <c r="W52" s="143">
        <v>42389</v>
      </c>
      <c r="X52" s="12">
        <v>72.680000000000007</v>
      </c>
      <c r="Y52" s="12">
        <v>74.150000000000006</v>
      </c>
      <c r="Z52" s="12">
        <v>71.569999999999993</v>
      </c>
      <c r="AA52" s="12">
        <v>73.61</v>
      </c>
      <c r="AB52" s="105">
        <v>10549900</v>
      </c>
      <c r="AC52" s="12">
        <v>73.099999999999994</v>
      </c>
      <c r="AD52" s="2">
        <f t="shared" si="1"/>
        <v>2.5800000000000125</v>
      </c>
      <c r="AE52" s="148">
        <f t="shared" si="2"/>
        <v>-6.658513384970921E-3</v>
      </c>
    </row>
    <row r="53" spans="15:31" x14ac:dyDescent="0.25">
      <c r="O53" s="93">
        <v>1.04</v>
      </c>
      <c r="P53" s="93">
        <f t="shared" si="8"/>
        <v>82.076800000000006</v>
      </c>
      <c r="Q53" s="93"/>
      <c r="R53"/>
      <c r="T53" s="97" t="s">
        <v>107</v>
      </c>
      <c r="U53" s="104" t="s">
        <v>285</v>
      </c>
      <c r="W53" s="143">
        <v>42388</v>
      </c>
      <c r="X53" s="12">
        <v>74.989999999999995</v>
      </c>
      <c r="Y53" s="12">
        <v>75.16</v>
      </c>
      <c r="Z53" s="12">
        <v>73.27</v>
      </c>
      <c r="AA53" s="12">
        <v>74.099999999999994</v>
      </c>
      <c r="AB53" s="105">
        <v>7470100</v>
      </c>
      <c r="AC53" s="12">
        <v>73.59</v>
      </c>
      <c r="AD53" s="2">
        <f t="shared" si="1"/>
        <v>1.8900000000000006</v>
      </c>
      <c r="AE53" s="148">
        <f t="shared" si="2"/>
        <v>-1.3586956521727256E-4</v>
      </c>
    </row>
    <row r="54" spans="15:31" x14ac:dyDescent="0.25">
      <c r="O54" s="93">
        <v>1.03</v>
      </c>
      <c r="P54" s="93">
        <f t="shared" si="8"/>
        <v>81.287599999999998</v>
      </c>
      <c r="Q54" s="93"/>
      <c r="R54"/>
      <c r="T54" s="97"/>
      <c r="U54" s="140"/>
      <c r="W54" s="143">
        <v>42384</v>
      </c>
      <c r="X54" s="12">
        <v>72.84</v>
      </c>
      <c r="Y54" s="12">
        <v>74.27</v>
      </c>
      <c r="Z54" s="12">
        <v>72.63</v>
      </c>
      <c r="AA54" s="12">
        <v>74.11</v>
      </c>
      <c r="AB54" s="105">
        <v>7460000</v>
      </c>
      <c r="AC54" s="12">
        <v>73.599999999999994</v>
      </c>
      <c r="AD54" s="2">
        <f t="shared" si="1"/>
        <v>1.6400000000000006</v>
      </c>
      <c r="AE54" s="148">
        <f t="shared" si="2"/>
        <v>-1.7356475300400631E-2</v>
      </c>
    </row>
    <row r="55" spans="15:31" x14ac:dyDescent="0.25">
      <c r="O55" s="93">
        <v>1.02</v>
      </c>
      <c r="P55" s="93">
        <f t="shared" si="8"/>
        <v>80.498400000000004</v>
      </c>
      <c r="Q55" s="93"/>
      <c r="R55"/>
      <c r="T55" s="97" t="s">
        <v>108</v>
      </c>
      <c r="U55" s="140" t="s">
        <v>302</v>
      </c>
      <c r="W55" s="143">
        <v>42383</v>
      </c>
      <c r="X55" s="12">
        <v>73.86</v>
      </c>
      <c r="Y55" s="12">
        <v>76.599999999999994</v>
      </c>
      <c r="Z55" s="12">
        <v>73.7</v>
      </c>
      <c r="AA55" s="12">
        <v>75.42</v>
      </c>
      <c r="AB55" s="105">
        <v>7457600</v>
      </c>
      <c r="AC55" s="12">
        <v>74.900000000000006</v>
      </c>
      <c r="AD55" s="2">
        <f t="shared" si="1"/>
        <v>2.8999999999999915</v>
      </c>
      <c r="AE55" s="148">
        <f t="shared" si="2"/>
        <v>2.1270793564221568E-2</v>
      </c>
    </row>
    <row r="56" spans="15:31" x14ac:dyDescent="0.25">
      <c r="O56" s="93">
        <v>1.01</v>
      </c>
      <c r="P56" s="93">
        <f t="shared" si="8"/>
        <v>79.709199999999996</v>
      </c>
      <c r="Q56" s="93"/>
      <c r="R56"/>
      <c r="T56" s="97" t="s">
        <v>109</v>
      </c>
      <c r="U56" s="140" t="s">
        <v>271</v>
      </c>
      <c r="W56" s="143">
        <v>42382</v>
      </c>
      <c r="X56" s="12">
        <v>76.2</v>
      </c>
      <c r="Y56" s="12">
        <v>76.84</v>
      </c>
      <c r="Z56" s="12">
        <v>73.209999999999994</v>
      </c>
      <c r="AA56" s="12">
        <v>73.849999999999994</v>
      </c>
      <c r="AB56" s="105">
        <v>8618400</v>
      </c>
      <c r="AC56" s="12">
        <v>73.34</v>
      </c>
      <c r="AD56" s="2">
        <f t="shared" si="1"/>
        <v>3.6300000000000097</v>
      </c>
      <c r="AE56" s="148">
        <f t="shared" si="2"/>
        <v>-3.1815181518151769E-2</v>
      </c>
    </row>
    <row r="57" spans="15:31" x14ac:dyDescent="0.25">
      <c r="O57" s="93">
        <v>1</v>
      </c>
      <c r="P57" s="93">
        <f t="shared" si="8"/>
        <v>78.92</v>
      </c>
      <c r="Q57" s="93"/>
      <c r="R57"/>
      <c r="T57" s="97" t="s">
        <v>110</v>
      </c>
      <c r="U57" s="141">
        <v>0</v>
      </c>
      <c r="W57" s="143">
        <v>42381</v>
      </c>
      <c r="X57" s="12">
        <v>75.510000000000005</v>
      </c>
      <c r="Y57" s="12">
        <v>76.459999999999994</v>
      </c>
      <c r="Z57" s="12">
        <v>74.38</v>
      </c>
      <c r="AA57" s="12">
        <v>76.27</v>
      </c>
      <c r="AB57" s="105">
        <v>6985600</v>
      </c>
      <c r="AC57" s="12">
        <v>75.75</v>
      </c>
      <c r="AD57" s="2">
        <f t="shared" si="1"/>
        <v>2.0799999999999983</v>
      </c>
      <c r="AE57" s="148">
        <f t="shared" si="2"/>
        <v>1.9515477792732216E-2</v>
      </c>
    </row>
    <row r="58" spans="15:31" x14ac:dyDescent="0.25">
      <c r="O58" s="93">
        <v>0.99</v>
      </c>
      <c r="P58" s="93">
        <f t="shared" si="8"/>
        <v>78.130800000000008</v>
      </c>
      <c r="Q58" s="93"/>
      <c r="R58"/>
      <c r="T58" s="97" t="s">
        <v>113</v>
      </c>
      <c r="U58" s="141">
        <v>1818890</v>
      </c>
      <c r="W58" s="143">
        <v>42380</v>
      </c>
      <c r="X58" s="12">
        <v>74.36</v>
      </c>
      <c r="Y58" s="12">
        <v>75.05</v>
      </c>
      <c r="Z58" s="12">
        <v>73.63</v>
      </c>
      <c r="AA58" s="12">
        <v>74.81</v>
      </c>
      <c r="AB58" s="105">
        <v>7763500</v>
      </c>
      <c r="AC58" s="12">
        <v>74.3</v>
      </c>
      <c r="AD58" s="2">
        <f t="shared" si="1"/>
        <v>1.4200000000000017</v>
      </c>
      <c r="AE58" s="148">
        <f t="shared" si="2"/>
        <v>1.2951601908657073E-2</v>
      </c>
    </row>
    <row r="59" spans="15:31" x14ac:dyDescent="0.25">
      <c r="O59" s="93">
        <v>0.98</v>
      </c>
      <c r="P59" s="93">
        <f t="shared" si="8"/>
        <v>77.3416</v>
      </c>
      <c r="Q59" s="93"/>
      <c r="R59"/>
      <c r="T59" s="97" t="s">
        <v>111</v>
      </c>
      <c r="U59" s="140" t="s">
        <v>316</v>
      </c>
      <c r="W59" s="143">
        <v>42377</v>
      </c>
      <c r="X59" s="12">
        <v>73.56</v>
      </c>
      <c r="Y59" s="12">
        <v>74.38</v>
      </c>
      <c r="Z59" s="12">
        <v>73.2</v>
      </c>
      <c r="AA59" s="12">
        <v>73.86</v>
      </c>
      <c r="AB59" s="105">
        <v>7567700</v>
      </c>
      <c r="AC59" s="12">
        <v>73.349999999999994</v>
      </c>
      <c r="AD59" s="2">
        <f t="shared" si="1"/>
        <v>1.1799999999999926</v>
      </c>
      <c r="AE59" s="148">
        <f t="shared" si="2"/>
        <v>1.0608983190961707E-2</v>
      </c>
    </row>
    <row r="60" spans="15:31" x14ac:dyDescent="0.25">
      <c r="O60" s="93">
        <v>0.97</v>
      </c>
      <c r="P60" s="93">
        <f t="shared" si="8"/>
        <v>76.552400000000006</v>
      </c>
      <c r="Q60" s="93"/>
      <c r="R60"/>
      <c r="T60" s="97" t="s">
        <v>114</v>
      </c>
      <c r="U60" s="140">
        <v>16.34</v>
      </c>
      <c r="W60" s="143">
        <v>42376</v>
      </c>
      <c r="X60" s="12">
        <v>73.39</v>
      </c>
      <c r="Y60" s="12">
        <v>74.19</v>
      </c>
      <c r="Z60" s="12">
        <v>72.42</v>
      </c>
      <c r="AA60" s="12">
        <v>73.08</v>
      </c>
      <c r="AB60" s="105">
        <v>9077600</v>
      </c>
      <c r="AC60" s="12">
        <v>72.58</v>
      </c>
      <c r="AD60" s="2">
        <f t="shared" si="1"/>
        <v>1.769999999999996</v>
      </c>
      <c r="AE60" s="148">
        <f t="shared" si="2"/>
        <v>-2.3412271259418693E-2</v>
      </c>
    </row>
    <row r="61" spans="15:31" x14ac:dyDescent="0.25">
      <c r="O61" s="93">
        <v>0.96</v>
      </c>
      <c r="P61" s="93">
        <f t="shared" si="8"/>
        <v>75.763199999999998</v>
      </c>
      <c r="Q61" s="93"/>
      <c r="R61"/>
      <c r="T61" s="97" t="s">
        <v>115</v>
      </c>
      <c r="U61" s="140">
        <v>5.0999999999999996</v>
      </c>
      <c r="W61" s="143">
        <v>42375</v>
      </c>
      <c r="X61" s="12">
        <v>76.75</v>
      </c>
      <c r="Y61" s="12">
        <v>77.19</v>
      </c>
      <c r="Z61" s="12">
        <v>74.239999999999995</v>
      </c>
      <c r="AA61" s="12">
        <v>74.83</v>
      </c>
      <c r="AB61" s="105">
        <v>8125200</v>
      </c>
      <c r="AC61" s="12">
        <v>74.319999999999993</v>
      </c>
      <c r="AD61" s="2">
        <f t="shared" si="1"/>
        <v>2.9500000000000028</v>
      </c>
      <c r="AE61" s="148">
        <f t="shared" si="2"/>
        <v>-4.3131196086005019E-2</v>
      </c>
    </row>
    <row r="62" spans="15:31" x14ac:dyDescent="0.25">
      <c r="O62" s="93">
        <v>0.95</v>
      </c>
      <c r="P62" s="93">
        <f t="shared" si="8"/>
        <v>74.974000000000004</v>
      </c>
      <c r="Q62" s="93"/>
      <c r="R62"/>
      <c r="T62" s="97" t="s">
        <v>112</v>
      </c>
      <c r="U62" s="140" t="s">
        <v>317</v>
      </c>
      <c r="W62" s="143">
        <v>42374</v>
      </c>
      <c r="X62" s="12">
        <v>79.010000000000005</v>
      </c>
      <c r="Y62" s="12">
        <v>79.34</v>
      </c>
      <c r="Z62" s="12">
        <v>77.3</v>
      </c>
      <c r="AA62" s="12">
        <v>78.209999999999994</v>
      </c>
      <c r="AB62" s="105">
        <v>6117300</v>
      </c>
      <c r="AC62" s="12">
        <v>77.67</v>
      </c>
      <c r="AD62" s="2">
        <f t="shared" si="1"/>
        <v>2.0400000000000063</v>
      </c>
      <c r="AE62" s="148">
        <f t="shared" si="2"/>
        <v>-9.6901695779676444E-3</v>
      </c>
    </row>
    <row r="63" spans="15:31" x14ac:dyDescent="0.25">
      <c r="O63" s="93">
        <v>0.94</v>
      </c>
      <c r="P63" s="93">
        <f t="shared" si="8"/>
        <v>74.184799999999996</v>
      </c>
      <c r="Q63" s="93"/>
      <c r="R63"/>
      <c r="T63" s="96"/>
      <c r="W63" s="143">
        <v>42373</v>
      </c>
      <c r="X63" s="12">
        <v>76.87</v>
      </c>
      <c r="Y63" s="12">
        <v>79.040000000000006</v>
      </c>
      <c r="Z63" s="12">
        <v>76.13</v>
      </c>
      <c r="AA63" s="12">
        <v>78.97</v>
      </c>
      <c r="AB63" s="105">
        <v>6902600</v>
      </c>
      <c r="AC63" s="12">
        <v>78.430000000000007</v>
      </c>
      <c r="AD63" s="2">
        <f t="shared" si="1"/>
        <v>2.9100000000000108</v>
      </c>
      <c r="AE63" s="148">
        <f t="shared" si="2"/>
        <v>9.9150141643060685E-3</v>
      </c>
    </row>
    <row r="64" spans="15:31" x14ac:dyDescent="0.25">
      <c r="O64" s="93">
        <v>0.93</v>
      </c>
      <c r="P64" s="93">
        <f t="shared" si="8"/>
        <v>73.395600000000002</v>
      </c>
      <c r="Q64" s="93"/>
      <c r="R64"/>
      <c r="S64" s="96"/>
      <c r="T64"/>
      <c r="W64" s="143">
        <v>42369</v>
      </c>
      <c r="X64" s="12">
        <v>77.73</v>
      </c>
      <c r="Y64" s="12">
        <v>79.150000000000006</v>
      </c>
      <c r="Z64" s="12">
        <v>77.569999999999993</v>
      </c>
      <c r="AA64" s="12">
        <v>78.2</v>
      </c>
      <c r="AB64" s="105">
        <v>3754600</v>
      </c>
      <c r="AC64" s="12">
        <v>77.66</v>
      </c>
      <c r="AD64" s="2">
        <f t="shared" si="1"/>
        <v>1.5800000000000125</v>
      </c>
      <c r="AE64" s="148">
        <f t="shared" si="2"/>
        <v>-3.9758881621136943E-3</v>
      </c>
    </row>
    <row r="65" spans="15:31" x14ac:dyDescent="0.25">
      <c r="O65" s="93">
        <v>0.92</v>
      </c>
      <c r="P65" s="93">
        <f t="shared" si="8"/>
        <v>72.606400000000008</v>
      </c>
      <c r="Q65" s="93"/>
      <c r="R65"/>
      <c r="S65" s="96"/>
      <c r="T65"/>
      <c r="W65" s="143">
        <v>42368</v>
      </c>
      <c r="X65" s="12">
        <v>78.66</v>
      </c>
      <c r="Y65" s="12">
        <v>78.78</v>
      </c>
      <c r="Z65" s="12">
        <v>78.16</v>
      </c>
      <c r="AA65" s="12">
        <v>78.510000000000005</v>
      </c>
      <c r="AB65" s="105">
        <v>3685500</v>
      </c>
      <c r="AC65" s="12">
        <v>77.97</v>
      </c>
      <c r="AD65" s="2">
        <f t="shared" si="1"/>
        <v>0.62000000000000455</v>
      </c>
      <c r="AE65" s="148">
        <f t="shared" si="2"/>
        <v>-5.8651026392962935E-3</v>
      </c>
    </row>
    <row r="66" spans="15:31" x14ac:dyDescent="0.25">
      <c r="O66" s="93">
        <v>0.91</v>
      </c>
      <c r="P66" s="93">
        <f t="shared" si="8"/>
        <v>71.8172</v>
      </c>
      <c r="Q66" s="93"/>
      <c r="R66"/>
      <c r="S66" s="96"/>
      <c r="T66"/>
      <c r="W66" s="143">
        <v>42367</v>
      </c>
      <c r="X66" s="12">
        <v>78.599999999999994</v>
      </c>
      <c r="Y66" s="12">
        <v>79.05</v>
      </c>
      <c r="Z66" s="12">
        <v>78.11</v>
      </c>
      <c r="AA66" s="12">
        <v>78.97</v>
      </c>
      <c r="AB66" s="105">
        <v>3505600</v>
      </c>
      <c r="AC66" s="12">
        <v>78.430000000000007</v>
      </c>
      <c r="AD66" s="2">
        <f t="shared" si="1"/>
        <v>0.93999999999999773</v>
      </c>
      <c r="AE66" s="148">
        <f t="shared" si="2"/>
        <v>8.0976863753214889E-3</v>
      </c>
    </row>
    <row r="67" spans="15:31" x14ac:dyDescent="0.25">
      <c r="O67" s="93">
        <v>0.9</v>
      </c>
      <c r="P67" s="93">
        <f t="shared" si="8"/>
        <v>71.028000000000006</v>
      </c>
      <c r="Q67" s="93"/>
      <c r="R67"/>
      <c r="S67" s="96"/>
      <c r="T67"/>
      <c r="W67" s="143">
        <v>42366</v>
      </c>
      <c r="X67" s="12">
        <v>78.489999999999995</v>
      </c>
      <c r="Y67" s="12">
        <v>78.73</v>
      </c>
      <c r="Z67" s="12">
        <v>77.94</v>
      </c>
      <c r="AA67" s="12">
        <v>78.34</v>
      </c>
      <c r="AB67" s="105">
        <v>3958400</v>
      </c>
      <c r="AC67" s="12">
        <v>77.8</v>
      </c>
      <c r="AD67" s="2">
        <f>Y67-Z67</f>
        <v>0.79000000000000625</v>
      </c>
      <c r="AE67" s="148">
        <f>AC67/AC68-1</f>
        <v>-5.8778430871455623E-3</v>
      </c>
    </row>
    <row r="68" spans="15:31" x14ac:dyDescent="0.25">
      <c r="W68" s="143">
        <v>42362</v>
      </c>
      <c r="X68" s="12">
        <v>78.790000000000006</v>
      </c>
      <c r="Y68" s="12">
        <v>79.099999999999994</v>
      </c>
      <c r="Z68" s="12">
        <v>78.5</v>
      </c>
      <c r="AA68" s="12">
        <v>78.8</v>
      </c>
      <c r="AB68" s="105">
        <v>2327500</v>
      </c>
      <c r="AC68" s="12">
        <v>78.260000000000005</v>
      </c>
      <c r="AD68" s="2">
        <f>Y68-Z68</f>
        <v>0.59999999999999432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29" priority="15">
      <formula>Q7&gt;0</formula>
    </cfRule>
    <cfRule type="expression" dxfId="328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7" priority="7">
      <formula>F21&gt;0</formula>
    </cfRule>
    <cfRule type="expression" dxfId="326" priority="8">
      <formula>F21&lt;0</formula>
    </cfRule>
  </conditionalFormatting>
  <conditionalFormatting sqref="H24:H27">
    <cfRule type="expression" dxfId="325" priority="5">
      <formula>H24&gt;0</formula>
    </cfRule>
    <cfRule type="expression" dxfId="324" priority="6">
      <formula>H24&lt;0</formula>
    </cfRule>
  </conditionalFormatting>
  <conditionalFormatting sqref="F22">
    <cfRule type="expression" dxfId="323" priority="3">
      <formula>F22&gt;0</formula>
    </cfRule>
    <cfRule type="expression" dxfId="322" priority="4">
      <formula>F22&lt;0</formula>
    </cfRule>
  </conditionalFormatting>
  <conditionalFormatting sqref="H21:H23">
    <cfRule type="expression" dxfId="321" priority="1">
      <formula>H21&gt;0</formula>
    </cfRule>
    <cfRule type="expression" dxfId="3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8"/>
      <c r="AD1" s="13" t="s">
        <v>131</v>
      </c>
      <c r="AE1" s="13" t="s">
        <v>133</v>
      </c>
    </row>
    <row r="2" spans="1:40" ht="14.25" customHeight="1" x14ac:dyDescent="0.25">
      <c r="A2" s="6" t="s">
        <v>210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7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206.92</v>
      </c>
      <c r="T3" s="131"/>
      <c r="W3" s="104"/>
      <c r="X3" s="12"/>
      <c r="Y3" s="43"/>
      <c r="Z3" s="43"/>
      <c r="AA3" s="12"/>
      <c r="AB3" s="105"/>
      <c r="AC3" s="277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206.92</v>
      </c>
      <c r="T4" s="131">
        <v>42293</v>
      </c>
      <c r="U4" t="s">
        <v>161</v>
      </c>
      <c r="W4" s="104"/>
      <c r="X4" s="12"/>
      <c r="Y4" s="43"/>
      <c r="Z4" s="43"/>
      <c r="AA4" s="12"/>
      <c r="AB4" s="105"/>
      <c r="AC4" s="277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7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7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157</v>
      </c>
      <c r="W7" s="104"/>
      <c r="X7" s="12"/>
      <c r="Y7" s="43"/>
      <c r="Z7" s="43"/>
      <c r="AA7" s="12"/>
      <c r="AB7" s="105"/>
      <c r="AC7" s="277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7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7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7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117</v>
      </c>
      <c r="C11" s="209" t="s">
        <v>167</v>
      </c>
      <c r="D11" s="210" t="s">
        <v>166</v>
      </c>
      <c r="E11" s="212" t="s">
        <v>168</v>
      </c>
      <c r="F11" s="212" t="s">
        <v>65</v>
      </c>
      <c r="G11" s="253" t="s">
        <v>172</v>
      </c>
      <c r="H11" s="253" t="s">
        <v>90</v>
      </c>
      <c r="I11" s="253" t="s">
        <v>179</v>
      </c>
      <c r="W11" s="104"/>
      <c r="X11" s="12"/>
      <c r="Y11" s="43"/>
      <c r="Z11" s="43"/>
      <c r="AA11" s="12"/>
      <c r="AB11" s="105"/>
      <c r="AC11" s="277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7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7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7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7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7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7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7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7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7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7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7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7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7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7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7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7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7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7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7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7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7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7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7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7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7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7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7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20" t="s">
        <v>78</v>
      </c>
      <c r="Q39" s="420"/>
      <c r="R39" s="37"/>
      <c r="T39" s="101" t="s">
        <v>116</v>
      </c>
      <c r="W39" s="104"/>
      <c r="X39" s="12"/>
      <c r="Y39" s="43"/>
      <c r="Z39" s="43"/>
      <c r="AA39" s="12"/>
      <c r="AB39" s="105"/>
      <c r="AC39" s="277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227.61199999999999</v>
      </c>
      <c r="R40" s="37"/>
      <c r="T40" s="107"/>
      <c r="U40" s="139"/>
      <c r="W40" s="104"/>
      <c r="X40" s="12"/>
      <c r="Y40" s="43"/>
      <c r="Z40" s="43"/>
      <c r="AA40" s="12"/>
      <c r="AB40" s="105"/>
      <c r="AC40" s="277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225.5428</v>
      </c>
      <c r="R41" s="37"/>
      <c r="T41" s="97"/>
      <c r="U41" s="140"/>
      <c r="W41" s="104"/>
      <c r="X41" s="12"/>
      <c r="Y41" s="43"/>
      <c r="Z41" s="43"/>
      <c r="AA41" s="12"/>
      <c r="AB41" s="105"/>
      <c r="AC41" s="277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223.4736</v>
      </c>
      <c r="R42" s="37"/>
      <c r="T42" s="97"/>
      <c r="U42" s="140"/>
      <c r="W42" s="104"/>
      <c r="X42" s="12"/>
      <c r="Y42" s="43"/>
      <c r="Z42" s="43"/>
      <c r="AA42" s="12"/>
      <c r="AB42" s="105"/>
      <c r="AC42" s="277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221.40440000000001</v>
      </c>
      <c r="R43" s="93"/>
      <c r="T43" s="97"/>
      <c r="U43" s="140"/>
      <c r="W43" s="104"/>
      <c r="X43" s="12"/>
      <c r="Y43" s="43"/>
      <c r="Z43" s="43"/>
      <c r="AA43" s="12"/>
      <c r="AB43" s="105"/>
      <c r="AC43" s="277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219.33519999999999</v>
      </c>
      <c r="R44" s="93"/>
      <c r="T44" s="97"/>
      <c r="U44" s="140"/>
      <c r="W44" s="104"/>
      <c r="X44" s="12"/>
      <c r="Y44" s="43"/>
      <c r="Z44" s="43"/>
      <c r="AA44" s="12"/>
      <c r="AB44" s="105"/>
      <c r="AC44" s="277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217.26599999999999</v>
      </c>
      <c r="R45" s="93"/>
      <c r="T45" s="97"/>
      <c r="U45" s="140"/>
      <c r="W45" s="104"/>
      <c r="X45" s="12"/>
      <c r="Y45" s="43"/>
      <c r="Z45" s="43"/>
      <c r="AA45" s="12"/>
      <c r="AB45" s="105"/>
      <c r="AC45" s="277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215.1968</v>
      </c>
      <c r="R46" s="93"/>
      <c r="T46" s="97"/>
      <c r="U46" s="104"/>
      <c r="W46" s="104"/>
      <c r="X46" s="12"/>
      <c r="Y46" s="43"/>
      <c r="Z46" s="43"/>
      <c r="AA46" s="12"/>
      <c r="AB46" s="105"/>
      <c r="AC46" s="277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213.1276</v>
      </c>
      <c r="R47" s="93"/>
      <c r="T47" s="97"/>
      <c r="U47" s="140"/>
      <c r="W47" s="104"/>
      <c r="X47" s="12"/>
      <c r="Y47" s="43"/>
      <c r="Z47" s="43"/>
      <c r="AA47" s="12"/>
      <c r="AB47" s="105"/>
      <c r="AC47" s="277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211.05839999999998</v>
      </c>
      <c r="R48" s="93"/>
      <c r="T48" s="97"/>
      <c r="U48" s="140"/>
      <c r="W48" s="104"/>
      <c r="X48" s="12"/>
      <c r="Y48" s="43"/>
      <c r="Z48" s="43"/>
      <c r="AA48" s="12"/>
      <c r="AB48" s="105"/>
      <c r="AC48" s="277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208.98919999999998</v>
      </c>
      <c r="R49" s="93"/>
      <c r="T49" s="97"/>
      <c r="U49" s="140"/>
      <c r="W49" s="104"/>
      <c r="X49" s="12"/>
      <c r="Y49" s="43"/>
      <c r="Z49" s="43"/>
      <c r="AA49" s="12"/>
      <c r="AB49" s="105"/>
      <c r="AC49" s="277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206.92</v>
      </c>
      <c r="R50" s="93"/>
      <c r="T50" s="97"/>
      <c r="U50" s="141"/>
      <c r="W50" s="104"/>
      <c r="X50" s="12"/>
      <c r="Y50" s="43"/>
      <c r="Z50" s="43"/>
      <c r="AA50" s="12"/>
      <c r="AB50" s="105"/>
      <c r="AC50" s="277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204.85079999999999</v>
      </c>
      <c r="R51" s="93"/>
      <c r="T51" s="97"/>
      <c r="U51" s="141"/>
      <c r="W51" s="104"/>
      <c r="X51" s="12"/>
      <c r="Y51" s="43"/>
      <c r="Z51" s="43"/>
      <c r="AA51" s="12"/>
      <c r="AB51" s="105"/>
      <c r="AC51" s="277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202.7816</v>
      </c>
      <c r="R52" s="93"/>
      <c r="T52" s="97"/>
      <c r="U52" s="140"/>
      <c r="W52" s="104"/>
      <c r="X52" s="12"/>
      <c r="Y52" s="43"/>
      <c r="Z52" s="43"/>
      <c r="AA52" s="12"/>
      <c r="AB52" s="105"/>
      <c r="AC52" s="277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200.71239999999997</v>
      </c>
      <c r="R53" s="93"/>
      <c r="T53" s="97"/>
      <c r="U53" s="140"/>
      <c r="W53" s="104"/>
      <c r="X53" s="12"/>
      <c r="Y53" s="43"/>
      <c r="Z53" s="43"/>
      <c r="AA53" s="12"/>
      <c r="AB53" s="105"/>
      <c r="AC53" s="277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198.64319999999998</v>
      </c>
      <c r="R54" s="93"/>
      <c r="T54" s="97"/>
      <c r="U54" s="140"/>
      <c r="W54" s="104"/>
      <c r="X54" s="12"/>
      <c r="Y54" s="43"/>
      <c r="Z54" s="43"/>
      <c r="AA54" s="12"/>
      <c r="AB54" s="105"/>
      <c r="AC54" s="277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196.57399999999998</v>
      </c>
      <c r="R55" s="93"/>
      <c r="T55" s="97"/>
      <c r="U55" s="140"/>
      <c r="W55" s="104"/>
      <c r="X55" s="12"/>
      <c r="Y55" s="43"/>
      <c r="Z55" s="43"/>
      <c r="AA55" s="12"/>
      <c r="AB55" s="105"/>
      <c r="AC55" s="277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194.50479999999999</v>
      </c>
      <c r="R56" s="93"/>
      <c r="W56" s="104"/>
      <c r="X56" s="12"/>
      <c r="Y56" s="43"/>
      <c r="Z56" s="43"/>
      <c r="AA56" s="12"/>
      <c r="AB56" s="105"/>
      <c r="AC56" s="277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192.43559999999999</v>
      </c>
      <c r="R57" s="93"/>
      <c r="W57" s="104"/>
      <c r="X57" s="12"/>
      <c r="Y57" s="43"/>
      <c r="Z57" s="43"/>
      <c r="AA57" s="12"/>
      <c r="AB57" s="105"/>
      <c r="AC57" s="277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190.3664</v>
      </c>
      <c r="R58" s="93"/>
      <c r="W58" s="104"/>
      <c r="X58" s="12"/>
      <c r="Y58" s="43"/>
      <c r="Z58" s="43"/>
      <c r="AA58" s="12"/>
      <c r="AB58" s="105"/>
      <c r="AC58" s="277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188.2972</v>
      </c>
      <c r="R59" s="93"/>
      <c r="W59" s="104"/>
      <c r="X59" s="12"/>
      <c r="Y59" s="43"/>
      <c r="Z59" s="43"/>
      <c r="AA59" s="12"/>
      <c r="AB59" s="105"/>
      <c r="AC59" s="277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186.22799999999998</v>
      </c>
      <c r="R60" s="93"/>
      <c r="W60" s="104"/>
      <c r="X60" s="12"/>
      <c r="Y60" s="43"/>
      <c r="Z60" s="43"/>
      <c r="AA60" s="12"/>
      <c r="AB60" s="105"/>
      <c r="AC60" s="277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7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7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7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7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7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7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7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7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7"/>
      <c r="Z69" s="277"/>
      <c r="AA69" s="106"/>
      <c r="AB69" s="240"/>
      <c r="AC69" s="277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19" priority="15">
      <formula>F7&gt;0</formula>
    </cfRule>
    <cfRule type="expression" dxfId="318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17" priority="7">
      <formula>F19&gt;0</formula>
    </cfRule>
    <cfRule type="expression" dxfId="316" priority="8">
      <formula>F19&lt;0</formula>
    </cfRule>
  </conditionalFormatting>
  <conditionalFormatting sqref="F19:F26">
    <cfRule type="expression" dxfId="315" priority="9">
      <formula>F19&gt;0</formula>
    </cfRule>
    <cfRule type="expression" dxfId="314" priority="10">
      <formula>F19&lt;0</formula>
    </cfRule>
  </conditionalFormatting>
  <conditionalFormatting sqref="H16:H26">
    <cfRule type="expression" dxfId="313" priority="5">
      <formula>H16&gt;0</formula>
    </cfRule>
    <cfRule type="expression" dxfId="312" priority="6">
      <formula>H16&lt;0</formula>
    </cfRule>
  </conditionalFormatting>
  <conditionalFormatting sqref="F12:F15">
    <cfRule type="expression" dxfId="311" priority="3">
      <formula>F12&gt;0</formula>
    </cfRule>
    <cfRule type="expression" dxfId="310" priority="4">
      <formula>F12&lt;0</formula>
    </cfRule>
  </conditionalFormatting>
  <conditionalFormatting sqref="H12:H15">
    <cfRule type="expression" dxfId="309" priority="1">
      <formula>H12&gt;0</formula>
    </cfRule>
    <cfRule type="expression" dxfId="30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78" t="s">
        <v>123</v>
      </c>
      <c r="AD1" s="13" t="s">
        <v>131</v>
      </c>
      <c r="AE1" s="13" t="s">
        <v>133</v>
      </c>
    </row>
    <row r="2" spans="1:40" x14ac:dyDescent="0.25">
      <c r="A2" s="6" t="s">
        <v>205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42460</v>
      </c>
      <c r="X2" s="12">
        <v>77.61</v>
      </c>
      <c r="Y2" s="43">
        <v>78.290000000000006</v>
      </c>
      <c r="Z2" s="43">
        <v>77.31</v>
      </c>
      <c r="AA2" s="12">
        <v>77.900000000000006</v>
      </c>
      <c r="AB2" s="105">
        <v>2944400</v>
      </c>
      <c r="AC2" s="277">
        <v>77.900000000000006</v>
      </c>
      <c r="AD2" s="2">
        <f>Y2-Z2</f>
        <v>0.98000000000000398</v>
      </c>
      <c r="AE2" s="148">
        <f>AC2/AC3-1</f>
        <v>6.4226075786777415E-4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78.180000000000007</v>
      </c>
      <c r="T3" s="131"/>
      <c r="W3" s="104">
        <v>42459</v>
      </c>
      <c r="X3" s="12">
        <v>76.989999999999995</v>
      </c>
      <c r="Y3" s="43">
        <v>78.22</v>
      </c>
      <c r="Z3" s="43">
        <v>76.8</v>
      </c>
      <c r="AA3" s="12">
        <v>77.849999999999994</v>
      </c>
      <c r="AB3" s="105">
        <v>2680100</v>
      </c>
      <c r="AC3" s="277">
        <v>77.849999999999994</v>
      </c>
      <c r="AD3" s="2">
        <f>Y3-Z3</f>
        <v>1.4200000000000017</v>
      </c>
      <c r="AE3" s="148">
        <f>AC3/AC4-1</f>
        <v>1.8046292663789654E-2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78.180000000000007</v>
      </c>
      <c r="T4" s="131"/>
      <c r="W4" s="104">
        <v>42458</v>
      </c>
      <c r="X4" s="12">
        <v>74.510000000000005</v>
      </c>
      <c r="Y4" s="43">
        <v>76.88</v>
      </c>
      <c r="Z4" s="43">
        <v>73.61</v>
      </c>
      <c r="AA4" s="12">
        <v>76.47</v>
      </c>
      <c r="AB4" s="105">
        <v>4267400</v>
      </c>
      <c r="AC4" s="277">
        <v>76.47</v>
      </c>
      <c r="AD4" s="2">
        <f t="shared" ref="AD4:AD67" si="2">Y4-Z4</f>
        <v>3.269999999999996</v>
      </c>
      <c r="AE4" s="148">
        <f t="shared" ref="AE4:AE67" si="3">AC4/AC5-1</f>
        <v>-5.8502340093604666E-3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42457</v>
      </c>
      <c r="X5" s="12">
        <v>76.44</v>
      </c>
      <c r="Y5" s="43">
        <v>77.180000000000007</v>
      </c>
      <c r="Z5" s="43">
        <v>75.72</v>
      </c>
      <c r="AA5" s="12">
        <v>76.92</v>
      </c>
      <c r="AB5" s="105">
        <v>2111300</v>
      </c>
      <c r="AC5" s="277">
        <v>76.92</v>
      </c>
      <c r="AD5" s="2">
        <f t="shared" si="2"/>
        <v>1.460000000000008</v>
      </c>
      <c r="AE5" s="148">
        <f t="shared" si="3"/>
        <v>9.4488188976378229E-3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42453</v>
      </c>
      <c r="X6" s="12">
        <v>75.569999999999993</v>
      </c>
      <c r="Y6" s="43">
        <v>76.239999999999995</v>
      </c>
      <c r="Z6" s="43">
        <v>75.010000000000005</v>
      </c>
      <c r="AA6" s="12">
        <v>76.2</v>
      </c>
      <c r="AB6" s="105">
        <v>2282000</v>
      </c>
      <c r="AC6" s="277">
        <v>76.2</v>
      </c>
      <c r="AD6" s="2">
        <f t="shared" si="2"/>
        <v>1.2299999999999898</v>
      </c>
      <c r="AE6" s="148">
        <f t="shared" si="3"/>
        <v>-1.3106159895149849E-3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42452</v>
      </c>
      <c r="X7" s="12">
        <v>76.45</v>
      </c>
      <c r="Y7" s="43">
        <v>76.72</v>
      </c>
      <c r="Z7" s="43">
        <v>75.83</v>
      </c>
      <c r="AA7" s="12">
        <v>76.3</v>
      </c>
      <c r="AB7" s="105">
        <v>2935500</v>
      </c>
      <c r="AC7" s="277">
        <v>76.3</v>
      </c>
      <c r="AD7" s="2">
        <f t="shared" si="2"/>
        <v>0.89000000000000057</v>
      </c>
      <c r="AE7" s="148">
        <f t="shared" si="3"/>
        <v>-7.6732995187931419E-3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42451</v>
      </c>
      <c r="X8" s="12">
        <v>76.099999999999994</v>
      </c>
      <c r="Y8" s="43">
        <v>77</v>
      </c>
      <c r="Z8" s="43">
        <v>75.61</v>
      </c>
      <c r="AA8" s="12">
        <v>76.89</v>
      </c>
      <c r="AB8" s="105">
        <v>2420200</v>
      </c>
      <c r="AC8" s="277">
        <v>76.89</v>
      </c>
      <c r="AD8" s="2">
        <f t="shared" si="2"/>
        <v>1.3900000000000006</v>
      </c>
      <c r="AE8" s="148">
        <f t="shared" si="3"/>
        <v>-4.1445408625824243E-3</v>
      </c>
    </row>
    <row r="9" spans="1:40" x14ac:dyDescent="0.25">
      <c r="W9" s="104">
        <v>42450</v>
      </c>
      <c r="X9" s="12">
        <v>76.680000000000007</v>
      </c>
      <c r="Y9" s="43">
        <v>77.239999999999995</v>
      </c>
      <c r="Z9" s="43">
        <v>75.430000000000007</v>
      </c>
      <c r="AA9" s="12">
        <v>77.209999999999994</v>
      </c>
      <c r="AB9" s="105">
        <v>2550400</v>
      </c>
      <c r="AC9" s="277">
        <v>77.209999999999994</v>
      </c>
      <c r="AD9" s="2">
        <f t="shared" si="2"/>
        <v>1.8099999999999881</v>
      </c>
      <c r="AE9" s="148">
        <f t="shared" si="3"/>
        <v>2.4668917164372139E-3</v>
      </c>
      <c r="AK9" s="263"/>
      <c r="AN9" s="263"/>
    </row>
    <row r="10" spans="1:40" ht="12.75" customHeight="1" x14ac:dyDescent="0.25">
      <c r="W10" s="104">
        <v>42447</v>
      </c>
      <c r="X10" s="12">
        <v>75.41</v>
      </c>
      <c r="Y10" s="43">
        <v>77.13</v>
      </c>
      <c r="Z10" s="43">
        <v>74.86</v>
      </c>
      <c r="AA10" s="12">
        <v>77.02</v>
      </c>
      <c r="AB10" s="105">
        <v>4473100</v>
      </c>
      <c r="AC10" s="277">
        <v>77.02</v>
      </c>
      <c r="AD10" s="2">
        <f t="shared" si="2"/>
        <v>2.269999999999996</v>
      </c>
      <c r="AE10" s="148">
        <f t="shared" si="3"/>
        <v>2.8029898558462385E-2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42446</v>
      </c>
      <c r="X11" s="12">
        <v>74.260000000000005</v>
      </c>
      <c r="Y11" s="43">
        <v>75.16</v>
      </c>
      <c r="Z11" s="43">
        <v>73.08</v>
      </c>
      <c r="AA11" s="12">
        <v>74.92</v>
      </c>
      <c r="AB11" s="105">
        <v>5457000</v>
      </c>
      <c r="AC11" s="277">
        <v>74.92</v>
      </c>
      <c r="AD11" s="2">
        <f t="shared" si="2"/>
        <v>2.0799999999999983</v>
      </c>
      <c r="AE11" s="148">
        <f t="shared" si="3"/>
        <v>-1.0666666666666602E-3</v>
      </c>
      <c r="AK11" s="263"/>
      <c r="AN11" s="263"/>
    </row>
    <row r="12" spans="1:40" x14ac:dyDescent="0.25">
      <c r="W12" s="104">
        <v>42445</v>
      </c>
      <c r="X12" s="12">
        <v>73</v>
      </c>
      <c r="Y12" s="43">
        <v>75.05</v>
      </c>
      <c r="Z12" s="43">
        <v>72.900000000000006</v>
      </c>
      <c r="AA12" s="12">
        <v>75</v>
      </c>
      <c r="AB12" s="105">
        <v>4176400</v>
      </c>
      <c r="AC12" s="277">
        <v>75</v>
      </c>
      <c r="AD12" s="2">
        <f t="shared" si="2"/>
        <v>2.1499999999999915</v>
      </c>
      <c r="AE12" s="148">
        <f t="shared" si="3"/>
        <v>1.8883303898926673E-2</v>
      </c>
    </row>
    <row r="13" spans="1:40" x14ac:dyDescent="0.25">
      <c r="W13" s="104">
        <v>42444</v>
      </c>
      <c r="X13" s="12">
        <v>73.52</v>
      </c>
      <c r="Y13" s="43">
        <v>74.400000000000006</v>
      </c>
      <c r="Z13" s="43">
        <v>72.349999999999994</v>
      </c>
      <c r="AA13" s="12">
        <v>73.61</v>
      </c>
      <c r="AB13" s="105">
        <v>3815400</v>
      </c>
      <c r="AC13" s="277">
        <v>73.61</v>
      </c>
      <c r="AD13" s="2">
        <f t="shared" si="2"/>
        <v>2.0500000000000114</v>
      </c>
      <c r="AE13" s="148">
        <f t="shared" si="3"/>
        <v>1.1265283692814876E-2</v>
      </c>
      <c r="AK13" s="263"/>
      <c r="AN13" s="263"/>
    </row>
    <row r="14" spans="1:40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2" t="s">
        <v>65</v>
      </c>
      <c r="G14" s="253" t="s">
        <v>172</v>
      </c>
      <c r="H14" s="253" t="s">
        <v>90</v>
      </c>
      <c r="I14" s="253" t="s">
        <v>179</v>
      </c>
      <c r="T14" s="94"/>
      <c r="U14" s="13"/>
      <c r="W14" s="104">
        <v>42443</v>
      </c>
      <c r="X14" s="12">
        <v>72.17</v>
      </c>
      <c r="Y14" s="43">
        <v>73.209999999999994</v>
      </c>
      <c r="Z14" s="43">
        <v>71.52</v>
      </c>
      <c r="AA14" s="12">
        <v>72.790000000000006</v>
      </c>
      <c r="AB14" s="105">
        <v>3010400</v>
      </c>
      <c r="AC14" s="277">
        <v>72.790000000000006</v>
      </c>
      <c r="AD14" s="2">
        <f t="shared" si="2"/>
        <v>1.6899999999999977</v>
      </c>
      <c r="AE14" s="148">
        <f t="shared" si="3"/>
        <v>2.7483853236232036E-4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42440</v>
      </c>
      <c r="X15" s="12">
        <v>70.83</v>
      </c>
      <c r="Y15" s="43">
        <v>72.8</v>
      </c>
      <c r="Z15" s="43">
        <v>70.62</v>
      </c>
      <c r="AA15" s="12">
        <v>72.77</v>
      </c>
      <c r="AB15" s="105">
        <v>3352900</v>
      </c>
      <c r="AC15" s="277">
        <v>72.77</v>
      </c>
      <c r="AD15" s="2">
        <f t="shared" si="2"/>
        <v>2.1799999999999926</v>
      </c>
      <c r="AE15" s="148">
        <f t="shared" si="3"/>
        <v>4.0017150207231733E-2</v>
      </c>
      <c r="AK15" s="263"/>
      <c r="AN15" s="263"/>
    </row>
    <row r="16" spans="1:40" x14ac:dyDescent="0.25">
      <c r="B16" s="211">
        <v>42375</v>
      </c>
      <c r="C16" s="297">
        <v>60</v>
      </c>
      <c r="D16" s="266">
        <v>71.55</v>
      </c>
      <c r="E16" s="384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42439</v>
      </c>
      <c r="X16" s="12">
        <v>71.5</v>
      </c>
      <c r="Y16" s="43">
        <v>72.36</v>
      </c>
      <c r="Z16" s="43">
        <v>68.58</v>
      </c>
      <c r="AA16" s="12">
        <v>69.97</v>
      </c>
      <c r="AB16" s="105">
        <v>3634000</v>
      </c>
      <c r="AC16" s="277">
        <v>69.97</v>
      </c>
      <c r="AD16" s="2">
        <f t="shared" si="2"/>
        <v>3.7800000000000011</v>
      </c>
      <c r="AE16" s="148">
        <f t="shared" si="3"/>
        <v>-1.4784567727400666E-2</v>
      </c>
    </row>
    <row r="17" spans="2:40" x14ac:dyDescent="0.25">
      <c r="B17" s="211">
        <v>42380</v>
      </c>
      <c r="C17" s="320">
        <v>90</v>
      </c>
      <c r="D17" s="384">
        <v>69.5</v>
      </c>
      <c r="E17" s="384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42438</v>
      </c>
      <c r="X17" s="12">
        <v>70.319999999999993</v>
      </c>
      <c r="Y17" s="43">
        <v>71.91</v>
      </c>
      <c r="Z17" s="43">
        <v>69.959999999999994</v>
      </c>
      <c r="AA17" s="12">
        <v>71.02</v>
      </c>
      <c r="AB17" s="105">
        <v>2999300</v>
      </c>
      <c r="AC17" s="277">
        <v>71.02</v>
      </c>
      <c r="AD17" s="2">
        <f t="shared" si="2"/>
        <v>1.9500000000000028</v>
      </c>
      <c r="AE17" s="148">
        <f t="shared" si="3"/>
        <v>1.5877556858818531E-2</v>
      </c>
      <c r="AK17" s="263"/>
      <c r="AN17" s="263"/>
    </row>
    <row r="18" spans="2:40" x14ac:dyDescent="0.25">
      <c r="B18" s="211">
        <v>42398</v>
      </c>
      <c r="C18" s="297">
        <v>60</v>
      </c>
      <c r="D18" s="266">
        <v>69.849999999999994</v>
      </c>
      <c r="E18" s="384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42437</v>
      </c>
      <c r="X18" s="12">
        <v>72</v>
      </c>
      <c r="Y18" s="43">
        <v>72.099999999999994</v>
      </c>
      <c r="Z18" s="43">
        <v>69.25</v>
      </c>
      <c r="AA18" s="12">
        <v>69.91</v>
      </c>
      <c r="AB18" s="105">
        <v>4678100</v>
      </c>
      <c r="AC18" s="277">
        <v>69.91</v>
      </c>
      <c r="AD18" s="2">
        <f t="shared" si="2"/>
        <v>2.8499999999999943</v>
      </c>
      <c r="AE18" s="148">
        <f t="shared" si="3"/>
        <v>-4.1278113000548622E-2</v>
      </c>
    </row>
    <row r="19" spans="2:40" x14ac:dyDescent="0.25">
      <c r="B19" s="211">
        <v>42402</v>
      </c>
      <c r="C19" s="320">
        <v>90</v>
      </c>
      <c r="D19" s="384">
        <v>68.97</v>
      </c>
      <c r="E19" s="384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42436</v>
      </c>
      <c r="X19" s="12">
        <v>72.16</v>
      </c>
      <c r="Y19" s="43">
        <v>74.73</v>
      </c>
      <c r="Z19" s="43">
        <v>71.81</v>
      </c>
      <c r="AA19" s="12">
        <v>72.92</v>
      </c>
      <c r="AB19" s="105">
        <v>4220400</v>
      </c>
      <c r="AC19" s="277">
        <v>72.92</v>
      </c>
      <c r="AD19" s="2">
        <f t="shared" si="2"/>
        <v>2.9200000000000017</v>
      </c>
      <c r="AE19" s="148">
        <f t="shared" si="3"/>
        <v>-1.2327078482400333E-3</v>
      </c>
      <c r="AK19" s="263"/>
      <c r="AN19" s="263"/>
    </row>
    <row r="20" spans="2:40" x14ac:dyDescent="0.25">
      <c r="B20" s="211">
        <v>42405</v>
      </c>
      <c r="C20" s="320">
        <v>120</v>
      </c>
      <c r="D20" s="384">
        <v>67.412800000000004</v>
      </c>
      <c r="E20" s="384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42433</v>
      </c>
      <c r="X20" s="12">
        <v>71.180000000000007</v>
      </c>
      <c r="Y20" s="43">
        <v>75.11</v>
      </c>
      <c r="Z20" s="43">
        <v>70.33</v>
      </c>
      <c r="AA20" s="12">
        <v>73.010000000000005</v>
      </c>
      <c r="AB20" s="105">
        <v>7321900</v>
      </c>
      <c r="AC20" s="277">
        <v>73.010000000000005</v>
      </c>
      <c r="AD20" s="2">
        <f t="shared" si="2"/>
        <v>4.7800000000000011</v>
      </c>
      <c r="AE20" s="148">
        <f t="shared" si="3"/>
        <v>4.1512125534950206E-2</v>
      </c>
    </row>
    <row r="21" spans="2:40" x14ac:dyDescent="0.25">
      <c r="B21" s="211">
        <v>42415</v>
      </c>
      <c r="C21" s="320">
        <v>120</v>
      </c>
      <c r="D21" s="384">
        <v>67.412800000000004</v>
      </c>
      <c r="E21" s="384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42432</v>
      </c>
      <c r="X21" s="12">
        <v>68.42</v>
      </c>
      <c r="Y21" s="43">
        <v>70.489999999999995</v>
      </c>
      <c r="Z21" s="43">
        <v>68.3</v>
      </c>
      <c r="AA21" s="12">
        <v>70.099999999999994</v>
      </c>
      <c r="AB21" s="105">
        <v>4093800</v>
      </c>
      <c r="AC21" s="277">
        <v>70.099999999999994</v>
      </c>
      <c r="AD21" s="2">
        <f t="shared" si="2"/>
        <v>2.1899999999999977</v>
      </c>
      <c r="AE21" s="148">
        <f t="shared" si="3"/>
        <v>1.6236590316033528E-2</v>
      </c>
      <c r="AK21" s="263"/>
      <c r="AN21" s="263"/>
    </row>
    <row r="22" spans="2:40" x14ac:dyDescent="0.25">
      <c r="B22" s="211">
        <v>42416</v>
      </c>
      <c r="C22" s="320">
        <v>90</v>
      </c>
      <c r="D22" s="384">
        <v>69.45</v>
      </c>
      <c r="E22" s="384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42431</v>
      </c>
      <c r="X22" s="12">
        <v>69.94</v>
      </c>
      <c r="Y22" s="43">
        <v>70.849999999999994</v>
      </c>
      <c r="Z22" s="43">
        <v>68.45</v>
      </c>
      <c r="AA22" s="12">
        <v>68.98</v>
      </c>
      <c r="AB22" s="105">
        <v>3962600</v>
      </c>
      <c r="AC22" s="277">
        <v>68.98</v>
      </c>
      <c r="AD22" s="2">
        <f t="shared" si="2"/>
        <v>2.3999999999999915</v>
      </c>
      <c r="AE22" s="148">
        <f t="shared" si="3"/>
        <v>-2.0170454545454519E-2</v>
      </c>
    </row>
    <row r="23" spans="2:40" x14ac:dyDescent="0.25">
      <c r="B23" s="211">
        <v>42429</v>
      </c>
      <c r="C23" s="320">
        <v>90</v>
      </c>
      <c r="D23" s="384">
        <v>69.201300000000003</v>
      </c>
      <c r="E23" s="384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42430</v>
      </c>
      <c r="X23" s="12">
        <v>67.62</v>
      </c>
      <c r="Y23" s="43">
        <v>70.42</v>
      </c>
      <c r="Z23" s="43">
        <v>67.040000000000006</v>
      </c>
      <c r="AA23" s="12">
        <v>70.400000000000006</v>
      </c>
      <c r="AB23" s="105">
        <v>4630300</v>
      </c>
      <c r="AC23" s="277">
        <v>70.400000000000006</v>
      </c>
      <c r="AD23" s="2">
        <f t="shared" si="2"/>
        <v>3.3799999999999955</v>
      </c>
      <c r="AE23" s="148">
        <f t="shared" si="3"/>
        <v>5.9443190368698273E-2</v>
      </c>
      <c r="AK23" s="263"/>
    </row>
    <row r="24" spans="2:40" x14ac:dyDescent="0.25">
      <c r="B24" s="211">
        <v>42430</v>
      </c>
      <c r="C24" s="297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42429</v>
      </c>
      <c r="X24" s="12">
        <v>65.88</v>
      </c>
      <c r="Y24" s="43">
        <v>68.790000000000006</v>
      </c>
      <c r="Z24" s="43">
        <v>65.540000000000006</v>
      </c>
      <c r="AA24" s="12">
        <v>66.45</v>
      </c>
      <c r="AB24" s="105">
        <v>4985800</v>
      </c>
      <c r="AC24" s="277">
        <v>66.45</v>
      </c>
      <c r="AD24" s="2">
        <f t="shared" si="2"/>
        <v>3.25</v>
      </c>
      <c r="AE24" s="148">
        <f t="shared" si="3"/>
        <v>2.3882896764252592E-2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42426</v>
      </c>
      <c r="X25" s="12">
        <v>65.08</v>
      </c>
      <c r="Y25" s="43">
        <v>65.400000000000006</v>
      </c>
      <c r="Z25" s="43">
        <v>64.430000000000007</v>
      </c>
      <c r="AA25" s="12">
        <v>64.900000000000006</v>
      </c>
      <c r="AB25" s="105">
        <v>2226600</v>
      </c>
      <c r="AC25" s="277">
        <v>64.900000000000006</v>
      </c>
      <c r="AD25" s="2">
        <f t="shared" si="2"/>
        <v>0.96999999999999886</v>
      </c>
      <c r="AE25" s="148">
        <f t="shared" si="3"/>
        <v>5.422153369481153E-3</v>
      </c>
    </row>
    <row r="26" spans="2:40" x14ac:dyDescent="0.25">
      <c r="B26" s="211">
        <v>42432</v>
      </c>
      <c r="C26" s="297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247</v>
      </c>
      <c r="W26" s="104">
        <v>42425</v>
      </c>
      <c r="X26" s="12">
        <v>63.53</v>
      </c>
      <c r="Y26" s="43">
        <v>64.56</v>
      </c>
      <c r="Z26" s="43">
        <v>62.59</v>
      </c>
      <c r="AA26" s="12">
        <v>64.55</v>
      </c>
      <c r="AB26" s="105">
        <v>2539200</v>
      </c>
      <c r="AC26" s="277">
        <v>64.55</v>
      </c>
      <c r="AD26" s="2">
        <f t="shared" si="2"/>
        <v>1.9699999999999989</v>
      </c>
      <c r="AE26" s="148">
        <f t="shared" si="3"/>
        <v>1.3184743368388041E-2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42424</v>
      </c>
      <c r="X27" s="12">
        <v>61.58</v>
      </c>
      <c r="Y27" s="43">
        <v>63.86</v>
      </c>
      <c r="Z27" s="43">
        <v>61.11</v>
      </c>
      <c r="AA27" s="12">
        <v>63.71</v>
      </c>
      <c r="AB27" s="105">
        <v>2669800</v>
      </c>
      <c r="AC27" s="277">
        <v>63.71</v>
      </c>
      <c r="AD27" s="2">
        <f t="shared" si="2"/>
        <v>2.75</v>
      </c>
      <c r="AE27" s="148">
        <f t="shared" si="3"/>
        <v>1.7406579367614139E-2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42423</v>
      </c>
      <c r="X28" s="12">
        <v>63.74</v>
      </c>
      <c r="Y28" s="43">
        <v>63.76</v>
      </c>
      <c r="Z28" s="43">
        <v>62.07</v>
      </c>
      <c r="AA28" s="12">
        <v>62.62</v>
      </c>
      <c r="AB28" s="105">
        <v>2445400</v>
      </c>
      <c r="AC28" s="277">
        <v>62.62</v>
      </c>
      <c r="AD28" s="2">
        <f t="shared" si="2"/>
        <v>1.6899999999999977</v>
      </c>
      <c r="AE28" s="148">
        <f t="shared" si="3"/>
        <v>-2.5976046041375156E-2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42422</v>
      </c>
      <c r="X29" s="12">
        <v>63.6</v>
      </c>
      <c r="Y29" s="43">
        <v>65.19</v>
      </c>
      <c r="Z29" s="43">
        <v>63.29</v>
      </c>
      <c r="AA29" s="12">
        <v>64.290000000000006</v>
      </c>
      <c r="AB29" s="105">
        <v>3200900</v>
      </c>
      <c r="AC29" s="277">
        <v>64.290000000000006</v>
      </c>
      <c r="AD29" s="2">
        <f t="shared" si="2"/>
        <v>1.8999999999999986</v>
      </c>
      <c r="AE29" s="148">
        <f t="shared" si="3"/>
        <v>1.9990480723464987E-2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42419</v>
      </c>
      <c r="X30" s="12">
        <v>61.51</v>
      </c>
      <c r="Y30" s="43">
        <v>63.5</v>
      </c>
      <c r="Z30" s="43">
        <v>61.29</v>
      </c>
      <c r="AA30" s="12">
        <v>63.03</v>
      </c>
      <c r="AB30" s="105">
        <v>3371800</v>
      </c>
      <c r="AC30" s="277">
        <v>63.03</v>
      </c>
      <c r="AD30" s="2">
        <f t="shared" si="2"/>
        <v>2.2100000000000009</v>
      </c>
      <c r="AE30" s="148">
        <f t="shared" si="3"/>
        <v>1.5466408893185069E-2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42418</v>
      </c>
      <c r="X31" s="12">
        <v>64.430000000000007</v>
      </c>
      <c r="Y31" s="43">
        <v>64.489999999999995</v>
      </c>
      <c r="Z31" s="43">
        <v>61.1</v>
      </c>
      <c r="AA31" s="12">
        <v>62.07</v>
      </c>
      <c r="AB31" s="105">
        <v>2984000</v>
      </c>
      <c r="AC31" s="277">
        <v>62.07</v>
      </c>
      <c r="AD31" s="2">
        <f t="shared" si="2"/>
        <v>3.3899999999999935</v>
      </c>
      <c r="AE31" s="148">
        <f t="shared" si="3"/>
        <v>-2.5741641814471805E-2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42417</v>
      </c>
      <c r="X32" s="12">
        <v>61.82</v>
      </c>
      <c r="Y32" s="43">
        <v>64.88</v>
      </c>
      <c r="Z32" s="43">
        <v>61.57</v>
      </c>
      <c r="AA32" s="12">
        <v>63.71</v>
      </c>
      <c r="AB32" s="105">
        <v>4488700</v>
      </c>
      <c r="AC32" s="277">
        <v>63.71</v>
      </c>
      <c r="AD32" s="2">
        <f t="shared" si="2"/>
        <v>3.3099999999999952</v>
      </c>
      <c r="AE32" s="148">
        <f t="shared" si="3"/>
        <v>3.6946614583333481E-2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42416</v>
      </c>
      <c r="X33" s="12">
        <v>59.27</v>
      </c>
      <c r="Y33" s="43">
        <v>62.44</v>
      </c>
      <c r="Z33" s="43">
        <v>59.14</v>
      </c>
      <c r="AA33" s="12">
        <v>61.44</v>
      </c>
      <c r="AB33" s="105">
        <v>4831800</v>
      </c>
      <c r="AC33" s="277">
        <v>61.44</v>
      </c>
      <c r="AD33" s="2">
        <f t="shared" si="2"/>
        <v>3.2999999999999972</v>
      </c>
      <c r="AE33" s="148">
        <f t="shared" si="3"/>
        <v>6.611140031233731E-2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42412</v>
      </c>
      <c r="X34" s="12">
        <v>57.06</v>
      </c>
      <c r="Y34" s="43">
        <v>57.96</v>
      </c>
      <c r="Z34" s="43">
        <v>56.01</v>
      </c>
      <c r="AA34" s="12">
        <v>57.63</v>
      </c>
      <c r="AB34" s="105">
        <v>3885100</v>
      </c>
      <c r="AC34" s="277">
        <v>57.63</v>
      </c>
      <c r="AD34" s="2">
        <f t="shared" si="2"/>
        <v>1.9500000000000028</v>
      </c>
      <c r="AE34" s="148">
        <f t="shared" si="3"/>
        <v>3.1871083258728783E-2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42411</v>
      </c>
      <c r="X35" s="12">
        <v>56.1</v>
      </c>
      <c r="Y35" s="43">
        <v>56.97</v>
      </c>
      <c r="Z35" s="43">
        <v>54.5</v>
      </c>
      <c r="AA35" s="12">
        <v>55.85</v>
      </c>
      <c r="AB35" s="105">
        <v>6569200</v>
      </c>
      <c r="AC35" s="277">
        <v>55.85</v>
      </c>
      <c r="AD35" s="2">
        <f t="shared" si="2"/>
        <v>2.4699999999999989</v>
      </c>
      <c r="AE35" s="148">
        <f t="shared" si="3"/>
        <v>-2.3601398601398649E-2</v>
      </c>
    </row>
    <row r="36" spans="2:31" ht="20.25" thickBot="1" x14ac:dyDescent="0.35">
      <c r="O36" s="13"/>
      <c r="P36" s="295" t="s">
        <v>78</v>
      </c>
      <c r="Q36" s="295"/>
      <c r="R36" s="37"/>
      <c r="T36" s="101" t="s">
        <v>116</v>
      </c>
      <c r="W36" s="104">
        <v>42410</v>
      </c>
      <c r="X36" s="12">
        <v>58.68</v>
      </c>
      <c r="Y36" s="43">
        <v>59.76</v>
      </c>
      <c r="Z36" s="43">
        <v>57.01</v>
      </c>
      <c r="AA36" s="12">
        <v>57.2</v>
      </c>
      <c r="AB36" s="105">
        <v>3429700</v>
      </c>
      <c r="AC36" s="277">
        <v>57.2</v>
      </c>
      <c r="AD36" s="2">
        <f t="shared" si="2"/>
        <v>2.75</v>
      </c>
      <c r="AE36" s="148">
        <f t="shared" si="3"/>
        <v>-8.6655112651646826E-3</v>
      </c>
    </row>
    <row r="37" spans="2:31" ht="15.75" thickTop="1" x14ac:dyDescent="0.25">
      <c r="O37" s="2"/>
      <c r="P37" s="93">
        <v>1.1000000000000001</v>
      </c>
      <c r="Q37" s="93">
        <f>P37*$Q$4</f>
        <v>85.998000000000019</v>
      </c>
      <c r="R37" s="37"/>
      <c r="T37" s="107" t="s">
        <v>101</v>
      </c>
      <c r="U37" s="139">
        <v>77.900000000000006</v>
      </c>
      <c r="W37" s="104">
        <v>42409</v>
      </c>
      <c r="X37" s="12">
        <v>58.24</v>
      </c>
      <c r="Y37" s="43">
        <v>60.08</v>
      </c>
      <c r="Z37" s="43">
        <v>57.46</v>
      </c>
      <c r="AA37" s="12">
        <v>57.7</v>
      </c>
      <c r="AB37" s="105">
        <v>4610800</v>
      </c>
      <c r="AC37" s="277">
        <v>57.7</v>
      </c>
      <c r="AD37" s="2">
        <f t="shared" si="2"/>
        <v>2.6199999999999974</v>
      </c>
      <c r="AE37" s="148" t="e">
        <f t="shared" si="3"/>
        <v>#DIV/0!</v>
      </c>
    </row>
    <row r="38" spans="2:31" x14ac:dyDescent="0.25">
      <c r="O38" s="2"/>
      <c r="P38" s="93">
        <v>1.0900000000000001</v>
      </c>
      <c r="Q38" s="93">
        <f t="shared" ref="Q38:Q57" si="10">P38*$Q$4</f>
        <v>85.216200000000015</v>
      </c>
      <c r="R38" s="37"/>
      <c r="T38" s="97" t="s">
        <v>102</v>
      </c>
      <c r="U38" s="140" t="s">
        <v>134</v>
      </c>
      <c r="W38" s="104">
        <v>42409</v>
      </c>
      <c r="X38" s="12" t="s">
        <v>146</v>
      </c>
      <c r="Y38" s="43"/>
      <c r="Z38" s="43"/>
      <c r="AA38" s="12"/>
      <c r="AB38" s="105"/>
      <c r="AC38" s="277"/>
      <c r="AD38" s="2">
        <f t="shared" si="2"/>
        <v>0</v>
      </c>
      <c r="AE38" s="148">
        <f t="shared" si="3"/>
        <v>-1</v>
      </c>
    </row>
    <row r="39" spans="2:31" x14ac:dyDescent="0.25">
      <c r="O39" s="2"/>
      <c r="P39" s="93">
        <v>1.08</v>
      </c>
      <c r="Q39" s="93">
        <f t="shared" si="10"/>
        <v>84.434400000000011</v>
      </c>
      <c r="R39" s="37"/>
      <c r="T39" s="97" t="s">
        <v>103</v>
      </c>
      <c r="U39" s="140" t="s">
        <v>318</v>
      </c>
      <c r="W39" s="104">
        <v>42408</v>
      </c>
      <c r="X39" s="12">
        <v>60.81</v>
      </c>
      <c r="Y39" s="43">
        <v>61.19</v>
      </c>
      <c r="Z39" s="43">
        <v>58.23</v>
      </c>
      <c r="AA39" s="12">
        <v>59.3</v>
      </c>
      <c r="AB39" s="105">
        <v>5708700</v>
      </c>
      <c r="AC39" s="277">
        <v>59.04</v>
      </c>
      <c r="AD39" s="2">
        <f t="shared" si="2"/>
        <v>2.9600000000000009</v>
      </c>
      <c r="AE39" s="148">
        <f t="shared" si="3"/>
        <v>-4.6049442559379594E-2</v>
      </c>
    </row>
    <row r="40" spans="2:31" x14ac:dyDescent="0.25">
      <c r="O40" s="2"/>
      <c r="P40" s="93">
        <v>1.07</v>
      </c>
      <c r="Q40" s="93">
        <f t="shared" si="10"/>
        <v>83.652600000000007</v>
      </c>
      <c r="R40" s="93"/>
      <c r="T40" s="97" t="s">
        <v>104</v>
      </c>
      <c r="U40" s="140" t="s">
        <v>319</v>
      </c>
      <c r="W40" s="104">
        <v>42405</v>
      </c>
      <c r="X40" s="12">
        <v>64.87</v>
      </c>
      <c r="Y40" s="43">
        <v>65.849999999999994</v>
      </c>
      <c r="Z40" s="43">
        <v>61</v>
      </c>
      <c r="AA40" s="12">
        <v>62.16</v>
      </c>
      <c r="AB40" s="105">
        <v>6333700</v>
      </c>
      <c r="AC40" s="277">
        <v>61.89</v>
      </c>
      <c r="AD40" s="2">
        <f t="shared" si="2"/>
        <v>4.8499999999999943</v>
      </c>
      <c r="AE40" s="148">
        <f t="shared" si="3"/>
        <v>-5.8134226145183265E-2</v>
      </c>
    </row>
    <row r="41" spans="2:31" x14ac:dyDescent="0.25">
      <c r="O41" s="2"/>
      <c r="P41" s="93">
        <v>1.06</v>
      </c>
      <c r="Q41" s="93">
        <f t="shared" si="10"/>
        <v>82.870800000000017</v>
      </c>
      <c r="R41" s="93"/>
      <c r="T41" s="97" t="s">
        <v>105</v>
      </c>
      <c r="U41" s="140">
        <v>91.23</v>
      </c>
      <c r="W41" s="104">
        <v>42404</v>
      </c>
      <c r="X41" s="12">
        <v>66.58</v>
      </c>
      <c r="Y41" s="43">
        <v>66.790000000000006</v>
      </c>
      <c r="Z41" s="43">
        <v>65.12</v>
      </c>
      <c r="AA41" s="12">
        <v>66</v>
      </c>
      <c r="AB41" s="105">
        <v>4337300</v>
      </c>
      <c r="AC41" s="277">
        <v>65.709999999999994</v>
      </c>
      <c r="AD41" s="2">
        <f t="shared" si="2"/>
        <v>1.6700000000000017</v>
      </c>
      <c r="AE41" s="148">
        <f t="shared" si="3"/>
        <v>-2.8831562974205305E-3</v>
      </c>
    </row>
    <row r="42" spans="2:31" x14ac:dyDescent="0.25">
      <c r="O42" s="2"/>
      <c r="P42" s="93">
        <v>1.05</v>
      </c>
      <c r="Q42" s="93">
        <f t="shared" si="10"/>
        <v>82.089000000000013</v>
      </c>
      <c r="R42" s="93"/>
      <c r="T42" s="97" t="s">
        <v>106</v>
      </c>
      <c r="U42" s="140">
        <v>0.60286600000000001</v>
      </c>
      <c r="W42" s="104">
        <v>42403</v>
      </c>
      <c r="X42" s="12">
        <v>67.8</v>
      </c>
      <c r="Y42" s="43">
        <v>68.790000000000006</v>
      </c>
      <c r="Z42" s="43">
        <v>64.88</v>
      </c>
      <c r="AA42" s="12">
        <v>66.19</v>
      </c>
      <c r="AB42" s="105">
        <v>4893800</v>
      </c>
      <c r="AC42" s="277">
        <v>65.900000000000006</v>
      </c>
      <c r="AD42" s="2">
        <f t="shared" si="2"/>
        <v>3.9100000000000108</v>
      </c>
      <c r="AE42" s="148">
        <f t="shared" si="3"/>
        <v>-4.3813264843630684E-3</v>
      </c>
    </row>
    <row r="43" spans="2:31" x14ac:dyDescent="0.25">
      <c r="O43" s="2"/>
      <c r="P43" s="93">
        <v>1.04</v>
      </c>
      <c r="Q43" s="93">
        <f t="shared" si="10"/>
        <v>81.307200000000009</v>
      </c>
      <c r="R43" s="93"/>
      <c r="T43" s="97" t="s">
        <v>126</v>
      </c>
      <c r="U43" s="104" t="s">
        <v>216</v>
      </c>
      <c r="W43" s="104">
        <v>42402</v>
      </c>
      <c r="X43" s="12">
        <v>69.069999999999993</v>
      </c>
      <c r="Y43" s="43">
        <v>69.2</v>
      </c>
      <c r="Z43" s="43">
        <v>66.38</v>
      </c>
      <c r="AA43" s="12">
        <v>66.48</v>
      </c>
      <c r="AB43" s="105">
        <v>3834900</v>
      </c>
      <c r="AC43" s="277">
        <v>66.19</v>
      </c>
      <c r="AD43" s="2">
        <f t="shared" si="2"/>
        <v>2.8200000000000074</v>
      </c>
      <c r="AE43" s="148">
        <f t="shared" si="3"/>
        <v>-4.5015149329101223E-2</v>
      </c>
    </row>
    <row r="44" spans="2:31" x14ac:dyDescent="0.25">
      <c r="O44" s="2"/>
      <c r="P44" s="93">
        <v>1.03</v>
      </c>
      <c r="Q44" s="93">
        <f t="shared" si="10"/>
        <v>80.525400000000005</v>
      </c>
      <c r="R44" s="93"/>
      <c r="T44" s="97"/>
      <c r="U44" s="140"/>
      <c r="W44" s="104">
        <v>42401</v>
      </c>
      <c r="X44" s="12">
        <v>68.180000000000007</v>
      </c>
      <c r="Y44" s="43">
        <v>70.39</v>
      </c>
      <c r="Z44" s="43">
        <v>67.52</v>
      </c>
      <c r="AA44" s="12">
        <v>69.62</v>
      </c>
      <c r="AB44" s="105">
        <v>4726300</v>
      </c>
      <c r="AC44" s="277">
        <v>69.31</v>
      </c>
      <c r="AD44" s="2">
        <f t="shared" si="2"/>
        <v>2.8700000000000045</v>
      </c>
      <c r="AE44" s="148">
        <f t="shared" si="3"/>
        <v>1.0055377440979285E-2</v>
      </c>
    </row>
    <row r="45" spans="2:31" x14ac:dyDescent="0.25">
      <c r="O45" s="2"/>
      <c r="P45" s="93">
        <v>1.02</v>
      </c>
      <c r="Q45" s="93">
        <f t="shared" si="10"/>
        <v>79.743600000000015</v>
      </c>
      <c r="R45" s="93"/>
      <c r="T45" s="97" t="s">
        <v>108</v>
      </c>
      <c r="U45" s="140" t="s">
        <v>302</v>
      </c>
      <c r="W45" s="104">
        <v>42398</v>
      </c>
      <c r="X45" s="12">
        <v>68.819999999999993</v>
      </c>
      <c r="Y45" s="43">
        <v>69.77</v>
      </c>
      <c r="Z45" s="43">
        <v>66.22</v>
      </c>
      <c r="AA45" s="12">
        <v>68.92</v>
      </c>
      <c r="AB45" s="105">
        <v>8200700</v>
      </c>
      <c r="AC45" s="277">
        <v>68.62</v>
      </c>
      <c r="AD45" s="2">
        <f t="shared" si="2"/>
        <v>3.5499999999999972</v>
      </c>
      <c r="AE45" s="148">
        <f t="shared" si="3"/>
        <v>6.3711052549992209E-2</v>
      </c>
    </row>
    <row r="46" spans="2:31" x14ac:dyDescent="0.25">
      <c r="O46" s="2"/>
      <c r="P46" s="93">
        <v>1.01</v>
      </c>
      <c r="Q46" s="93">
        <f t="shared" si="10"/>
        <v>78.961800000000011</v>
      </c>
      <c r="R46" s="93"/>
      <c r="T46" s="97" t="s">
        <v>109</v>
      </c>
      <c r="U46" s="140" t="s">
        <v>233</v>
      </c>
      <c r="W46" s="104">
        <v>42397</v>
      </c>
      <c r="X46" s="12">
        <v>62.77</v>
      </c>
      <c r="Y46" s="43">
        <v>64.900000000000006</v>
      </c>
      <c r="Z46" s="43">
        <v>62.61</v>
      </c>
      <c r="AA46" s="12">
        <v>64.790000000000006</v>
      </c>
      <c r="AB46" s="105">
        <v>7098900</v>
      </c>
      <c r="AC46" s="277">
        <v>64.510000000000005</v>
      </c>
      <c r="AD46" s="2">
        <f t="shared" si="2"/>
        <v>2.2900000000000063</v>
      </c>
      <c r="AE46" s="148">
        <f t="shared" si="3"/>
        <v>4.267011475674809E-2</v>
      </c>
    </row>
    <row r="47" spans="2:31" x14ac:dyDescent="0.25">
      <c r="O47" s="2"/>
      <c r="P47" s="93">
        <v>1</v>
      </c>
      <c r="Q47" s="93">
        <f t="shared" si="10"/>
        <v>78.180000000000007</v>
      </c>
      <c r="R47" s="93"/>
      <c r="T47" s="97" t="s">
        <v>110</v>
      </c>
      <c r="U47" s="141">
        <v>667</v>
      </c>
      <c r="W47" s="104">
        <v>42396</v>
      </c>
      <c r="X47" s="12">
        <v>65.680000000000007</v>
      </c>
      <c r="Y47" s="43">
        <v>66.459999999999994</v>
      </c>
      <c r="Z47" s="43">
        <v>61.71</v>
      </c>
      <c r="AA47" s="12">
        <v>62.14</v>
      </c>
      <c r="AB47" s="105">
        <v>5848300</v>
      </c>
      <c r="AC47" s="277">
        <v>61.87</v>
      </c>
      <c r="AD47" s="2">
        <f t="shared" si="2"/>
        <v>4.7499999999999929</v>
      </c>
      <c r="AE47" s="148">
        <f t="shared" si="3"/>
        <v>-5.5564036025034458E-2</v>
      </c>
    </row>
    <row r="48" spans="2:31" x14ac:dyDescent="0.25">
      <c r="O48" s="2"/>
      <c r="P48" s="93">
        <v>0.99</v>
      </c>
      <c r="Q48" s="93">
        <f t="shared" si="10"/>
        <v>77.398200000000003</v>
      </c>
      <c r="R48" s="93"/>
      <c r="T48" s="97" t="s">
        <v>113</v>
      </c>
      <c r="U48" s="141">
        <v>4469710</v>
      </c>
      <c r="W48" s="104">
        <v>42395</v>
      </c>
      <c r="X48" s="12">
        <v>65.75</v>
      </c>
      <c r="Y48" s="43">
        <v>67.040000000000006</v>
      </c>
      <c r="Z48" s="43">
        <v>64.989999999999995</v>
      </c>
      <c r="AA48" s="12">
        <v>65.8</v>
      </c>
      <c r="AB48" s="105">
        <v>2789400</v>
      </c>
      <c r="AC48" s="277">
        <v>65.510000000000005</v>
      </c>
      <c r="AD48" s="2">
        <f t="shared" si="2"/>
        <v>2.0500000000000114</v>
      </c>
      <c r="AE48" s="148">
        <f t="shared" si="3"/>
        <v>3.2159264931088671E-3</v>
      </c>
    </row>
    <row r="49" spans="15:31" x14ac:dyDescent="0.25">
      <c r="O49" s="2"/>
      <c r="P49" s="93">
        <v>0.98</v>
      </c>
      <c r="Q49" s="93">
        <f t="shared" si="10"/>
        <v>76.616399999999999</v>
      </c>
      <c r="R49" s="93"/>
      <c r="T49" s="97" t="s">
        <v>111</v>
      </c>
      <c r="U49" s="140" t="s">
        <v>320</v>
      </c>
      <c r="W49" s="104">
        <v>42394</v>
      </c>
      <c r="X49" s="12">
        <v>66.849999999999994</v>
      </c>
      <c r="Y49" s="43">
        <v>66.92</v>
      </c>
      <c r="Z49" s="43">
        <v>65.489999999999995</v>
      </c>
      <c r="AA49" s="12">
        <v>65.59</v>
      </c>
      <c r="AB49" s="105">
        <v>3069000</v>
      </c>
      <c r="AC49" s="277">
        <v>65.3</v>
      </c>
      <c r="AD49" s="2">
        <f t="shared" si="2"/>
        <v>1.4300000000000068</v>
      </c>
      <c r="AE49" s="148">
        <f t="shared" si="3"/>
        <v>-2.1576266107281916E-2</v>
      </c>
    </row>
    <row r="50" spans="15:31" x14ac:dyDescent="0.25">
      <c r="O50" s="2"/>
      <c r="P50" s="93">
        <v>0.97</v>
      </c>
      <c r="Q50" s="93">
        <f t="shared" si="10"/>
        <v>75.834600000000009</v>
      </c>
      <c r="R50" s="93"/>
      <c r="T50" s="97" t="s">
        <v>114</v>
      </c>
      <c r="U50" s="140">
        <v>15.87</v>
      </c>
      <c r="W50" s="104">
        <v>42391</v>
      </c>
      <c r="X50" s="12">
        <v>65</v>
      </c>
      <c r="Y50" s="43">
        <v>67.42</v>
      </c>
      <c r="Z50" s="43">
        <v>64.97</v>
      </c>
      <c r="AA50" s="12">
        <v>67.03</v>
      </c>
      <c r="AB50" s="105">
        <v>5714300</v>
      </c>
      <c r="AC50" s="277">
        <v>66.739999999999995</v>
      </c>
      <c r="AD50" s="2">
        <f t="shared" si="2"/>
        <v>2.4500000000000028</v>
      </c>
      <c r="AE50" s="148">
        <f t="shared" si="3"/>
        <v>5.9196952864624564E-2</v>
      </c>
    </row>
    <row r="51" spans="15:31" x14ac:dyDescent="0.25">
      <c r="O51" s="2"/>
      <c r="P51" s="93">
        <v>0.96</v>
      </c>
      <c r="Q51" s="93">
        <f t="shared" si="10"/>
        <v>75.052800000000005</v>
      </c>
      <c r="R51" s="93"/>
      <c r="T51" s="97" t="s">
        <v>115</v>
      </c>
      <c r="U51" s="140">
        <v>4.91</v>
      </c>
      <c r="W51" s="104">
        <v>42390</v>
      </c>
      <c r="X51" s="12">
        <v>62.23</v>
      </c>
      <c r="Y51" s="43">
        <v>64.73</v>
      </c>
      <c r="Z51" s="43">
        <v>61.52</v>
      </c>
      <c r="AA51" s="12">
        <v>63.29</v>
      </c>
      <c r="AB51" s="105">
        <v>4252400</v>
      </c>
      <c r="AC51" s="277">
        <v>63.01</v>
      </c>
      <c r="AD51" s="2">
        <f t="shared" si="2"/>
        <v>3.2100000000000009</v>
      </c>
      <c r="AE51" s="148">
        <f t="shared" si="3"/>
        <v>2.7057864710676283E-2</v>
      </c>
    </row>
    <row r="52" spans="15:31" x14ac:dyDescent="0.25">
      <c r="O52" s="2"/>
      <c r="P52" s="93">
        <v>0.95</v>
      </c>
      <c r="Q52" s="93">
        <f t="shared" si="10"/>
        <v>74.271000000000001</v>
      </c>
      <c r="R52" s="93"/>
      <c r="T52" s="97" t="s">
        <v>112</v>
      </c>
      <c r="U52" s="140" t="s">
        <v>286</v>
      </c>
      <c r="W52" s="104">
        <v>42389</v>
      </c>
      <c r="X52" s="12">
        <v>59.37</v>
      </c>
      <c r="Y52" s="43">
        <v>62.31</v>
      </c>
      <c r="Z52" s="43">
        <v>58.5</v>
      </c>
      <c r="AA52" s="12">
        <v>61.62</v>
      </c>
      <c r="AB52" s="105">
        <v>5997300</v>
      </c>
      <c r="AC52" s="277">
        <v>61.35</v>
      </c>
      <c r="AD52" s="2">
        <f t="shared" si="2"/>
        <v>3.8100000000000023</v>
      </c>
      <c r="AE52" s="148">
        <f t="shared" si="3"/>
        <v>2.0459081836327497E-2</v>
      </c>
    </row>
    <row r="53" spans="15:31" x14ac:dyDescent="0.25">
      <c r="O53" s="2"/>
      <c r="P53" s="93">
        <v>0.94</v>
      </c>
      <c r="Q53" s="93">
        <f t="shared" si="10"/>
        <v>73.489199999999997</v>
      </c>
      <c r="R53" s="93"/>
      <c r="W53" s="104">
        <v>42388</v>
      </c>
      <c r="X53" s="12">
        <v>62.38</v>
      </c>
      <c r="Y53" s="43">
        <v>63.34</v>
      </c>
      <c r="Z53" s="43">
        <v>59.87</v>
      </c>
      <c r="AA53" s="12">
        <v>60.38</v>
      </c>
      <c r="AB53" s="105">
        <v>4928400</v>
      </c>
      <c r="AC53" s="277">
        <v>60.12</v>
      </c>
      <c r="AD53" s="2">
        <f t="shared" si="2"/>
        <v>3.470000000000006</v>
      </c>
      <c r="AE53" s="148">
        <f t="shared" si="3"/>
        <v>-4.6357615894040416E-3</v>
      </c>
    </row>
    <row r="54" spans="15:31" x14ac:dyDescent="0.25">
      <c r="O54" s="2"/>
      <c r="P54" s="93">
        <v>0.93</v>
      </c>
      <c r="Q54" s="93">
        <f t="shared" si="10"/>
        <v>72.707400000000007</v>
      </c>
      <c r="R54" s="93"/>
      <c r="W54" s="104">
        <v>42384</v>
      </c>
      <c r="X54" s="12">
        <v>61.1</v>
      </c>
      <c r="Y54" s="43">
        <v>62.45</v>
      </c>
      <c r="Z54" s="43">
        <v>59.92</v>
      </c>
      <c r="AA54" s="12">
        <v>60.67</v>
      </c>
      <c r="AB54" s="105">
        <v>6045100</v>
      </c>
      <c r="AC54" s="277">
        <v>60.4</v>
      </c>
      <c r="AD54" s="2">
        <f t="shared" si="2"/>
        <v>2.5300000000000011</v>
      </c>
      <c r="AE54" s="148">
        <f t="shared" si="3"/>
        <v>-6.0068471833177761E-2</v>
      </c>
    </row>
    <row r="55" spans="15:31" x14ac:dyDescent="0.25">
      <c r="O55" s="2"/>
      <c r="P55" s="93">
        <v>0.92</v>
      </c>
      <c r="Q55" s="93">
        <f t="shared" si="10"/>
        <v>71.925600000000003</v>
      </c>
      <c r="R55" s="93"/>
      <c r="W55" s="104">
        <v>42383</v>
      </c>
      <c r="X55" s="12">
        <v>62.01</v>
      </c>
      <c r="Y55" s="43">
        <v>65.14</v>
      </c>
      <c r="Z55" s="43">
        <v>60.07</v>
      </c>
      <c r="AA55" s="12">
        <v>64.540000000000006</v>
      </c>
      <c r="AB55" s="105">
        <v>5674200</v>
      </c>
      <c r="AC55" s="277">
        <v>64.260000000000005</v>
      </c>
      <c r="AD55" s="2">
        <f t="shared" si="2"/>
        <v>5.07</v>
      </c>
      <c r="AE55" s="148">
        <f t="shared" si="3"/>
        <v>3.8293746970431419E-2</v>
      </c>
    </row>
    <row r="56" spans="15:31" x14ac:dyDescent="0.25">
      <c r="O56" s="2"/>
      <c r="P56" s="93">
        <v>0.91</v>
      </c>
      <c r="Q56" s="93">
        <f t="shared" si="10"/>
        <v>71.143800000000013</v>
      </c>
      <c r="R56" s="93"/>
      <c r="W56" s="104">
        <v>42382</v>
      </c>
      <c r="X56" s="12">
        <v>64.2</v>
      </c>
      <c r="Y56" s="43">
        <v>65.66</v>
      </c>
      <c r="Z56" s="43">
        <v>61.9</v>
      </c>
      <c r="AA56" s="12">
        <v>62.16</v>
      </c>
      <c r="AB56" s="105">
        <v>7247200</v>
      </c>
      <c r="AC56" s="277">
        <v>61.89</v>
      </c>
      <c r="AD56" s="2">
        <f t="shared" si="2"/>
        <v>3.759999999999998</v>
      </c>
      <c r="AE56" s="148">
        <f t="shared" si="3"/>
        <v>-6.7078685559240347E-2</v>
      </c>
    </row>
    <row r="57" spans="15:31" x14ac:dyDescent="0.25">
      <c r="O57" s="2"/>
      <c r="P57" s="93">
        <v>0.9</v>
      </c>
      <c r="Q57" s="93">
        <f t="shared" si="10"/>
        <v>70.362000000000009</v>
      </c>
      <c r="R57" s="93"/>
      <c r="W57" s="104">
        <v>42381</v>
      </c>
      <c r="X57" s="12">
        <v>66.72</v>
      </c>
      <c r="Y57" s="43">
        <v>67.81</v>
      </c>
      <c r="Z57" s="43">
        <v>65.06</v>
      </c>
      <c r="AA57" s="12">
        <v>66.63</v>
      </c>
      <c r="AB57" s="105">
        <v>3352400</v>
      </c>
      <c r="AC57" s="277">
        <v>66.34</v>
      </c>
      <c r="AD57" s="2">
        <f t="shared" si="2"/>
        <v>2.75</v>
      </c>
      <c r="AE57" s="148">
        <f t="shared" si="3"/>
        <v>8.819951338199461E-3</v>
      </c>
    </row>
    <row r="58" spans="15:31" x14ac:dyDescent="0.25">
      <c r="W58" s="104">
        <v>42380</v>
      </c>
      <c r="X58" s="12">
        <v>67.180000000000007</v>
      </c>
      <c r="Y58" s="43">
        <v>68</v>
      </c>
      <c r="Z58" s="43">
        <v>64.930000000000007</v>
      </c>
      <c r="AA58" s="12">
        <v>66.05</v>
      </c>
      <c r="AB58" s="105">
        <v>5140200</v>
      </c>
      <c r="AC58" s="277">
        <v>65.760000000000005</v>
      </c>
      <c r="AD58" s="2">
        <f t="shared" si="2"/>
        <v>3.0699999999999932</v>
      </c>
      <c r="AE58" s="148">
        <f t="shared" si="3"/>
        <v>-1.2612612612612484E-2</v>
      </c>
    </row>
    <row r="59" spans="15:31" x14ac:dyDescent="0.25">
      <c r="W59" s="104">
        <v>42377</v>
      </c>
      <c r="X59" s="12">
        <v>68.56</v>
      </c>
      <c r="Y59" s="43">
        <v>69.12</v>
      </c>
      <c r="Z59" s="43">
        <v>66.55</v>
      </c>
      <c r="AA59" s="12">
        <v>66.89</v>
      </c>
      <c r="AB59" s="105">
        <v>7171000</v>
      </c>
      <c r="AC59" s="277">
        <v>66.599999999999994</v>
      </c>
      <c r="AD59" s="2">
        <f t="shared" si="2"/>
        <v>2.5700000000000074</v>
      </c>
      <c r="AE59" s="148">
        <f t="shared" si="3"/>
        <v>-4.0376850605654546E-3</v>
      </c>
    </row>
    <row r="60" spans="15:31" x14ac:dyDescent="0.25">
      <c r="W60" s="104">
        <v>42376</v>
      </c>
      <c r="X60" s="12">
        <v>66.599999999999994</v>
      </c>
      <c r="Y60" s="43">
        <v>70.28</v>
      </c>
      <c r="Z60" s="43">
        <v>66.099999999999994</v>
      </c>
      <c r="AA60" s="12">
        <v>67.16</v>
      </c>
      <c r="AB60" s="105">
        <v>7120100</v>
      </c>
      <c r="AC60" s="277">
        <v>66.87</v>
      </c>
      <c r="AD60" s="2">
        <f t="shared" si="2"/>
        <v>4.1800000000000068</v>
      </c>
      <c r="AE60" s="148">
        <f t="shared" si="3"/>
        <v>-2.8758169934640421E-2</v>
      </c>
    </row>
    <row r="61" spans="15:31" x14ac:dyDescent="0.25">
      <c r="W61" s="104">
        <v>42375</v>
      </c>
      <c r="X61" s="12">
        <v>71.55</v>
      </c>
      <c r="Y61" s="43">
        <v>72.06</v>
      </c>
      <c r="Z61" s="43">
        <v>68.33</v>
      </c>
      <c r="AA61" s="12">
        <v>69.150000000000006</v>
      </c>
      <c r="AB61" s="105">
        <v>8047300</v>
      </c>
      <c r="AC61" s="277">
        <v>68.849999999999994</v>
      </c>
      <c r="AD61" s="2">
        <f t="shared" si="2"/>
        <v>3.730000000000004</v>
      </c>
      <c r="AE61" s="148">
        <f t="shared" si="3"/>
        <v>-5.6461559545018525E-2</v>
      </c>
    </row>
    <row r="62" spans="15:31" x14ac:dyDescent="0.25">
      <c r="W62" s="104">
        <v>42374</v>
      </c>
      <c r="X62" s="12">
        <v>78.040000000000006</v>
      </c>
      <c r="Y62" s="43">
        <v>78.12</v>
      </c>
      <c r="Z62" s="43">
        <v>72.78</v>
      </c>
      <c r="AA62" s="12">
        <v>73.290000000000006</v>
      </c>
      <c r="AB62" s="105">
        <v>6011000</v>
      </c>
      <c r="AC62" s="277">
        <v>72.97</v>
      </c>
      <c r="AD62" s="2">
        <f t="shared" si="2"/>
        <v>5.3400000000000034</v>
      </c>
      <c r="AE62" s="148">
        <f t="shared" si="3"/>
        <v>-5.9543755638613249E-2</v>
      </c>
    </row>
    <row r="63" spans="15:31" x14ac:dyDescent="0.25">
      <c r="W63" s="104">
        <v>42373</v>
      </c>
      <c r="X63" s="12">
        <v>75.010000000000005</v>
      </c>
      <c r="Y63" s="43">
        <v>78</v>
      </c>
      <c r="Z63" s="43">
        <v>74.91</v>
      </c>
      <c r="AA63" s="12">
        <v>77.930000000000007</v>
      </c>
      <c r="AB63" s="105">
        <v>3848000</v>
      </c>
      <c r="AC63" s="277">
        <v>77.59</v>
      </c>
      <c r="AD63" s="2">
        <f t="shared" si="2"/>
        <v>3.0900000000000034</v>
      </c>
      <c r="AE63" s="148">
        <f t="shared" si="3"/>
        <v>1.438096483200435E-2</v>
      </c>
    </row>
    <row r="64" spans="15:31" x14ac:dyDescent="0.25">
      <c r="W64" s="104">
        <v>42369</v>
      </c>
      <c r="X64" s="12">
        <v>78.91</v>
      </c>
      <c r="Y64" s="43">
        <v>79.25</v>
      </c>
      <c r="Z64" s="43">
        <v>76.8</v>
      </c>
      <c r="AA64" s="12">
        <v>76.83</v>
      </c>
      <c r="AB64" s="105">
        <v>2341300</v>
      </c>
      <c r="AC64" s="277">
        <v>76.489999999999995</v>
      </c>
      <c r="AD64" s="2">
        <f t="shared" si="2"/>
        <v>2.4500000000000028</v>
      </c>
      <c r="AE64" s="148">
        <f t="shared" si="3"/>
        <v>-2.9807204464738835E-2</v>
      </c>
    </row>
    <row r="65" spans="23:31" x14ac:dyDescent="0.25">
      <c r="W65" s="104">
        <v>42368</v>
      </c>
      <c r="X65" s="12">
        <v>80.180000000000007</v>
      </c>
      <c r="Y65" s="43">
        <v>80.930000000000007</v>
      </c>
      <c r="Z65" s="43">
        <v>79.150000000000006</v>
      </c>
      <c r="AA65" s="12">
        <v>79.19</v>
      </c>
      <c r="AB65" s="105">
        <v>1368800</v>
      </c>
      <c r="AC65" s="277">
        <v>78.84</v>
      </c>
      <c r="AD65" s="2">
        <f t="shared" si="2"/>
        <v>1.7800000000000011</v>
      </c>
      <c r="AE65" s="148">
        <f t="shared" si="3"/>
        <v>-1.548451548451546E-2</v>
      </c>
    </row>
    <row r="66" spans="23:31" x14ac:dyDescent="0.25">
      <c r="W66" s="104">
        <v>42367</v>
      </c>
      <c r="X66" s="12">
        <v>79.430000000000007</v>
      </c>
      <c r="Y66" s="43">
        <v>81.349999999999994</v>
      </c>
      <c r="Z66" s="43">
        <v>79.08</v>
      </c>
      <c r="AA66" s="12">
        <v>80.430000000000007</v>
      </c>
      <c r="AB66" s="105">
        <v>2437300</v>
      </c>
      <c r="AC66" s="277">
        <v>80.08</v>
      </c>
      <c r="AD66" s="2">
        <f t="shared" si="2"/>
        <v>2.269999999999996</v>
      </c>
      <c r="AE66" s="148">
        <f t="shared" si="3"/>
        <v>1.4184397163120588E-2</v>
      </c>
    </row>
    <row r="67" spans="23:31" x14ac:dyDescent="0.25">
      <c r="W67" s="104">
        <v>42366</v>
      </c>
      <c r="X67" s="12">
        <v>78.81</v>
      </c>
      <c r="Y67" s="43">
        <v>79.900000000000006</v>
      </c>
      <c r="Z67" s="43">
        <v>77.569999999999993</v>
      </c>
      <c r="AA67" s="12">
        <v>79.31</v>
      </c>
      <c r="AB67" s="105">
        <v>3210300</v>
      </c>
      <c r="AC67" s="277">
        <v>78.959999999999994</v>
      </c>
      <c r="AD67" s="2">
        <f t="shared" si="2"/>
        <v>2.3300000000000125</v>
      </c>
      <c r="AE67" s="148">
        <f t="shared" si="3"/>
        <v>-1.2663036596183286E-4</v>
      </c>
    </row>
    <row r="68" spans="23:31" x14ac:dyDescent="0.25">
      <c r="W68" s="104">
        <v>42362</v>
      </c>
      <c r="X68" s="12">
        <v>79.17</v>
      </c>
      <c r="Y68" s="43">
        <v>80.48</v>
      </c>
      <c r="Z68" s="43">
        <v>79</v>
      </c>
      <c r="AA68" s="12">
        <v>79.319999999999993</v>
      </c>
      <c r="AB68" s="105">
        <v>1022700</v>
      </c>
      <c r="AC68" s="277">
        <v>78.97</v>
      </c>
      <c r="AD68" s="2">
        <f>Y68-Z68</f>
        <v>1.480000000000004</v>
      </c>
      <c r="AE68" s="148" t="e">
        <f>AC68/#REF!-1</f>
        <v>#REF!</v>
      </c>
    </row>
    <row r="69" spans="23:31" x14ac:dyDescent="0.25">
      <c r="W69" s="239" t="s">
        <v>125</v>
      </c>
      <c r="X69" s="106"/>
      <c r="Y69" s="277"/>
      <c r="Z69" s="277"/>
      <c r="AA69" s="106"/>
      <c r="AB69" s="240"/>
      <c r="AC69" s="277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07" priority="27">
      <formula>F7&gt;0</formula>
    </cfRule>
    <cfRule type="expression" dxfId="306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05" priority="19">
      <formula>F22&gt;0</formula>
    </cfRule>
    <cfRule type="expression" dxfId="304" priority="20">
      <formula>F22&lt;0</formula>
    </cfRule>
  </conditionalFormatting>
  <conditionalFormatting sqref="F22:F35">
    <cfRule type="expression" dxfId="303" priority="21">
      <formula>F22&gt;0</formula>
    </cfRule>
    <cfRule type="expression" dxfId="302" priority="22">
      <formula>F22&lt;0</formula>
    </cfRule>
  </conditionalFormatting>
  <conditionalFormatting sqref="H20:H35">
    <cfRule type="expression" dxfId="301" priority="17">
      <formula>H20&gt;0</formula>
    </cfRule>
    <cfRule type="expression" dxfId="300" priority="18">
      <formula>H20&lt;0</formula>
    </cfRule>
  </conditionalFormatting>
  <conditionalFormatting sqref="F15:F19">
    <cfRule type="expression" dxfId="299" priority="3">
      <formula>F15&gt;0</formula>
    </cfRule>
    <cfRule type="expression" dxfId="298" priority="4">
      <formula>F15&lt;0</formula>
    </cfRule>
  </conditionalFormatting>
  <conditionalFormatting sqref="H15:H19">
    <cfRule type="expression" dxfId="297" priority="1">
      <formula>H15&gt;0</formula>
    </cfRule>
    <cfRule type="expression" dxfId="29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42460</v>
      </c>
      <c r="X2" s="44">
        <v>62.73</v>
      </c>
      <c r="Y2" s="44">
        <v>63.41</v>
      </c>
      <c r="Z2" s="44">
        <v>62.43</v>
      </c>
      <c r="AA2" s="44">
        <v>62.46</v>
      </c>
      <c r="AB2" s="114">
        <v>1165400</v>
      </c>
      <c r="AC2" s="11">
        <v>62.46</v>
      </c>
      <c r="AD2" s="2">
        <f>Y2-Z2</f>
        <v>0.97999999999999687</v>
      </c>
      <c r="AE2" s="148">
        <f>AC2/AC3-1</f>
        <v>-3.9866050071758474E-3</v>
      </c>
    </row>
    <row r="3" spans="1:42" x14ac:dyDescent="0.25">
      <c r="A3" s="26" t="s">
        <v>71</v>
      </c>
      <c r="B3" s="84"/>
      <c r="C3" s="198"/>
      <c r="D3" s="273"/>
      <c r="E3" s="3"/>
      <c r="F3" s="3"/>
      <c r="G3" s="84"/>
      <c r="H3" s="198"/>
      <c r="I3" s="273"/>
      <c r="J3" s="3"/>
      <c r="K3" s="3"/>
      <c r="L3" s="4"/>
      <c r="O3" s="13" t="s">
        <v>75</v>
      </c>
      <c r="Q3" s="255">
        <f>IF(Q2=0, Q4, (F9-K9-M9)/Q2)</f>
        <v>62.29</v>
      </c>
      <c r="W3" s="133">
        <v>42459</v>
      </c>
      <c r="X3" s="44">
        <v>62.09</v>
      </c>
      <c r="Y3" s="44">
        <v>63.2</v>
      </c>
      <c r="Z3" s="44">
        <v>62.03</v>
      </c>
      <c r="AA3" s="44">
        <v>62.71</v>
      </c>
      <c r="AB3" s="114">
        <v>774700</v>
      </c>
      <c r="AC3" s="11">
        <v>62.71</v>
      </c>
      <c r="AD3" s="2">
        <f t="shared" ref="AD3:AD66" si="0">Y3-Z3</f>
        <v>1.1700000000000017</v>
      </c>
      <c r="AE3" s="148">
        <f t="shared" ref="AE3:AE66" si="1">AC3/AC4-1</f>
        <v>1.6040181464679337E-2</v>
      </c>
      <c r="AJ3" s="265"/>
      <c r="AL3" s="263"/>
      <c r="AO3" s="263"/>
    </row>
    <row r="4" spans="1:42" x14ac:dyDescent="0.25">
      <c r="B4" s="84"/>
      <c r="C4" s="198"/>
      <c r="D4" s="273"/>
      <c r="E4" s="3"/>
      <c r="F4" s="3"/>
      <c r="G4" s="84"/>
      <c r="H4" s="198"/>
      <c r="I4" s="273"/>
      <c r="J4" s="3"/>
      <c r="K4" s="3"/>
      <c r="L4" s="4"/>
      <c r="O4" s="13" t="s">
        <v>66</v>
      </c>
      <c r="Q4" s="59">
        <v>62.29</v>
      </c>
      <c r="T4" s="1"/>
      <c r="W4" s="133">
        <v>42458</v>
      </c>
      <c r="X4" s="44">
        <v>60.62</v>
      </c>
      <c r="Y4" s="44">
        <v>61.85</v>
      </c>
      <c r="Z4" s="44">
        <v>60.36</v>
      </c>
      <c r="AA4" s="44">
        <v>61.72</v>
      </c>
      <c r="AB4" s="114">
        <v>729600</v>
      </c>
      <c r="AC4" s="11">
        <v>61.72</v>
      </c>
      <c r="AD4" s="2">
        <f t="shared" si="0"/>
        <v>1.490000000000002</v>
      </c>
      <c r="AE4" s="148">
        <f t="shared" si="1"/>
        <v>1.3131976362442455E-2</v>
      </c>
      <c r="AL4" s="263"/>
      <c r="AO4" s="263"/>
    </row>
    <row r="5" spans="1:42" x14ac:dyDescent="0.25">
      <c r="B5" s="84"/>
      <c r="C5" s="198"/>
      <c r="D5" s="273"/>
      <c r="E5" s="3"/>
      <c r="F5" s="3"/>
      <c r="G5" s="84"/>
      <c r="H5" s="198"/>
      <c r="I5" s="273"/>
      <c r="J5" s="3"/>
      <c r="K5" s="3"/>
      <c r="L5" s="4"/>
      <c r="O5" s="13" t="s">
        <v>67</v>
      </c>
      <c r="Q5" s="3">
        <f>Q4*Q2</f>
        <v>0</v>
      </c>
      <c r="T5" s="1"/>
      <c r="W5" s="133">
        <v>42457</v>
      </c>
      <c r="X5" s="44">
        <v>60.83</v>
      </c>
      <c r="Y5" s="44">
        <v>60.95</v>
      </c>
      <c r="Z5" s="44">
        <v>60.02</v>
      </c>
      <c r="AA5" s="44">
        <v>60.92</v>
      </c>
      <c r="AB5" s="114">
        <v>931700</v>
      </c>
      <c r="AC5" s="11">
        <v>60.92</v>
      </c>
      <c r="AD5" s="2">
        <f t="shared" si="0"/>
        <v>0.92999999999999972</v>
      </c>
      <c r="AE5" s="148">
        <f t="shared" si="1"/>
        <v>2.7983539094651455E-3</v>
      </c>
      <c r="AL5" s="263"/>
      <c r="AO5" s="263"/>
    </row>
    <row r="6" spans="1:42" x14ac:dyDescent="0.25">
      <c r="B6" s="84"/>
      <c r="C6" s="198"/>
      <c r="D6" s="273"/>
      <c r="E6" s="3"/>
      <c r="F6" s="3"/>
      <c r="G6" s="84"/>
      <c r="H6" s="198"/>
      <c r="I6" s="273"/>
      <c r="J6" s="3"/>
      <c r="K6" s="3"/>
      <c r="L6" s="4"/>
      <c r="O6" s="13" t="s">
        <v>64</v>
      </c>
      <c r="Q6" s="2">
        <f>Q3*Q2</f>
        <v>0</v>
      </c>
      <c r="W6" s="133">
        <v>42453</v>
      </c>
      <c r="X6" s="44">
        <v>59.92</v>
      </c>
      <c r="Y6" s="44">
        <v>60.82</v>
      </c>
      <c r="Z6" s="44">
        <v>59.73</v>
      </c>
      <c r="AA6" s="44">
        <v>60.75</v>
      </c>
      <c r="AB6" s="114">
        <v>682000</v>
      </c>
      <c r="AC6" s="11">
        <v>60.75</v>
      </c>
      <c r="AD6" s="2">
        <f t="shared" si="0"/>
        <v>1.0900000000000034</v>
      </c>
      <c r="AE6" s="148">
        <f t="shared" si="1"/>
        <v>7.128647214854178E-3</v>
      </c>
      <c r="AL6" s="263"/>
      <c r="AO6" s="263"/>
    </row>
    <row r="7" spans="1:42" ht="15.75" x14ac:dyDescent="0.25">
      <c r="B7" s="84"/>
      <c r="C7" s="198"/>
      <c r="D7" s="273"/>
      <c r="E7" s="3"/>
      <c r="F7" s="3"/>
      <c r="G7" s="84"/>
      <c r="H7" s="198"/>
      <c r="I7" s="273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42452</v>
      </c>
      <c r="X7" s="44">
        <v>60.93</v>
      </c>
      <c r="Y7" s="44">
        <v>61.2</v>
      </c>
      <c r="Z7" s="44">
        <v>60.22</v>
      </c>
      <c r="AA7" s="44">
        <v>60.32</v>
      </c>
      <c r="AB7" s="114">
        <v>804700</v>
      </c>
      <c r="AC7" s="11">
        <v>60.32</v>
      </c>
      <c r="AD7" s="2">
        <f t="shared" si="0"/>
        <v>0.98000000000000398</v>
      </c>
      <c r="AE7" s="148">
        <f t="shared" si="1"/>
        <v>-1.2765957446808529E-2</v>
      </c>
      <c r="AL7" s="263"/>
      <c r="AO7" s="263"/>
    </row>
    <row r="8" spans="1:42" x14ac:dyDescent="0.25">
      <c r="B8" s="84"/>
      <c r="C8" s="198"/>
      <c r="D8" s="273"/>
      <c r="E8" s="3"/>
      <c r="F8" s="3"/>
      <c r="G8" s="84"/>
      <c r="H8" s="198"/>
      <c r="I8" s="273"/>
      <c r="J8" s="3"/>
      <c r="K8" s="3"/>
      <c r="L8" s="4"/>
      <c r="O8" s="13" t="s">
        <v>90</v>
      </c>
      <c r="Q8" s="148">
        <f>(Q4-Q3)/Q3</f>
        <v>0</v>
      </c>
      <c r="R8" s="178"/>
      <c r="W8" s="133">
        <v>42451</v>
      </c>
      <c r="X8" s="44">
        <v>61.75</v>
      </c>
      <c r="Y8" s="44">
        <v>61.87</v>
      </c>
      <c r="Z8" s="44">
        <v>61.01</v>
      </c>
      <c r="AA8" s="44">
        <v>61.1</v>
      </c>
      <c r="AB8" s="114">
        <v>720700</v>
      </c>
      <c r="AC8" s="11">
        <v>61.1</v>
      </c>
      <c r="AD8" s="2">
        <f t="shared" si="0"/>
        <v>0.85999999999999943</v>
      </c>
      <c r="AE8" s="148">
        <f t="shared" si="1"/>
        <v>-1.9419033862943413E-2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218</v>
      </c>
      <c r="Q9" s="148">
        <f>VALUE(TRIM(CLEAN(MID(U62, FIND("(", U62)+1, 5))))</f>
        <v>1.8200000000000001E-2</v>
      </c>
      <c r="W9" s="133">
        <v>42450</v>
      </c>
      <c r="X9" s="44">
        <v>62.04</v>
      </c>
      <c r="Y9" s="44">
        <v>62.7</v>
      </c>
      <c r="Z9" s="44">
        <v>61.9</v>
      </c>
      <c r="AA9" s="44">
        <v>62.31</v>
      </c>
      <c r="AB9" s="114">
        <v>998100</v>
      </c>
      <c r="AC9" s="11">
        <v>62.31</v>
      </c>
      <c r="AD9" s="2">
        <f t="shared" si="0"/>
        <v>0.80000000000000426</v>
      </c>
      <c r="AE9" s="148">
        <f t="shared" si="1"/>
        <v>3.8666022232962671E-3</v>
      </c>
      <c r="AL9" s="263"/>
      <c r="AO9" s="263"/>
    </row>
    <row r="10" spans="1:42" x14ac:dyDescent="0.25">
      <c r="B10" s="84"/>
      <c r="C10" s="4"/>
      <c r="D10" s="273"/>
      <c r="E10" s="3"/>
      <c r="F10" s="3"/>
      <c r="G10" s="84"/>
      <c r="H10" s="198"/>
      <c r="I10" s="273"/>
      <c r="J10" s="3"/>
      <c r="K10" s="3"/>
      <c r="L10" s="4"/>
      <c r="W10" s="133">
        <v>42447</v>
      </c>
      <c r="X10" s="44">
        <v>62.87</v>
      </c>
      <c r="Y10" s="44">
        <v>63.3</v>
      </c>
      <c r="Z10" s="44">
        <v>62.05</v>
      </c>
      <c r="AA10" s="44">
        <v>62.07</v>
      </c>
      <c r="AB10" s="114">
        <v>1468100</v>
      </c>
      <c r="AC10" s="11">
        <v>62.07</v>
      </c>
      <c r="AD10" s="2">
        <f t="shared" si="0"/>
        <v>1.25</v>
      </c>
      <c r="AE10" s="148">
        <f t="shared" si="1"/>
        <v>-1.3509218054672645E-2</v>
      </c>
      <c r="AL10" s="263"/>
      <c r="AO10" s="263"/>
    </row>
    <row r="11" spans="1:42" x14ac:dyDescent="0.25">
      <c r="B11" s="84"/>
      <c r="C11" s="4"/>
      <c r="D11" s="273"/>
      <c r="E11" s="3"/>
      <c r="F11" s="3"/>
      <c r="G11" s="84"/>
      <c r="H11" s="198"/>
      <c r="I11" s="273"/>
      <c r="J11" s="3"/>
      <c r="K11" s="3"/>
      <c r="L11" s="4"/>
      <c r="T11" s="13"/>
      <c r="W11" s="133">
        <v>42446</v>
      </c>
      <c r="X11" s="44">
        <v>61.36</v>
      </c>
      <c r="Y11" s="44">
        <v>63.13</v>
      </c>
      <c r="Z11" s="44">
        <v>61.15</v>
      </c>
      <c r="AA11" s="44">
        <v>62.92</v>
      </c>
      <c r="AB11" s="114">
        <v>1113300</v>
      </c>
      <c r="AC11" s="11">
        <v>62.92</v>
      </c>
      <c r="AD11" s="2">
        <f t="shared" si="0"/>
        <v>1.980000000000004</v>
      </c>
      <c r="AE11" s="148">
        <f t="shared" si="1"/>
        <v>3.2152230971128626E-2</v>
      </c>
      <c r="AL11" s="263"/>
      <c r="AO11" s="263"/>
    </row>
    <row r="12" spans="1:42" x14ac:dyDescent="0.25">
      <c r="B12" s="84"/>
      <c r="C12" s="4"/>
      <c r="D12" s="273"/>
      <c r="E12" s="3"/>
      <c r="F12" s="3"/>
      <c r="G12" s="84"/>
      <c r="H12" s="198"/>
      <c r="I12" s="273"/>
      <c r="J12" s="3"/>
      <c r="K12" s="3"/>
      <c r="L12" s="4"/>
      <c r="W12" s="133">
        <v>42445</v>
      </c>
      <c r="X12" s="44">
        <v>60.48</v>
      </c>
      <c r="Y12" s="44">
        <v>61.15</v>
      </c>
      <c r="Z12" s="44">
        <v>60.05</v>
      </c>
      <c r="AA12" s="44">
        <v>60.96</v>
      </c>
      <c r="AB12" s="114">
        <v>984300</v>
      </c>
      <c r="AC12" s="11">
        <v>60.96</v>
      </c>
      <c r="AD12" s="2">
        <f t="shared" si="0"/>
        <v>1.1000000000000014</v>
      </c>
      <c r="AE12" s="148">
        <f t="shared" si="1"/>
        <v>7.4367873078831082E-3</v>
      </c>
      <c r="AL12" s="263"/>
      <c r="AO12" s="263"/>
    </row>
    <row r="13" spans="1:42" x14ac:dyDescent="0.25">
      <c r="B13" s="209" t="s">
        <v>117</v>
      </c>
      <c r="C13" s="209" t="s">
        <v>167</v>
      </c>
      <c r="D13" s="219" t="s">
        <v>166</v>
      </c>
      <c r="E13" s="213" t="s">
        <v>168</v>
      </c>
      <c r="F13" s="213" t="s">
        <v>65</v>
      </c>
      <c r="G13" s="253" t="s">
        <v>172</v>
      </c>
      <c r="H13" s="213" t="s">
        <v>90</v>
      </c>
      <c r="I13" s="274" t="s">
        <v>179</v>
      </c>
      <c r="J13" s="3"/>
      <c r="K13" s="3"/>
      <c r="L13" s="4"/>
      <c r="W13" s="133">
        <v>42444</v>
      </c>
      <c r="X13" s="44">
        <v>59.61</v>
      </c>
      <c r="Y13" s="44">
        <v>60.53</v>
      </c>
      <c r="Z13" s="44">
        <v>59.41</v>
      </c>
      <c r="AA13" s="44">
        <v>60.51</v>
      </c>
      <c r="AB13" s="114">
        <v>1093500</v>
      </c>
      <c r="AC13" s="11">
        <v>60.51</v>
      </c>
      <c r="AD13" s="2">
        <f t="shared" si="0"/>
        <v>1.1200000000000045</v>
      </c>
      <c r="AE13" s="148">
        <f t="shared" si="1"/>
        <v>5.1495016611295963E-3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42443</v>
      </c>
      <c r="X14" s="44">
        <v>59.93</v>
      </c>
      <c r="Y14" s="44">
        <v>60.66</v>
      </c>
      <c r="Z14" s="44">
        <v>59.85</v>
      </c>
      <c r="AA14" s="44">
        <v>60.2</v>
      </c>
      <c r="AB14" s="114">
        <v>745700</v>
      </c>
      <c r="AC14" s="11">
        <v>60.2</v>
      </c>
      <c r="AD14" s="2">
        <f t="shared" si="0"/>
        <v>0.80999999999999517</v>
      </c>
      <c r="AE14" s="148">
        <f t="shared" si="1"/>
        <v>-2.8159681961238414E-3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42440</v>
      </c>
      <c r="X15" s="44">
        <v>59.7</v>
      </c>
      <c r="Y15" s="44">
        <v>60.8</v>
      </c>
      <c r="Z15" s="44">
        <v>59.57</v>
      </c>
      <c r="AA15" s="44">
        <v>60.37</v>
      </c>
      <c r="AB15" s="114">
        <v>781000</v>
      </c>
      <c r="AC15" s="11">
        <v>60.37</v>
      </c>
      <c r="AD15" s="2">
        <f t="shared" si="0"/>
        <v>1.2299999999999969</v>
      </c>
      <c r="AE15" s="148">
        <f t="shared" si="1"/>
        <v>2.3914518317503353E-2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42439</v>
      </c>
      <c r="X16" s="44">
        <v>60.58</v>
      </c>
      <c r="Y16" s="44">
        <v>60.9</v>
      </c>
      <c r="Z16" s="44">
        <v>58.56</v>
      </c>
      <c r="AA16" s="44">
        <v>58.96</v>
      </c>
      <c r="AB16" s="114">
        <v>1166100</v>
      </c>
      <c r="AC16" s="11">
        <v>58.96</v>
      </c>
      <c r="AD16" s="2">
        <f t="shared" si="0"/>
        <v>2.3399999999999963</v>
      </c>
      <c r="AE16" s="148">
        <f t="shared" si="1"/>
        <v>-2.3355971509027573E-2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42438</v>
      </c>
      <c r="X17" s="44">
        <v>59.79</v>
      </c>
      <c r="Y17" s="44">
        <v>60.74</v>
      </c>
      <c r="Z17" s="44">
        <v>59.49</v>
      </c>
      <c r="AA17" s="44">
        <v>60.37</v>
      </c>
      <c r="AB17" s="114">
        <v>1138800</v>
      </c>
      <c r="AC17" s="11">
        <v>60.37</v>
      </c>
      <c r="AD17" s="2">
        <f t="shared" si="0"/>
        <v>1.25</v>
      </c>
      <c r="AE17" s="148">
        <f t="shared" si="1"/>
        <v>1.445135271382969E-2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42437</v>
      </c>
      <c r="X18" s="44">
        <v>59.58</v>
      </c>
      <c r="Y18" s="44">
        <v>59.94</v>
      </c>
      <c r="Z18" s="44">
        <v>59.24</v>
      </c>
      <c r="AA18" s="44">
        <v>59.51</v>
      </c>
      <c r="AB18" s="114">
        <v>1057900</v>
      </c>
      <c r="AC18" s="11">
        <v>59.51</v>
      </c>
      <c r="AD18" s="2">
        <f t="shared" si="0"/>
        <v>0.69999999999999574</v>
      </c>
      <c r="AE18" s="148" t="e">
        <f t="shared" si="1"/>
        <v>#DIV/0!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42437</v>
      </c>
      <c r="X19" s="44" t="s">
        <v>256</v>
      </c>
      <c r="Y19" s="44"/>
      <c r="Z19" s="44"/>
      <c r="AA19" s="44"/>
      <c r="AB19" s="114"/>
      <c r="AC19" s="11"/>
      <c r="AD19" s="2">
        <f t="shared" si="0"/>
        <v>0</v>
      </c>
      <c r="AE19" s="148">
        <f t="shared" si="1"/>
        <v>-1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42436</v>
      </c>
      <c r="X20" s="44">
        <v>58.66</v>
      </c>
      <c r="Y20" s="44">
        <v>60.42</v>
      </c>
      <c r="Z20" s="44">
        <v>58.63</v>
      </c>
      <c r="AA20" s="44">
        <v>60.09</v>
      </c>
      <c r="AB20" s="114">
        <v>1151100</v>
      </c>
      <c r="AC20" s="11">
        <v>59.81</v>
      </c>
      <c r="AD20" s="2">
        <f t="shared" si="0"/>
        <v>1.7899999999999991</v>
      </c>
      <c r="AE20" s="148">
        <f t="shared" si="1"/>
        <v>1.5622346748174643E-2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42433</v>
      </c>
      <c r="X21" s="44">
        <v>57.81</v>
      </c>
      <c r="Y21" s="44">
        <v>59.34</v>
      </c>
      <c r="Z21" s="44">
        <v>57.81</v>
      </c>
      <c r="AA21" s="44">
        <v>59.17</v>
      </c>
      <c r="AB21" s="114">
        <v>830500</v>
      </c>
      <c r="AC21" s="11">
        <v>58.89</v>
      </c>
      <c r="AD21" s="2">
        <f t="shared" si="0"/>
        <v>1.5300000000000011</v>
      </c>
      <c r="AE21" s="148">
        <f t="shared" si="1"/>
        <v>2.1686328938237409E-2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42432</v>
      </c>
      <c r="X22" s="44">
        <v>58.03</v>
      </c>
      <c r="Y22" s="44">
        <v>58.29</v>
      </c>
      <c r="Z22" s="44">
        <v>57.57</v>
      </c>
      <c r="AA22" s="44">
        <v>57.91</v>
      </c>
      <c r="AB22" s="114">
        <v>904800</v>
      </c>
      <c r="AC22" s="11">
        <v>57.64</v>
      </c>
      <c r="AD22" s="2">
        <f t="shared" si="0"/>
        <v>0.71999999999999886</v>
      </c>
      <c r="AE22" s="148">
        <f t="shared" si="1"/>
        <v>1.5638575152041589E-3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42431</v>
      </c>
      <c r="X23" s="44">
        <v>58.57</v>
      </c>
      <c r="Y23" s="44">
        <v>59.08</v>
      </c>
      <c r="Z23" s="44">
        <v>57.51</v>
      </c>
      <c r="AA23" s="44">
        <v>57.82</v>
      </c>
      <c r="AB23" s="114">
        <v>1134500</v>
      </c>
      <c r="AC23" s="11">
        <v>57.55</v>
      </c>
      <c r="AD23" s="2">
        <f t="shared" si="0"/>
        <v>1.5700000000000003</v>
      </c>
      <c r="AE23" s="148">
        <f t="shared" si="1"/>
        <v>-2.0258767449778725E-2</v>
      </c>
    </row>
    <row r="24" spans="2:42" x14ac:dyDescent="0.25">
      <c r="B24" s="84"/>
      <c r="C24" s="4"/>
      <c r="D24" s="273"/>
      <c r="E24" s="3"/>
      <c r="F24" s="3"/>
      <c r="G24" s="3"/>
      <c r="H24" s="262"/>
      <c r="I24" s="273"/>
      <c r="J24" s="3"/>
      <c r="K24" s="3"/>
      <c r="L24" s="4"/>
      <c r="W24" s="133">
        <v>42430</v>
      </c>
      <c r="X24" s="44">
        <v>58.5</v>
      </c>
      <c r="Y24" s="44">
        <v>59.46</v>
      </c>
      <c r="Z24" s="44">
        <v>58.48</v>
      </c>
      <c r="AA24" s="44">
        <v>59.02</v>
      </c>
      <c r="AB24" s="114">
        <v>1364900</v>
      </c>
      <c r="AC24" s="11">
        <v>58.74</v>
      </c>
      <c r="AD24" s="2">
        <f t="shared" si="0"/>
        <v>0.98000000000000398</v>
      </c>
      <c r="AE24" s="148">
        <f t="shared" si="1"/>
        <v>1.9260801665799132E-2</v>
      </c>
    </row>
    <row r="25" spans="2:42" x14ac:dyDescent="0.25">
      <c r="B25" s="84"/>
      <c r="C25" s="4"/>
      <c r="D25" s="273"/>
      <c r="E25" s="3"/>
      <c r="F25" s="3"/>
      <c r="G25" s="3"/>
      <c r="H25" s="262"/>
      <c r="I25" s="273"/>
      <c r="J25" s="3"/>
      <c r="K25" s="3"/>
      <c r="L25" s="4"/>
      <c r="W25" s="133">
        <v>42429</v>
      </c>
      <c r="X25" s="44">
        <v>58.35</v>
      </c>
      <c r="Y25" s="44">
        <v>58.8</v>
      </c>
      <c r="Z25" s="44">
        <v>57.76</v>
      </c>
      <c r="AA25" s="44">
        <v>57.9</v>
      </c>
      <c r="AB25" s="114">
        <v>1279300</v>
      </c>
      <c r="AC25" s="11">
        <v>57.63</v>
      </c>
      <c r="AD25" s="2">
        <f t="shared" si="0"/>
        <v>1.0399999999999991</v>
      </c>
      <c r="AE25" s="148">
        <f t="shared" si="1"/>
        <v>-8.9423903697334328E-3</v>
      </c>
      <c r="AL25" s="263"/>
      <c r="AO25" s="263"/>
    </row>
    <row r="26" spans="2:42" x14ac:dyDescent="0.25">
      <c r="B26" s="84"/>
      <c r="C26" s="4"/>
      <c r="D26" s="273"/>
      <c r="E26" s="3"/>
      <c r="F26" s="3"/>
      <c r="G26" s="3"/>
      <c r="H26" s="262"/>
      <c r="I26" s="273"/>
      <c r="J26" s="3"/>
      <c r="K26" s="3"/>
      <c r="L26" s="4"/>
      <c r="W26" s="133">
        <v>42426</v>
      </c>
      <c r="X26" s="44">
        <v>58.4</v>
      </c>
      <c r="Y26" s="44">
        <v>59.06</v>
      </c>
      <c r="Z26" s="44">
        <v>58.33</v>
      </c>
      <c r="AA26" s="44">
        <v>58.42</v>
      </c>
      <c r="AB26" s="114">
        <v>1068200</v>
      </c>
      <c r="AC26" s="11">
        <v>58.15</v>
      </c>
      <c r="AD26" s="2">
        <f t="shared" si="0"/>
        <v>0.73000000000000398</v>
      </c>
      <c r="AE26" s="148">
        <f t="shared" si="1"/>
        <v>4.14436194094292E-3</v>
      </c>
    </row>
    <row r="27" spans="2:42" x14ac:dyDescent="0.25">
      <c r="B27" s="84"/>
      <c r="C27" s="4"/>
      <c r="D27" s="273"/>
      <c r="E27" s="3"/>
      <c r="F27" s="3"/>
      <c r="G27" s="3"/>
      <c r="H27" s="262"/>
      <c r="I27" s="273"/>
      <c r="J27" s="3"/>
      <c r="K27" s="3"/>
      <c r="L27" s="4"/>
      <c r="W27" s="133">
        <v>42425</v>
      </c>
      <c r="X27" s="44">
        <v>57.9</v>
      </c>
      <c r="Y27" s="44">
        <v>58.4</v>
      </c>
      <c r="Z27" s="44">
        <v>57.35</v>
      </c>
      <c r="AA27" s="44">
        <v>58.18</v>
      </c>
      <c r="AB27" s="114">
        <v>1611800</v>
      </c>
      <c r="AC27" s="11">
        <v>57.91</v>
      </c>
      <c r="AD27" s="2">
        <f t="shared" si="0"/>
        <v>1.0499999999999972</v>
      </c>
      <c r="AE27" s="148">
        <f t="shared" si="1"/>
        <v>9.7646033129903387E-3</v>
      </c>
      <c r="AL27" s="263"/>
      <c r="AO27" s="263"/>
    </row>
    <row r="28" spans="2:42" x14ac:dyDescent="0.25">
      <c r="B28" s="4"/>
      <c r="C28" s="4"/>
      <c r="D28" s="273"/>
      <c r="E28" s="3"/>
      <c r="F28" s="3"/>
      <c r="G28" s="3"/>
      <c r="H28" s="262"/>
      <c r="I28" s="273"/>
      <c r="J28" s="3"/>
      <c r="K28" s="3"/>
      <c r="L28" s="4"/>
      <c r="W28" s="133">
        <v>42424</v>
      </c>
      <c r="X28" s="44">
        <v>56.2</v>
      </c>
      <c r="Y28" s="44">
        <v>57.85</v>
      </c>
      <c r="Z28" s="44">
        <v>55.27</v>
      </c>
      <c r="AA28" s="44">
        <v>57.62</v>
      </c>
      <c r="AB28" s="114">
        <v>1451700</v>
      </c>
      <c r="AC28" s="11">
        <v>57.35</v>
      </c>
      <c r="AD28" s="2">
        <f t="shared" si="0"/>
        <v>2.5799999999999983</v>
      </c>
      <c r="AE28" s="148">
        <f t="shared" si="1"/>
        <v>1.1285487568330144E-2</v>
      </c>
    </row>
    <row r="29" spans="2:42" x14ac:dyDescent="0.25">
      <c r="B29" s="84"/>
      <c r="C29" s="4"/>
      <c r="D29" s="273"/>
      <c r="E29" s="3"/>
      <c r="F29" s="3"/>
      <c r="G29" s="3"/>
      <c r="H29" s="262"/>
      <c r="I29" s="273"/>
      <c r="J29" s="3"/>
      <c r="K29" s="3"/>
      <c r="L29" s="4"/>
      <c r="W29" s="133">
        <v>42423</v>
      </c>
      <c r="X29" s="44">
        <v>57.77</v>
      </c>
      <c r="Y29" s="44">
        <v>57.89</v>
      </c>
      <c r="Z29" s="44">
        <v>56.7</v>
      </c>
      <c r="AA29" s="44">
        <v>56.98</v>
      </c>
      <c r="AB29" s="114">
        <v>1173000</v>
      </c>
      <c r="AC29" s="11">
        <v>56.71</v>
      </c>
      <c r="AD29" s="2">
        <f t="shared" si="0"/>
        <v>1.1899999999999977</v>
      </c>
      <c r="AE29" s="148">
        <f t="shared" si="1"/>
        <v>-1.0642009769713856E-2</v>
      </c>
    </row>
    <row r="30" spans="2:42" x14ac:dyDescent="0.25">
      <c r="B30" s="84"/>
      <c r="C30" s="4"/>
      <c r="D30" s="273"/>
      <c r="E30" s="3"/>
      <c r="F30" s="3"/>
      <c r="G30" s="3"/>
      <c r="H30" s="262"/>
      <c r="I30" s="273"/>
      <c r="J30" s="3"/>
      <c r="K30" s="3"/>
      <c r="L30" s="4"/>
      <c r="W30" s="133">
        <v>42422</v>
      </c>
      <c r="X30" s="44">
        <v>57.62</v>
      </c>
      <c r="Y30" s="44">
        <v>58.32</v>
      </c>
      <c r="Z30" s="44">
        <v>57.33</v>
      </c>
      <c r="AA30" s="44">
        <v>57.59</v>
      </c>
      <c r="AB30" s="114">
        <v>1153700</v>
      </c>
      <c r="AC30" s="11">
        <v>57.32</v>
      </c>
      <c r="AD30" s="2">
        <f t="shared" si="0"/>
        <v>0.99000000000000199</v>
      </c>
      <c r="AE30" s="148">
        <f t="shared" si="1"/>
        <v>1.0044052863436237E-2</v>
      </c>
    </row>
    <row r="31" spans="2:42" x14ac:dyDescent="0.25">
      <c r="B31" s="84"/>
      <c r="C31" s="4"/>
      <c r="D31" s="273"/>
      <c r="E31" s="3"/>
      <c r="F31" s="3"/>
      <c r="G31" s="3"/>
      <c r="H31" s="262"/>
      <c r="I31" s="273"/>
      <c r="J31" s="3"/>
      <c r="K31" s="3"/>
      <c r="L31" s="4"/>
      <c r="Q31" s="2"/>
      <c r="W31" s="133">
        <v>42419</v>
      </c>
      <c r="X31" s="44">
        <v>56.42</v>
      </c>
      <c r="Y31" s="44">
        <v>57.13</v>
      </c>
      <c r="Z31" s="44">
        <v>56.22</v>
      </c>
      <c r="AA31" s="44">
        <v>57.02</v>
      </c>
      <c r="AB31" s="114">
        <v>1340500</v>
      </c>
      <c r="AC31" s="11">
        <v>56.75</v>
      </c>
      <c r="AD31" s="2">
        <f t="shared" si="0"/>
        <v>0.91000000000000369</v>
      </c>
      <c r="AE31" s="148">
        <f t="shared" si="1"/>
        <v>-1.7590149516271136E-3</v>
      </c>
      <c r="AL31" s="263"/>
      <c r="AO31" s="263"/>
    </row>
    <row r="32" spans="2:42" x14ac:dyDescent="0.25">
      <c r="B32" s="84"/>
      <c r="C32" s="4"/>
      <c r="D32" s="273"/>
      <c r="E32" s="3"/>
      <c r="F32" s="3"/>
      <c r="G32" s="3"/>
      <c r="H32" s="262"/>
      <c r="I32" s="273"/>
      <c r="J32" s="3"/>
      <c r="K32" s="3"/>
      <c r="L32" s="4"/>
      <c r="Q32" s="2"/>
      <c r="W32" s="133">
        <v>42418</v>
      </c>
      <c r="X32" s="44">
        <v>57.31</v>
      </c>
      <c r="Y32" s="44">
        <v>57.47</v>
      </c>
      <c r="Z32" s="44">
        <v>56.48</v>
      </c>
      <c r="AA32" s="44">
        <v>57.12</v>
      </c>
      <c r="AB32" s="114">
        <v>1107100</v>
      </c>
      <c r="AC32" s="11">
        <v>56.85</v>
      </c>
      <c r="AD32" s="2">
        <f t="shared" si="0"/>
        <v>0.99000000000000199</v>
      </c>
      <c r="AE32" s="148">
        <f t="shared" si="1"/>
        <v>5.2798310454060804E-4</v>
      </c>
    </row>
    <row r="33" spans="2:41" x14ac:dyDescent="0.25">
      <c r="B33" s="84"/>
      <c r="C33" s="4"/>
      <c r="D33" s="273"/>
      <c r="E33" s="3"/>
      <c r="F33" s="3"/>
      <c r="G33" s="3"/>
      <c r="H33" s="262"/>
      <c r="I33" s="273"/>
      <c r="J33" s="3"/>
      <c r="K33" s="3"/>
      <c r="L33" s="4"/>
      <c r="Q33" s="2"/>
      <c r="W33" s="133">
        <v>42417</v>
      </c>
      <c r="X33" s="44">
        <v>55.93</v>
      </c>
      <c r="Y33" s="44">
        <v>57.32</v>
      </c>
      <c r="Z33" s="44">
        <v>55.7</v>
      </c>
      <c r="AA33" s="44">
        <v>57.09</v>
      </c>
      <c r="AB33" s="114">
        <v>1404400</v>
      </c>
      <c r="AC33" s="11">
        <v>56.82</v>
      </c>
      <c r="AD33" s="2">
        <f t="shared" si="0"/>
        <v>1.6199999999999974</v>
      </c>
      <c r="AE33" s="148">
        <f t="shared" si="1"/>
        <v>2.7300668956788954E-2</v>
      </c>
      <c r="AL33" s="263"/>
      <c r="AO33" s="263"/>
    </row>
    <row r="34" spans="2:41" x14ac:dyDescent="0.25">
      <c r="B34" s="84"/>
      <c r="C34" s="4"/>
      <c r="D34" s="273"/>
      <c r="E34" s="3"/>
      <c r="F34" s="3"/>
      <c r="G34" s="3"/>
      <c r="H34" s="262"/>
      <c r="I34" s="273"/>
      <c r="J34" s="3"/>
      <c r="K34" s="3"/>
      <c r="L34" s="4"/>
      <c r="W34" s="133">
        <v>42416</v>
      </c>
      <c r="X34" s="44">
        <v>55.9</v>
      </c>
      <c r="Y34" s="44">
        <v>55.95</v>
      </c>
      <c r="Z34" s="44">
        <v>54.6</v>
      </c>
      <c r="AA34" s="44">
        <v>55.57</v>
      </c>
      <c r="AB34" s="114">
        <v>1296100</v>
      </c>
      <c r="AC34" s="11">
        <v>55.31</v>
      </c>
      <c r="AD34" s="2">
        <f t="shared" si="0"/>
        <v>1.3500000000000014</v>
      </c>
      <c r="AE34" s="148">
        <f t="shared" si="1"/>
        <v>6.3682678311498542E-3</v>
      </c>
    </row>
    <row r="35" spans="2:41" x14ac:dyDescent="0.25">
      <c r="B35" s="84"/>
      <c r="C35" s="4"/>
      <c r="D35" s="273"/>
      <c r="E35" s="3"/>
      <c r="F35" s="3"/>
      <c r="G35" s="3"/>
      <c r="H35" s="262"/>
      <c r="I35" s="273"/>
      <c r="J35" s="3"/>
      <c r="K35" s="3"/>
      <c r="L35" s="4"/>
      <c r="W35" s="133">
        <v>42412</v>
      </c>
      <c r="X35" s="44">
        <v>54.7</v>
      </c>
      <c r="Y35" s="44">
        <v>55.49</v>
      </c>
      <c r="Z35" s="44">
        <v>54.61</v>
      </c>
      <c r="AA35" s="44">
        <v>55.22</v>
      </c>
      <c r="AB35" s="114">
        <v>1141700</v>
      </c>
      <c r="AC35" s="11">
        <v>54.96</v>
      </c>
      <c r="AD35" s="2">
        <f t="shared" si="0"/>
        <v>0.88000000000000256</v>
      </c>
      <c r="AE35" s="148">
        <f t="shared" si="1"/>
        <v>9.7372772368180538E-3</v>
      </c>
      <c r="AL35" s="263"/>
      <c r="AO35" s="263"/>
    </row>
    <row r="36" spans="2:41" x14ac:dyDescent="0.25">
      <c r="B36" s="84"/>
      <c r="C36" s="4"/>
      <c r="D36" s="273"/>
      <c r="E36" s="3"/>
      <c r="F36" s="3"/>
      <c r="G36" s="3"/>
      <c r="H36" s="262"/>
      <c r="I36" s="84"/>
      <c r="W36" s="133">
        <v>42411</v>
      </c>
      <c r="X36" s="44">
        <v>52.84</v>
      </c>
      <c r="Y36" s="44">
        <v>54.81</v>
      </c>
      <c r="Z36" s="44">
        <v>52.53</v>
      </c>
      <c r="AA36" s="44">
        <v>54.69</v>
      </c>
      <c r="AB36" s="114">
        <v>1694800</v>
      </c>
      <c r="AC36" s="11">
        <v>54.43</v>
      </c>
      <c r="AD36" s="2">
        <f t="shared" si="0"/>
        <v>2.2800000000000011</v>
      </c>
      <c r="AE36" s="148">
        <f t="shared" si="1"/>
        <v>6.4718934911243142E-3</v>
      </c>
    </row>
    <row r="37" spans="2:41" x14ac:dyDescent="0.25">
      <c r="B37" s="84"/>
      <c r="C37" s="4"/>
      <c r="D37" s="273"/>
      <c r="E37" s="3"/>
      <c r="F37" s="3"/>
      <c r="G37" s="4"/>
      <c r="H37" s="4"/>
      <c r="I37" s="273"/>
      <c r="W37" s="133">
        <v>42410</v>
      </c>
      <c r="X37" s="44">
        <v>55.03</v>
      </c>
      <c r="Y37" s="44">
        <v>55.61</v>
      </c>
      <c r="Z37" s="44">
        <v>54.17</v>
      </c>
      <c r="AA37" s="44">
        <v>54.34</v>
      </c>
      <c r="AB37" s="114">
        <v>1370400</v>
      </c>
      <c r="AC37" s="11">
        <v>54.08</v>
      </c>
      <c r="AD37" s="2">
        <f t="shared" si="0"/>
        <v>1.4399999999999977</v>
      </c>
      <c r="AE37" s="148">
        <f t="shared" si="1"/>
        <v>-1.4218009478673022E-2</v>
      </c>
    </row>
    <row r="38" spans="2:41" x14ac:dyDescent="0.25">
      <c r="B38" s="84"/>
      <c r="C38" s="4"/>
      <c r="D38" s="273"/>
      <c r="E38" s="3"/>
      <c r="F38" s="3"/>
      <c r="G38" s="4"/>
      <c r="H38" s="4"/>
      <c r="W38" s="133">
        <v>42409</v>
      </c>
      <c r="X38" s="44">
        <v>53.37</v>
      </c>
      <c r="Y38" s="44">
        <v>55.28</v>
      </c>
      <c r="Z38" s="44">
        <v>53.35</v>
      </c>
      <c r="AA38" s="44">
        <v>55.12</v>
      </c>
      <c r="AB38" s="114">
        <v>1920900</v>
      </c>
      <c r="AC38" s="11">
        <v>54.86</v>
      </c>
      <c r="AD38" s="2">
        <f t="shared" si="0"/>
        <v>1.9299999999999997</v>
      </c>
      <c r="AE38" s="148">
        <f t="shared" si="1"/>
        <v>2.1791767554479424E-2</v>
      </c>
    </row>
    <row r="39" spans="2:41" x14ac:dyDescent="0.25">
      <c r="B39" s="84"/>
      <c r="C39" s="4"/>
      <c r="D39" s="273"/>
      <c r="E39" s="3"/>
      <c r="F39" s="3"/>
      <c r="G39" s="4"/>
      <c r="H39" s="4"/>
      <c r="W39" s="133">
        <v>42408</v>
      </c>
      <c r="X39" s="44">
        <v>52.7</v>
      </c>
      <c r="Y39" s="44">
        <v>54.14</v>
      </c>
      <c r="Z39" s="44">
        <v>52.38</v>
      </c>
      <c r="AA39" s="44">
        <v>53.94</v>
      </c>
      <c r="AB39" s="114">
        <v>1525000</v>
      </c>
      <c r="AC39" s="11">
        <v>53.69</v>
      </c>
      <c r="AD39" s="2">
        <f t="shared" si="0"/>
        <v>1.759999999999998</v>
      </c>
      <c r="AE39" s="148">
        <f t="shared" si="1"/>
        <v>1.1111111111111072E-2</v>
      </c>
    </row>
    <row r="40" spans="2:41" x14ac:dyDescent="0.25">
      <c r="B40" s="84"/>
      <c r="C40" s="4"/>
      <c r="D40" s="273"/>
      <c r="E40" s="3"/>
      <c r="F40" s="3"/>
      <c r="G40" s="4"/>
      <c r="H40" s="4"/>
      <c r="W40" s="133">
        <v>42405</v>
      </c>
      <c r="X40" s="44">
        <v>54.97</v>
      </c>
      <c r="Y40" s="44">
        <v>55.02</v>
      </c>
      <c r="Z40" s="44">
        <v>53.04</v>
      </c>
      <c r="AA40" s="44">
        <v>53.35</v>
      </c>
      <c r="AB40" s="114">
        <v>1474700</v>
      </c>
      <c r="AC40" s="11">
        <v>53.1</v>
      </c>
      <c r="AD40" s="2">
        <f t="shared" si="0"/>
        <v>1.980000000000004</v>
      </c>
      <c r="AE40" s="148">
        <f t="shared" si="1"/>
        <v>-3.1552070034652546E-2</v>
      </c>
    </row>
    <row r="41" spans="2:41" x14ac:dyDescent="0.25">
      <c r="B41" s="84"/>
      <c r="C41" s="4"/>
      <c r="D41" s="273"/>
      <c r="E41" s="3"/>
      <c r="F41" s="3"/>
      <c r="G41" s="4"/>
      <c r="H41" s="4"/>
      <c r="W41" s="133">
        <v>42404</v>
      </c>
      <c r="X41" s="44">
        <v>53.51</v>
      </c>
      <c r="Y41" s="44">
        <v>55.63</v>
      </c>
      <c r="Z41" s="44">
        <v>53.5</v>
      </c>
      <c r="AA41" s="44">
        <v>55.09</v>
      </c>
      <c r="AB41" s="114">
        <v>1935700</v>
      </c>
      <c r="AC41" s="11">
        <v>54.83</v>
      </c>
      <c r="AD41" s="2">
        <f t="shared" si="0"/>
        <v>2.1300000000000026</v>
      </c>
      <c r="AE41" s="148">
        <f t="shared" si="1"/>
        <v>3.3358462118356469E-2</v>
      </c>
      <c r="AL41" s="263"/>
      <c r="AO41" s="263"/>
    </row>
    <row r="42" spans="2:41" x14ac:dyDescent="0.25">
      <c r="B42" s="84"/>
      <c r="C42" s="4"/>
      <c r="D42" s="273"/>
      <c r="E42" s="3"/>
      <c r="F42" s="3"/>
      <c r="G42" s="4"/>
      <c r="H42" s="4"/>
      <c r="W42" s="133">
        <v>42403</v>
      </c>
      <c r="X42" s="44">
        <v>52.99</v>
      </c>
      <c r="Y42" s="44">
        <v>53.54</v>
      </c>
      <c r="Z42" s="44">
        <v>51.78</v>
      </c>
      <c r="AA42" s="44">
        <v>53.31</v>
      </c>
      <c r="AB42" s="114">
        <v>1606300</v>
      </c>
      <c r="AC42" s="11">
        <v>53.06</v>
      </c>
      <c r="AD42" s="2">
        <f t="shared" si="0"/>
        <v>1.759999999999998</v>
      </c>
      <c r="AE42" s="148">
        <f t="shared" si="1"/>
        <v>2.5115919629057348E-2</v>
      </c>
    </row>
    <row r="43" spans="2:41" x14ac:dyDescent="0.25">
      <c r="B43" s="84"/>
      <c r="C43" s="4"/>
      <c r="D43" s="273"/>
      <c r="E43" s="3"/>
      <c r="F43" s="3"/>
      <c r="G43" s="4"/>
      <c r="H43" s="4"/>
      <c r="W43" s="133">
        <v>42402</v>
      </c>
      <c r="X43" s="44">
        <v>52.29</v>
      </c>
      <c r="Y43" s="44">
        <v>52.91</v>
      </c>
      <c r="Z43" s="44">
        <v>51.75</v>
      </c>
      <c r="AA43" s="44">
        <v>52</v>
      </c>
      <c r="AB43" s="114">
        <v>1658700</v>
      </c>
      <c r="AC43" s="11">
        <v>51.76</v>
      </c>
      <c r="AD43" s="2">
        <f t="shared" si="0"/>
        <v>1.1599999999999966</v>
      </c>
      <c r="AE43" s="148">
        <f t="shared" si="1"/>
        <v>-2.7250516820146675E-2</v>
      </c>
    </row>
    <row r="44" spans="2:41" x14ac:dyDescent="0.25">
      <c r="B44" s="84"/>
      <c r="C44" s="4"/>
      <c r="D44" s="273"/>
      <c r="E44" s="3"/>
      <c r="F44" s="3"/>
      <c r="G44" s="4"/>
      <c r="H44" s="4"/>
      <c r="W44" s="133">
        <v>42401</v>
      </c>
      <c r="X44" s="44">
        <v>52.65</v>
      </c>
      <c r="Y44" s="44">
        <v>53.67</v>
      </c>
      <c r="Z44" s="44">
        <v>52.11</v>
      </c>
      <c r="AA44" s="44">
        <v>53.46</v>
      </c>
      <c r="AB44" s="114">
        <v>1780900</v>
      </c>
      <c r="AC44" s="11">
        <v>53.21</v>
      </c>
      <c r="AD44" s="2">
        <f t="shared" si="0"/>
        <v>1.5600000000000023</v>
      </c>
      <c r="AE44" s="148">
        <f t="shared" si="1"/>
        <v>-5.6348610067624705E-4</v>
      </c>
    </row>
    <row r="45" spans="2:41" x14ac:dyDescent="0.25">
      <c r="B45" s="84"/>
      <c r="C45" s="4"/>
      <c r="D45" s="273"/>
      <c r="E45" s="3"/>
      <c r="F45" s="3"/>
      <c r="G45" s="4"/>
      <c r="H45" s="4"/>
      <c r="Q45" s="2"/>
      <c r="W45" s="133">
        <v>42398</v>
      </c>
      <c r="X45" s="44">
        <v>53.28</v>
      </c>
      <c r="Y45" s="44">
        <v>53.65</v>
      </c>
      <c r="Z45" s="44">
        <v>52.73</v>
      </c>
      <c r="AA45" s="44">
        <v>53.49</v>
      </c>
      <c r="AB45" s="114">
        <v>1605900</v>
      </c>
      <c r="AC45" s="11">
        <v>53.24</v>
      </c>
      <c r="AD45" s="2">
        <f t="shared" si="0"/>
        <v>0.92000000000000171</v>
      </c>
      <c r="AE45" s="148">
        <f t="shared" si="1"/>
        <v>1.351608604606902E-2</v>
      </c>
      <c r="AL45" s="263"/>
      <c r="AO45" s="263"/>
    </row>
    <row r="46" spans="2:41" ht="20.25" thickBot="1" x14ac:dyDescent="0.35">
      <c r="B46" s="84"/>
      <c r="C46" s="4"/>
      <c r="D46" s="273"/>
      <c r="E46" s="3"/>
      <c r="F46" s="3"/>
      <c r="G46" s="4"/>
      <c r="H46" s="4"/>
      <c r="O46" s="420" t="s">
        <v>78</v>
      </c>
      <c r="P46" s="420"/>
      <c r="Q46" s="2"/>
      <c r="T46" s="115" t="s">
        <v>94</v>
      </c>
      <c r="U46" s="119"/>
      <c r="W46" s="133">
        <v>42397</v>
      </c>
      <c r="X46" s="44">
        <v>51.56</v>
      </c>
      <c r="Y46" s="44">
        <v>52.99</v>
      </c>
      <c r="Z46" s="44">
        <v>51.13</v>
      </c>
      <c r="AA46" s="44">
        <v>52.78</v>
      </c>
      <c r="AB46" s="114">
        <v>2245500</v>
      </c>
      <c r="AC46" s="11">
        <v>52.53</v>
      </c>
      <c r="AD46" s="2">
        <f t="shared" si="0"/>
        <v>1.8599999999999994</v>
      </c>
      <c r="AE46" s="148">
        <f t="shared" si="1"/>
        <v>3.8963607594936667E-2</v>
      </c>
    </row>
    <row r="47" spans="2:41" ht="15.75" thickTop="1" x14ac:dyDescent="0.25">
      <c r="B47" s="422"/>
      <c r="C47" s="4"/>
      <c r="D47" s="273"/>
      <c r="E47" s="3"/>
      <c r="F47" s="3"/>
      <c r="G47" s="4"/>
      <c r="H47" s="4"/>
      <c r="O47" s="93">
        <v>1.1000000000000001</v>
      </c>
      <c r="P47" s="93">
        <f t="shared" ref="P47:P67" si="4">O47*$Q$4</f>
        <v>68.519000000000005</v>
      </c>
      <c r="Q47" s="2"/>
      <c r="T47" s="149" t="s">
        <v>101</v>
      </c>
      <c r="U47" s="150">
        <v>62.46</v>
      </c>
      <c r="W47" s="133">
        <v>42396</v>
      </c>
      <c r="X47" s="44">
        <v>51.87</v>
      </c>
      <c r="Y47" s="44">
        <v>52.06</v>
      </c>
      <c r="Z47" s="44">
        <v>50.2</v>
      </c>
      <c r="AA47" s="44">
        <v>50.8</v>
      </c>
      <c r="AB47" s="114">
        <v>2087600</v>
      </c>
      <c r="AC47" s="11">
        <v>50.56</v>
      </c>
      <c r="AD47" s="2">
        <f t="shared" si="0"/>
        <v>1.8599999999999994</v>
      </c>
      <c r="AE47" s="148">
        <f t="shared" si="1"/>
        <v>4.5698390621895513E-3</v>
      </c>
    </row>
    <row r="48" spans="2:41" x14ac:dyDescent="0.25">
      <c r="B48" s="422"/>
      <c r="C48" s="4"/>
      <c r="D48" s="273"/>
      <c r="E48" s="3"/>
      <c r="F48" s="3"/>
      <c r="G48" s="4"/>
      <c r="H48" s="4"/>
      <c r="O48" s="93">
        <v>1.0900000000000001</v>
      </c>
      <c r="P48" s="93">
        <f t="shared" si="4"/>
        <v>67.896100000000004</v>
      </c>
      <c r="Q48" s="2"/>
      <c r="T48" s="118" t="s">
        <v>102</v>
      </c>
      <c r="U48" s="116" t="s">
        <v>134</v>
      </c>
      <c r="W48" s="133">
        <v>42395</v>
      </c>
      <c r="X48" s="44">
        <v>49.52</v>
      </c>
      <c r="Y48" s="44">
        <v>50.83</v>
      </c>
      <c r="Z48" s="44">
        <v>49.39</v>
      </c>
      <c r="AA48" s="44">
        <v>50.57</v>
      </c>
      <c r="AB48" s="114">
        <v>1874400</v>
      </c>
      <c r="AC48" s="11">
        <v>50.33</v>
      </c>
      <c r="AD48" s="2">
        <f t="shared" si="0"/>
        <v>1.4399999999999977</v>
      </c>
      <c r="AE48" s="148">
        <f t="shared" si="1"/>
        <v>2.9243353783231063E-2</v>
      </c>
    </row>
    <row r="49" spans="2:42" x14ac:dyDescent="0.25">
      <c r="B49" s="4"/>
      <c r="C49" s="4"/>
      <c r="D49" s="273"/>
      <c r="E49" s="3"/>
      <c r="F49" s="3"/>
      <c r="G49" s="4"/>
      <c r="H49" s="4"/>
      <c r="O49" s="93">
        <v>1.08</v>
      </c>
      <c r="P49" s="93">
        <f t="shared" si="4"/>
        <v>67.273200000000003</v>
      </c>
      <c r="Q49" s="2"/>
      <c r="T49" s="118" t="s">
        <v>103</v>
      </c>
      <c r="U49" s="116" t="s">
        <v>321</v>
      </c>
      <c r="W49" s="133">
        <v>42394</v>
      </c>
      <c r="X49" s="44">
        <v>49.56</v>
      </c>
      <c r="Y49" s="44">
        <v>49.9</v>
      </c>
      <c r="Z49" s="44">
        <v>48.89</v>
      </c>
      <c r="AA49" s="44">
        <v>49.13</v>
      </c>
      <c r="AB49" s="114">
        <v>1970300</v>
      </c>
      <c r="AC49" s="11">
        <v>48.9</v>
      </c>
      <c r="AD49" s="2">
        <f t="shared" si="0"/>
        <v>1.009999999999998</v>
      </c>
      <c r="AE49" s="148">
        <f t="shared" si="1"/>
        <v>-1.2719563900666309E-2</v>
      </c>
    </row>
    <row r="50" spans="2:42" x14ac:dyDescent="0.25">
      <c r="O50" s="93">
        <v>1.07</v>
      </c>
      <c r="P50" s="93">
        <f t="shared" si="4"/>
        <v>66.650300000000001</v>
      </c>
      <c r="Q50" s="2"/>
      <c r="T50" s="118" t="s">
        <v>104</v>
      </c>
      <c r="U50" s="116" t="s">
        <v>322</v>
      </c>
      <c r="W50" s="133">
        <v>42391</v>
      </c>
      <c r="X50" s="44">
        <v>49.64</v>
      </c>
      <c r="Y50" s="44">
        <v>50.56</v>
      </c>
      <c r="Z50" s="44">
        <v>49.44</v>
      </c>
      <c r="AA50" s="44">
        <v>49.76</v>
      </c>
      <c r="AB50" s="114">
        <v>2428900</v>
      </c>
      <c r="AC50" s="11">
        <v>49.53</v>
      </c>
      <c r="AD50" s="2">
        <f t="shared" si="0"/>
        <v>1.1200000000000045</v>
      </c>
      <c r="AE50" s="148">
        <f t="shared" si="1"/>
        <v>2.7380211574362212E-2</v>
      </c>
    </row>
    <row r="51" spans="2:42" x14ac:dyDescent="0.25">
      <c r="O51" s="93">
        <v>1.06</v>
      </c>
      <c r="P51" s="93">
        <f t="shared" si="4"/>
        <v>66.0274</v>
      </c>
      <c r="Q51" s="2"/>
      <c r="T51" s="118" t="s">
        <v>105</v>
      </c>
      <c r="U51" s="116">
        <v>61.31</v>
      </c>
      <c r="W51" s="133">
        <v>42390</v>
      </c>
      <c r="X51" s="44">
        <v>47.56</v>
      </c>
      <c r="Y51" s="44">
        <v>48.58</v>
      </c>
      <c r="Z51" s="44">
        <v>46.23</v>
      </c>
      <c r="AA51" s="44">
        <v>48.44</v>
      </c>
      <c r="AB51" s="114">
        <v>2912900</v>
      </c>
      <c r="AC51" s="11">
        <v>48.21</v>
      </c>
      <c r="AD51" s="2">
        <f t="shared" si="0"/>
        <v>2.3500000000000014</v>
      </c>
      <c r="AE51" s="148">
        <f>AC51/AC52-1</f>
        <v>1.70886075949368E-2</v>
      </c>
    </row>
    <row r="52" spans="2:42" x14ac:dyDescent="0.25">
      <c r="O52" s="93">
        <v>1.05</v>
      </c>
      <c r="P52" s="93">
        <f t="shared" si="4"/>
        <v>65.404499999999999</v>
      </c>
      <c r="Q52" s="2"/>
      <c r="T52" s="118" t="s">
        <v>106</v>
      </c>
      <c r="U52" s="116">
        <v>1.1555800000000001</v>
      </c>
      <c r="W52" s="133">
        <v>42389</v>
      </c>
      <c r="X52" s="44">
        <v>48.26</v>
      </c>
      <c r="Y52" s="44">
        <v>48.41</v>
      </c>
      <c r="Z52" s="44">
        <v>46.49</v>
      </c>
      <c r="AA52" s="44">
        <v>47.62</v>
      </c>
      <c r="AB52" s="114">
        <v>2750900</v>
      </c>
      <c r="AC52" s="11">
        <v>47.4</v>
      </c>
      <c r="AD52" s="2">
        <f t="shared" si="0"/>
        <v>1.9199999999999946</v>
      </c>
      <c r="AE52" s="148">
        <f t="shared" si="1"/>
        <v>-3.2455603184323389E-2</v>
      </c>
    </row>
    <row r="53" spans="2:42" x14ac:dyDescent="0.25">
      <c r="O53" s="93">
        <v>1.04</v>
      </c>
      <c r="P53" s="93">
        <f t="shared" si="4"/>
        <v>64.781599999999997</v>
      </c>
      <c r="Q53" s="2"/>
      <c r="T53" s="118" t="s">
        <v>107</v>
      </c>
      <c r="U53" s="116" t="s">
        <v>134</v>
      </c>
      <c r="W53" s="133">
        <v>42388</v>
      </c>
      <c r="X53" s="44">
        <v>50.58</v>
      </c>
      <c r="Y53" s="44">
        <v>50.86</v>
      </c>
      <c r="Z53" s="44">
        <v>48.89</v>
      </c>
      <c r="AA53" s="44">
        <v>49.22</v>
      </c>
      <c r="AB53" s="114">
        <v>1915300</v>
      </c>
      <c r="AC53" s="11">
        <v>48.99</v>
      </c>
      <c r="AD53" s="2">
        <f t="shared" si="0"/>
        <v>1.9699999999999989</v>
      </c>
      <c r="AE53" s="148">
        <f t="shared" si="1"/>
        <v>-1.2298387096774221E-2</v>
      </c>
      <c r="AL53" s="263"/>
      <c r="AO53" s="263"/>
    </row>
    <row r="54" spans="2:42" x14ac:dyDescent="0.25">
      <c r="O54" s="93">
        <v>1.03</v>
      </c>
      <c r="P54" s="93">
        <f t="shared" si="4"/>
        <v>64.158699999999996</v>
      </c>
      <c r="Q54" s="2"/>
      <c r="T54" s="118"/>
      <c r="U54" s="116"/>
      <c r="W54" s="133">
        <v>42384</v>
      </c>
      <c r="X54" s="44">
        <v>49.88</v>
      </c>
      <c r="Y54" s="44">
        <v>50.71</v>
      </c>
      <c r="Z54" s="44">
        <v>49.25</v>
      </c>
      <c r="AA54" s="44">
        <v>49.83</v>
      </c>
      <c r="AB54" s="114">
        <v>1618500</v>
      </c>
      <c r="AC54" s="11">
        <v>49.6</v>
      </c>
      <c r="AD54" s="2">
        <f t="shared" si="0"/>
        <v>1.4600000000000009</v>
      </c>
      <c r="AE54" s="148">
        <f t="shared" si="1"/>
        <v>-3.4267912772585674E-2</v>
      </c>
    </row>
    <row r="55" spans="2:42" x14ac:dyDescent="0.25">
      <c r="O55" s="93">
        <v>1.02</v>
      </c>
      <c r="P55" s="93">
        <f t="shared" si="4"/>
        <v>63.535800000000002</v>
      </c>
      <c r="T55" s="118" t="s">
        <v>108</v>
      </c>
      <c r="U55" s="116" t="s">
        <v>302</v>
      </c>
      <c r="W55" s="133">
        <v>42383</v>
      </c>
      <c r="X55" s="44">
        <v>50.9</v>
      </c>
      <c r="Y55" s="44">
        <v>51.96</v>
      </c>
      <c r="Z55" s="44">
        <v>50.45</v>
      </c>
      <c r="AA55" s="44">
        <v>51.6</v>
      </c>
      <c r="AB55" s="114">
        <v>1733500</v>
      </c>
      <c r="AC55" s="11">
        <v>51.36</v>
      </c>
      <c r="AD55" s="2">
        <f t="shared" si="0"/>
        <v>1.509999999999998</v>
      </c>
      <c r="AE55" s="148">
        <f t="shared" si="1"/>
        <v>1.6425885612507463E-2</v>
      </c>
    </row>
    <row r="56" spans="2:42" x14ac:dyDescent="0.25">
      <c r="O56" s="93">
        <v>1.01</v>
      </c>
      <c r="P56" s="93">
        <f t="shared" si="4"/>
        <v>62.9129</v>
      </c>
      <c r="T56" s="118" t="s">
        <v>109</v>
      </c>
      <c r="U56" s="116" t="s">
        <v>276</v>
      </c>
      <c r="W56" s="133">
        <v>42382</v>
      </c>
      <c r="X56" s="44">
        <v>53.4</v>
      </c>
      <c r="Y56" s="44">
        <v>53.4</v>
      </c>
      <c r="Z56" s="44">
        <v>50.2</v>
      </c>
      <c r="AA56" s="44">
        <v>50.77</v>
      </c>
      <c r="AB56" s="114">
        <v>2287200</v>
      </c>
      <c r="AC56" s="11">
        <v>50.53</v>
      </c>
      <c r="AD56" s="2">
        <f t="shared" si="0"/>
        <v>3.1999999999999957</v>
      </c>
      <c r="AE56" s="148">
        <f t="shared" si="1"/>
        <v>-3.273353751914243E-2</v>
      </c>
    </row>
    <row r="57" spans="2:42" x14ac:dyDescent="0.25">
      <c r="O57" s="93">
        <v>1</v>
      </c>
      <c r="P57" s="93">
        <f t="shared" si="4"/>
        <v>62.29</v>
      </c>
      <c r="T57" s="118" t="s">
        <v>110</v>
      </c>
      <c r="U57" s="117">
        <v>700</v>
      </c>
      <c r="W57" s="133">
        <v>42381</v>
      </c>
      <c r="X57" s="44">
        <v>51.84</v>
      </c>
      <c r="Y57" s="44">
        <v>52.57</v>
      </c>
      <c r="Z57" s="44">
        <v>51.32</v>
      </c>
      <c r="AA57" s="44">
        <v>52.49</v>
      </c>
      <c r="AB57" s="114">
        <v>1707400</v>
      </c>
      <c r="AC57" s="11">
        <v>52.24</v>
      </c>
      <c r="AD57" s="2">
        <f t="shared" si="0"/>
        <v>1.25</v>
      </c>
      <c r="AE57" s="148">
        <f t="shared" si="1"/>
        <v>1.6935954837453915E-2</v>
      </c>
      <c r="AL57" s="263"/>
      <c r="AO57" s="263"/>
    </row>
    <row r="58" spans="2:42" x14ac:dyDescent="0.25">
      <c r="O58" s="93">
        <v>0.99</v>
      </c>
      <c r="P58" s="93">
        <f t="shared" si="4"/>
        <v>61.667099999999998</v>
      </c>
      <c r="T58" s="118" t="s">
        <v>113</v>
      </c>
      <c r="U58" s="117">
        <v>1431460</v>
      </c>
      <c r="W58" s="133">
        <v>42380</v>
      </c>
      <c r="X58" s="44">
        <v>51.69</v>
      </c>
      <c r="Y58" s="44">
        <v>52.1</v>
      </c>
      <c r="Z58" s="44">
        <v>51.09</v>
      </c>
      <c r="AA58" s="44">
        <v>51.61</v>
      </c>
      <c r="AB58" s="114">
        <v>1919100</v>
      </c>
      <c r="AC58" s="11">
        <v>51.37</v>
      </c>
      <c r="AD58" s="2">
        <f t="shared" si="0"/>
        <v>1.009999999999998</v>
      </c>
      <c r="AE58" s="148">
        <f t="shared" si="1"/>
        <v>5.4805245644939937E-3</v>
      </c>
    </row>
    <row r="59" spans="2:42" x14ac:dyDescent="0.25">
      <c r="O59" s="93">
        <v>0.98</v>
      </c>
      <c r="P59" s="93">
        <f t="shared" si="4"/>
        <v>61.044199999999996</v>
      </c>
      <c r="T59" s="118" t="s">
        <v>111</v>
      </c>
      <c r="U59" s="116" t="s">
        <v>323</v>
      </c>
      <c r="W59" s="133">
        <v>42377</v>
      </c>
      <c r="X59" s="44">
        <v>51.34</v>
      </c>
      <c r="Y59" s="44">
        <v>51.86</v>
      </c>
      <c r="Z59" s="44">
        <v>50.98</v>
      </c>
      <c r="AA59" s="44">
        <v>51.33</v>
      </c>
      <c r="AB59" s="114">
        <v>1717200</v>
      </c>
      <c r="AC59" s="11">
        <v>51.09</v>
      </c>
      <c r="AD59" s="2">
        <f t="shared" si="0"/>
        <v>0.88000000000000256</v>
      </c>
      <c r="AE59" s="148">
        <f t="shared" si="1"/>
        <v>5.9066745422327038E-3</v>
      </c>
      <c r="AL59" s="263"/>
    </row>
    <row r="60" spans="2:42" x14ac:dyDescent="0.25">
      <c r="O60" s="93">
        <v>0.97</v>
      </c>
      <c r="P60" s="93">
        <f t="shared" si="4"/>
        <v>60.421299999999995</v>
      </c>
      <c r="T60" s="118" t="s">
        <v>114</v>
      </c>
      <c r="U60" s="116">
        <v>18.86</v>
      </c>
      <c r="W60" s="133">
        <v>42376</v>
      </c>
      <c r="X60" s="44">
        <v>51.08</v>
      </c>
      <c r="Y60" s="44">
        <v>51.44</v>
      </c>
      <c r="Z60" s="44">
        <v>50.4</v>
      </c>
      <c r="AA60" s="44">
        <v>51.03</v>
      </c>
      <c r="AB60" s="114">
        <v>1673200</v>
      </c>
      <c r="AC60" s="11">
        <v>50.79</v>
      </c>
      <c r="AD60" s="2">
        <f t="shared" si="0"/>
        <v>1.0399999999999991</v>
      </c>
      <c r="AE60" s="148">
        <f t="shared" si="1"/>
        <v>-2.1952628538417063E-2</v>
      </c>
    </row>
    <row r="61" spans="2:42" x14ac:dyDescent="0.25">
      <c r="O61" s="93">
        <v>0.96</v>
      </c>
      <c r="P61" s="93">
        <f t="shared" si="4"/>
        <v>59.798399999999994</v>
      </c>
      <c r="T61" s="118" t="s">
        <v>115</v>
      </c>
      <c r="U61" s="116">
        <v>3.31</v>
      </c>
      <c r="W61" s="133">
        <v>42375</v>
      </c>
      <c r="X61" s="44">
        <v>52.94</v>
      </c>
      <c r="Y61" s="44">
        <v>53.53</v>
      </c>
      <c r="Z61" s="44">
        <v>51.98</v>
      </c>
      <c r="AA61" s="44">
        <v>52.17</v>
      </c>
      <c r="AB61" s="114">
        <v>1272100</v>
      </c>
      <c r="AC61" s="11">
        <v>51.93</v>
      </c>
      <c r="AD61" s="2">
        <f t="shared" si="0"/>
        <v>1.5500000000000043</v>
      </c>
      <c r="AE61" s="148">
        <f t="shared" si="1"/>
        <v>-3.3140942096443915E-2</v>
      </c>
      <c r="AL61" s="263"/>
      <c r="AO61" s="263"/>
    </row>
    <row r="62" spans="2:42" x14ac:dyDescent="0.25">
      <c r="O62" s="93">
        <v>0.95</v>
      </c>
      <c r="P62" s="93">
        <f t="shared" si="4"/>
        <v>59.1755</v>
      </c>
      <c r="T62" s="118" t="s">
        <v>112</v>
      </c>
      <c r="U62" s="116" t="s">
        <v>324</v>
      </c>
      <c r="W62" s="133">
        <v>42374</v>
      </c>
      <c r="X62" s="44">
        <v>54.67</v>
      </c>
      <c r="Y62" s="44">
        <v>54.84</v>
      </c>
      <c r="Z62" s="44">
        <v>53.53</v>
      </c>
      <c r="AA62" s="44">
        <v>53.96</v>
      </c>
      <c r="AB62" s="114">
        <v>1322500</v>
      </c>
      <c r="AC62" s="11">
        <v>53.71</v>
      </c>
      <c r="AD62" s="2">
        <f t="shared" si="0"/>
        <v>1.3100000000000023</v>
      </c>
      <c r="AE62" s="148">
        <f t="shared" si="1"/>
        <v>-1.6300366300366353E-2</v>
      </c>
    </row>
    <row r="63" spans="2:42" x14ac:dyDescent="0.25">
      <c r="O63" s="93">
        <v>0.94</v>
      </c>
      <c r="P63" s="93">
        <f t="shared" si="4"/>
        <v>58.552599999999998</v>
      </c>
      <c r="W63" s="133">
        <v>42373</v>
      </c>
      <c r="X63" s="44">
        <v>54.75</v>
      </c>
      <c r="Y63" s="44">
        <v>54.89</v>
      </c>
      <c r="Z63" s="44">
        <v>53.41</v>
      </c>
      <c r="AA63" s="44">
        <v>54.86</v>
      </c>
      <c r="AB63" s="114">
        <v>1349200</v>
      </c>
      <c r="AC63" s="11">
        <v>54.6</v>
      </c>
      <c r="AD63" s="2">
        <f t="shared" si="0"/>
        <v>1.480000000000004</v>
      </c>
      <c r="AE63" s="148">
        <f t="shared" si="1"/>
        <v>-1.8338727076591121E-2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57.929700000000004</v>
      </c>
      <c r="W64" s="133">
        <v>42369</v>
      </c>
      <c r="X64" s="44">
        <v>55.54</v>
      </c>
      <c r="Y64" s="44">
        <v>56.24</v>
      </c>
      <c r="Z64" s="44">
        <v>55.31</v>
      </c>
      <c r="AA64" s="44">
        <v>55.88</v>
      </c>
      <c r="AB64" s="114">
        <v>1294200</v>
      </c>
      <c r="AC64" s="11">
        <v>55.62</v>
      </c>
      <c r="AD64" s="2">
        <f t="shared" si="0"/>
        <v>0.92999999999999972</v>
      </c>
      <c r="AE64" s="148">
        <f t="shared" si="1"/>
        <v>-1.0144153764015007E-2</v>
      </c>
    </row>
    <row r="65" spans="15:41" x14ac:dyDescent="0.25">
      <c r="O65" s="93">
        <v>0.92</v>
      </c>
      <c r="P65" s="93">
        <f t="shared" si="4"/>
        <v>57.306800000000003</v>
      </c>
      <c r="W65" s="133">
        <v>42368</v>
      </c>
      <c r="X65" s="44">
        <v>56.41</v>
      </c>
      <c r="Y65" s="44">
        <v>56.76</v>
      </c>
      <c r="Z65" s="44">
        <v>56.25</v>
      </c>
      <c r="AA65" s="44">
        <v>56.45</v>
      </c>
      <c r="AB65" s="114">
        <v>1128200</v>
      </c>
      <c r="AC65" s="11">
        <v>56.19</v>
      </c>
      <c r="AD65" s="2">
        <f t="shared" si="0"/>
        <v>0.50999999999999801</v>
      </c>
      <c r="AE65" s="148">
        <f t="shared" si="1"/>
        <v>-4.0765685926976714E-3</v>
      </c>
      <c r="AL65" s="263"/>
      <c r="AO65" s="263"/>
    </row>
    <row r="66" spans="15:41" x14ac:dyDescent="0.25">
      <c r="O66" s="93">
        <v>0.91</v>
      </c>
      <c r="P66" s="93">
        <f t="shared" si="4"/>
        <v>56.683900000000001</v>
      </c>
      <c r="W66" s="133">
        <v>42367</v>
      </c>
      <c r="X66" s="44">
        <v>56.73</v>
      </c>
      <c r="Y66" s="44">
        <v>57.09</v>
      </c>
      <c r="Z66" s="44">
        <v>56.41</v>
      </c>
      <c r="AA66" s="44">
        <v>56.69</v>
      </c>
      <c r="AB66" s="114">
        <v>1568800</v>
      </c>
      <c r="AC66" s="11">
        <v>56.42</v>
      </c>
      <c r="AD66" s="2">
        <f t="shared" si="0"/>
        <v>0.68000000000000682</v>
      </c>
      <c r="AE66" s="148">
        <f t="shared" si="1"/>
        <v>4.9875311720697368E-3</v>
      </c>
    </row>
    <row r="67" spans="15:41" x14ac:dyDescent="0.25">
      <c r="O67" s="93">
        <v>0.9</v>
      </c>
      <c r="P67" s="93">
        <f t="shared" si="4"/>
        <v>56.061</v>
      </c>
      <c r="W67" s="133">
        <v>42366</v>
      </c>
      <c r="X67" s="44">
        <v>56.67</v>
      </c>
      <c r="Y67" s="44">
        <v>56.68</v>
      </c>
      <c r="Z67" s="44">
        <v>56.18</v>
      </c>
      <c r="AA67" s="44">
        <v>56.4</v>
      </c>
      <c r="AB67" s="114">
        <v>503100</v>
      </c>
      <c r="AC67" s="11">
        <v>56.14</v>
      </c>
      <c r="AD67" s="2">
        <f>Y67-Z67</f>
        <v>0.5</v>
      </c>
      <c r="AE67" s="148">
        <f>AC67/AC68-1</f>
        <v>-8.1272084805653622E-3</v>
      </c>
      <c r="AL67" s="263"/>
    </row>
    <row r="68" spans="15:41" x14ac:dyDescent="0.25">
      <c r="W68" s="133">
        <v>42362</v>
      </c>
      <c r="X68" s="44">
        <v>56.86</v>
      </c>
      <c r="Y68" s="44">
        <v>57.4</v>
      </c>
      <c r="Z68" s="44">
        <v>56.8</v>
      </c>
      <c r="AA68" s="44">
        <v>56.87</v>
      </c>
      <c r="AB68" s="114">
        <v>376600</v>
      </c>
      <c r="AC68" s="11">
        <v>56.6</v>
      </c>
      <c r="AD68" s="2">
        <f>Y68-Z68</f>
        <v>0.60000000000000142</v>
      </c>
      <c r="AE68" s="148" t="e">
        <f>AC68/AC69-1</f>
        <v>#DIV/0!</v>
      </c>
    </row>
    <row r="69" spans="15:41" x14ac:dyDescent="0.25">
      <c r="W69" s="33" t="s">
        <v>125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95" priority="35">
      <formula>Q12&gt;0</formula>
    </cfRule>
    <cfRule type="expression" dxfId="294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93" priority="29">
      <formula>F16&gt;0</formula>
    </cfRule>
    <cfRule type="expression" dxfId="292" priority="30">
      <formula>F16&lt;0</formula>
    </cfRule>
  </conditionalFormatting>
  <conditionalFormatting sqref="F21">
    <cfRule type="expression" dxfId="291" priority="27">
      <formula>F21&gt;0</formula>
    </cfRule>
    <cfRule type="expression" dxfId="290" priority="28">
      <formula>F21&lt;0</formula>
    </cfRule>
  </conditionalFormatting>
  <conditionalFormatting sqref="F22">
    <cfRule type="expression" dxfId="289" priority="25">
      <formula>F22&gt;0</formula>
    </cfRule>
    <cfRule type="expression" dxfId="288" priority="26">
      <formula>F22&lt;0</formula>
    </cfRule>
  </conditionalFormatting>
  <conditionalFormatting sqref="F23:F25">
    <cfRule type="expression" dxfId="287" priority="23">
      <formula>F23&gt;0</formula>
    </cfRule>
    <cfRule type="expression" dxfId="286" priority="24">
      <formula>F23&lt;0</formula>
    </cfRule>
  </conditionalFormatting>
  <conditionalFormatting sqref="H16:H20">
    <cfRule type="expression" dxfId="285" priority="21">
      <formula>H16&gt;0</formula>
    </cfRule>
    <cfRule type="expression" dxfId="284" priority="22">
      <formula>H16&lt;0</formula>
    </cfRule>
  </conditionalFormatting>
  <conditionalFormatting sqref="H21">
    <cfRule type="expression" dxfId="283" priority="19">
      <formula>H21&gt;0</formula>
    </cfRule>
    <cfRule type="expression" dxfId="282" priority="20">
      <formula>H21&lt;0</formula>
    </cfRule>
  </conditionalFormatting>
  <conditionalFormatting sqref="H22">
    <cfRule type="expression" dxfId="281" priority="17">
      <formula>H22&gt;0</formula>
    </cfRule>
    <cfRule type="expression" dxfId="280" priority="18">
      <formula>H22&lt;0</formula>
    </cfRule>
  </conditionalFormatting>
  <conditionalFormatting sqref="H23:H25">
    <cfRule type="expression" dxfId="279" priority="15">
      <formula>H23&gt;0</formula>
    </cfRule>
    <cfRule type="expression" dxfId="278" priority="16">
      <formula>H23&lt;0</formula>
    </cfRule>
  </conditionalFormatting>
  <conditionalFormatting sqref="F26">
    <cfRule type="expression" dxfId="277" priority="13">
      <formula>F26&gt;0</formula>
    </cfRule>
    <cfRule type="expression" dxfId="276" priority="14">
      <formula>F26&lt;0</formula>
    </cfRule>
  </conditionalFormatting>
  <conditionalFormatting sqref="H26">
    <cfRule type="expression" dxfId="275" priority="11">
      <formula>H26&gt;0</formula>
    </cfRule>
    <cfRule type="expression" dxfId="274" priority="12">
      <formula>H26&lt;0</formula>
    </cfRule>
  </conditionalFormatting>
  <conditionalFormatting sqref="F27:F36">
    <cfRule type="expression" dxfId="273" priority="9">
      <formula>F27&gt;0</formula>
    </cfRule>
    <cfRule type="expression" dxfId="272" priority="10">
      <formula>F27&lt;0</formula>
    </cfRule>
  </conditionalFormatting>
  <conditionalFormatting sqref="H27:H36">
    <cfRule type="expression" dxfId="271" priority="7">
      <formula>H27&gt;0</formula>
    </cfRule>
    <cfRule type="expression" dxfId="270" priority="8">
      <formula>H27&lt;0</formula>
    </cfRule>
  </conditionalFormatting>
  <conditionalFormatting sqref="Q7">
    <cfRule type="expression" dxfId="269" priority="5">
      <formula>Q7&gt;0</formula>
    </cfRule>
    <cfRule type="expression" dxfId="268" priority="6">
      <formula>Q7&lt;0</formula>
    </cfRule>
  </conditionalFormatting>
  <conditionalFormatting sqref="F14:F15">
    <cfRule type="expression" dxfId="267" priority="3">
      <formula>F14&gt;0</formula>
    </cfRule>
    <cfRule type="expression" dxfId="266" priority="4">
      <formula>F14&lt;0</formula>
    </cfRule>
  </conditionalFormatting>
  <conditionalFormatting sqref="H14:H15">
    <cfRule type="expression" dxfId="265" priority="1">
      <formula>H14&gt;0</formula>
    </cfRule>
    <cfRule type="expression" dxfId="26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6" activePane="bottomLeft" state="frozen"/>
      <selection activeCell="A2" sqref="A2"/>
      <selection pane="bottomLeft" activeCell="U46" sqref="U46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208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42460</v>
      </c>
      <c r="X2" s="12">
        <v>48.6</v>
      </c>
      <c r="Y2" s="12">
        <v>48.84</v>
      </c>
      <c r="Z2" s="12">
        <v>48.27</v>
      </c>
      <c r="AA2" s="12">
        <v>48.36</v>
      </c>
      <c r="AB2" s="105">
        <v>16085900</v>
      </c>
      <c r="AC2" s="12">
        <v>48.36</v>
      </c>
      <c r="AD2" s="2">
        <f>Y2-Z2</f>
        <v>0.57000000000000028</v>
      </c>
      <c r="AE2" s="148">
        <f>AC2/AC3-1</f>
        <v>-5.9609455292908287E-3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55">
        <f>IF(Q2=0, Q4, (F11-K11-M11)/Q2)</f>
        <v>50.125</v>
      </c>
      <c r="T3" s="131"/>
      <c r="W3" s="104">
        <v>42459</v>
      </c>
      <c r="X3" s="12">
        <v>48.4</v>
      </c>
      <c r="Y3" s="12">
        <v>49.16</v>
      </c>
      <c r="Z3" s="12">
        <v>48.15</v>
      </c>
      <c r="AA3" s="12">
        <v>48.65</v>
      </c>
      <c r="AB3" s="105">
        <v>16746700</v>
      </c>
      <c r="AC3" s="12">
        <v>48.65</v>
      </c>
      <c r="AD3" s="2">
        <f>Y3-Z3</f>
        <v>1.009999999999998</v>
      </c>
      <c r="AE3" s="148">
        <f>AC3/AC4-1</f>
        <v>1.2486992715921019E-2</v>
      </c>
      <c r="AN3" s="263"/>
    </row>
    <row r="4" spans="1:40" x14ac:dyDescent="0.25">
      <c r="O4" s="13" t="s">
        <v>66</v>
      </c>
      <c r="Q4" s="59">
        <v>48.45</v>
      </c>
      <c r="T4" s="131"/>
      <c r="W4" s="104">
        <v>42458</v>
      </c>
      <c r="X4" s="12">
        <v>48.62</v>
      </c>
      <c r="Y4" s="12">
        <v>48.65</v>
      </c>
      <c r="Z4" s="12">
        <v>47.84</v>
      </c>
      <c r="AA4" s="12">
        <v>48.05</v>
      </c>
      <c r="AB4" s="105">
        <v>24247700</v>
      </c>
      <c r="AC4" s="12">
        <v>48.05</v>
      </c>
      <c r="AD4" s="2">
        <f t="shared" ref="AD4:AD67" si="0">Y4-Z4</f>
        <v>0.80999999999999517</v>
      </c>
      <c r="AE4" s="148">
        <f t="shared" ref="AE4:AE67" si="1">AC4/AC5-1</f>
        <v>-1.3347022587269164E-2</v>
      </c>
      <c r="AK4" s="263"/>
      <c r="AN4" s="263"/>
    </row>
    <row r="5" spans="1:40" x14ac:dyDescent="0.25">
      <c r="O5" s="13" t="s">
        <v>67</v>
      </c>
      <c r="Q5" s="3">
        <f>Q4*Q2</f>
        <v>1938</v>
      </c>
      <c r="W5" s="104">
        <v>42457</v>
      </c>
      <c r="X5" s="12">
        <v>49.04</v>
      </c>
      <c r="Y5" s="12">
        <v>49.04</v>
      </c>
      <c r="Z5" s="12">
        <v>48.55</v>
      </c>
      <c r="AA5" s="12">
        <v>48.7</v>
      </c>
      <c r="AB5" s="105">
        <v>18468000</v>
      </c>
      <c r="AC5" s="12">
        <v>48.7</v>
      </c>
      <c r="AD5" s="2">
        <f t="shared" si="0"/>
        <v>0.49000000000000199</v>
      </c>
      <c r="AE5" s="148">
        <f t="shared" si="1"/>
        <v>-4.0899795501021519E-3</v>
      </c>
      <c r="AK5" s="263"/>
      <c r="AN5" s="263"/>
    </row>
    <row r="6" spans="1:40" x14ac:dyDescent="0.25">
      <c r="O6" s="13" t="s">
        <v>64</v>
      </c>
      <c r="Q6" s="2">
        <f>Q3*Q2</f>
        <v>2005</v>
      </c>
      <c r="W6" s="104">
        <v>42453</v>
      </c>
      <c r="X6" s="12">
        <v>49.02</v>
      </c>
      <c r="Y6" s="12">
        <v>49.08</v>
      </c>
      <c r="Z6" s="12">
        <v>48.52</v>
      </c>
      <c r="AA6" s="12">
        <v>48.9</v>
      </c>
      <c r="AB6" s="105">
        <v>20843800</v>
      </c>
      <c r="AC6" s="12">
        <v>48.9</v>
      </c>
      <c r="AD6" s="2">
        <f t="shared" si="0"/>
        <v>0.55999999999999517</v>
      </c>
      <c r="AE6" s="148">
        <f t="shared" si="1"/>
        <v>-1.7282958199356879E-2</v>
      </c>
    </row>
    <row r="7" spans="1:40" ht="15.75" x14ac:dyDescent="0.25">
      <c r="O7" s="13" t="s">
        <v>65</v>
      </c>
      <c r="Q7" s="2">
        <f>IF(Q2=0, K11+M11-F11,Q5-Q6)</f>
        <v>-67</v>
      </c>
      <c r="R7" s="207"/>
      <c r="T7" s="95"/>
      <c r="W7" s="104">
        <v>42452</v>
      </c>
      <c r="X7" s="12">
        <v>50.18</v>
      </c>
      <c r="Y7" s="12">
        <v>50.33</v>
      </c>
      <c r="Z7" s="12">
        <v>49.7</v>
      </c>
      <c r="AA7" s="12">
        <v>49.76</v>
      </c>
      <c r="AB7" s="105">
        <v>13174400</v>
      </c>
      <c r="AC7" s="12">
        <v>49.76</v>
      </c>
      <c r="AD7" s="2">
        <f t="shared" si="0"/>
        <v>0.62999999999999545</v>
      </c>
      <c r="AE7" s="148">
        <f t="shared" si="1"/>
        <v>-1.2110383164582128E-2</v>
      </c>
      <c r="AK7" s="263"/>
      <c r="AN7" s="263"/>
    </row>
    <row r="8" spans="1:40" x14ac:dyDescent="0.25">
      <c r="O8" s="13" t="s">
        <v>90</v>
      </c>
      <c r="P8"/>
      <c r="Q8" s="148">
        <f>(Q4-Q3)/Q3</f>
        <v>-3.3416458852867773E-2</v>
      </c>
      <c r="W8" s="104">
        <v>42451</v>
      </c>
      <c r="X8" s="12">
        <v>50.21</v>
      </c>
      <c r="Y8" s="12">
        <v>50.58</v>
      </c>
      <c r="Z8" s="12">
        <v>50</v>
      </c>
      <c r="AA8" s="12">
        <v>50.37</v>
      </c>
      <c r="AB8" s="105">
        <v>13825900</v>
      </c>
      <c r="AC8" s="12">
        <v>50.37</v>
      </c>
      <c r="AD8" s="2">
        <f t="shared" si="0"/>
        <v>0.57999999999999829</v>
      </c>
      <c r="AE8" s="148">
        <f t="shared" si="1"/>
        <v>-5.9206631142688648E-3</v>
      </c>
    </row>
    <row r="9" spans="1:40" x14ac:dyDescent="0.25">
      <c r="W9" s="104">
        <v>42450</v>
      </c>
      <c r="X9" s="12">
        <v>50.5</v>
      </c>
      <c r="Y9" s="12">
        <v>50.75</v>
      </c>
      <c r="Z9" s="12">
        <v>50.17</v>
      </c>
      <c r="AA9" s="12">
        <v>50.67</v>
      </c>
      <c r="AB9" s="105">
        <v>13464200</v>
      </c>
      <c r="AC9" s="12">
        <v>50.67</v>
      </c>
      <c r="AD9" s="2">
        <f t="shared" si="0"/>
        <v>0.57999999999999829</v>
      </c>
      <c r="AE9" s="148">
        <f t="shared" si="1"/>
        <v>2.5722200237436876E-3</v>
      </c>
      <c r="AK9" s="263"/>
      <c r="AN9" s="263"/>
    </row>
    <row r="10" spans="1:40" x14ac:dyDescent="0.25">
      <c r="W10" s="104">
        <v>42447</v>
      </c>
      <c r="X10" s="12">
        <v>50.44</v>
      </c>
      <c r="Y10" s="12">
        <v>50.7</v>
      </c>
      <c r="Z10" s="12">
        <v>49.93</v>
      </c>
      <c r="AA10" s="12">
        <v>50.54</v>
      </c>
      <c r="AB10" s="105">
        <v>35221800</v>
      </c>
      <c r="AC10" s="12">
        <v>50.54</v>
      </c>
      <c r="AD10" s="2">
        <f t="shared" si="0"/>
        <v>0.77000000000000313</v>
      </c>
      <c r="AE10" s="148">
        <f t="shared" si="1"/>
        <v>1.6287954956766493E-2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42446</v>
      </c>
      <c r="X11" s="12">
        <v>49.43</v>
      </c>
      <c r="Y11" s="12">
        <v>49.93</v>
      </c>
      <c r="Z11" s="12">
        <v>48.84</v>
      </c>
      <c r="AA11" s="12">
        <v>49.73</v>
      </c>
      <c r="AB11" s="105">
        <v>15931300</v>
      </c>
      <c r="AC11" s="12">
        <v>49.73</v>
      </c>
      <c r="AD11" s="2">
        <f t="shared" si="0"/>
        <v>1.0899999999999963</v>
      </c>
      <c r="AE11" s="148">
        <f t="shared" si="1"/>
        <v>3.8352846184901423E-3</v>
      </c>
      <c r="AK11" s="263"/>
      <c r="AN11" s="263"/>
    </row>
    <row r="12" spans="1:40" x14ac:dyDescent="0.25">
      <c r="W12" s="104">
        <v>42445</v>
      </c>
      <c r="X12" s="12">
        <v>49.75</v>
      </c>
      <c r="Y12" s="12">
        <v>50.29</v>
      </c>
      <c r="Z12" s="12">
        <v>49.28</v>
      </c>
      <c r="AA12" s="12">
        <v>49.54</v>
      </c>
      <c r="AB12" s="105">
        <v>16421900</v>
      </c>
      <c r="AC12" s="12">
        <v>49.54</v>
      </c>
      <c r="AD12" s="2">
        <f t="shared" si="0"/>
        <v>1.009999999999998</v>
      </c>
      <c r="AE12" s="148">
        <f t="shared" si="1"/>
        <v>-8.8035214085633307E-3</v>
      </c>
    </row>
    <row r="13" spans="1:40" x14ac:dyDescent="0.25">
      <c r="W13" s="104">
        <v>42444</v>
      </c>
      <c r="X13" s="12">
        <v>49.3</v>
      </c>
      <c r="Y13" s="12">
        <v>49.99</v>
      </c>
      <c r="Z13" s="12">
        <v>49.2</v>
      </c>
      <c r="AA13" s="12">
        <v>49.98</v>
      </c>
      <c r="AB13" s="105">
        <v>12882200</v>
      </c>
      <c r="AC13" s="12">
        <v>49.98</v>
      </c>
      <c r="AD13" s="2">
        <f t="shared" si="0"/>
        <v>0.78999999999999915</v>
      </c>
      <c r="AE13" s="148">
        <f t="shared" si="1"/>
        <v>2.0048115477144801E-3</v>
      </c>
      <c r="AK13" s="263"/>
      <c r="AN13" s="263"/>
    </row>
    <row r="14" spans="1:40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2" t="s">
        <v>65</v>
      </c>
      <c r="G14" s="253" t="s">
        <v>172</v>
      </c>
      <c r="H14" s="253" t="s">
        <v>90</v>
      </c>
      <c r="I14" s="253" t="s">
        <v>179</v>
      </c>
      <c r="T14" s="94"/>
      <c r="U14" s="13"/>
      <c r="W14" s="104">
        <v>42443</v>
      </c>
      <c r="X14" s="12">
        <v>49.97</v>
      </c>
      <c r="Y14" s="12">
        <v>50.07</v>
      </c>
      <c r="Z14" s="12">
        <v>49.44</v>
      </c>
      <c r="AA14" s="12">
        <v>49.88</v>
      </c>
      <c r="AB14" s="105">
        <v>12750800</v>
      </c>
      <c r="AC14" s="12">
        <v>49.88</v>
      </c>
      <c r="AD14" s="2">
        <f t="shared" si="0"/>
        <v>0.63000000000000256</v>
      </c>
      <c r="AE14" s="148">
        <f t="shared" si="1"/>
        <v>-3.794687437587374E-3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0" si="2">C15*(E15-D15)</f>
        <v>-4.0000000000000568</v>
      </c>
      <c r="G15" s="43">
        <f t="shared" ref="G15:G20" si="3">D15*C15</f>
        <v>2020</v>
      </c>
      <c r="H15" s="260">
        <f t="shared" ref="H15:H20" si="4">(E15-D15)/D15</f>
        <v>-1.9801980198020084E-3</v>
      </c>
      <c r="I15" s="43"/>
      <c r="W15" s="104">
        <v>42440</v>
      </c>
      <c r="X15" s="12">
        <v>49.12</v>
      </c>
      <c r="Y15" s="12">
        <v>50.13</v>
      </c>
      <c r="Z15" s="12">
        <v>48.88</v>
      </c>
      <c r="AA15" s="12">
        <v>50.07</v>
      </c>
      <c r="AB15" s="105">
        <v>18213100</v>
      </c>
      <c r="AC15" s="12">
        <v>50.07</v>
      </c>
      <c r="AD15" s="2">
        <f t="shared" si="0"/>
        <v>1.25</v>
      </c>
      <c r="AE15" s="148">
        <f t="shared" si="1"/>
        <v>3.2158317872603703E-2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42439</v>
      </c>
      <c r="X16" s="12">
        <v>48.94</v>
      </c>
      <c r="Y16" s="12">
        <v>49.13</v>
      </c>
      <c r="Z16" s="12">
        <v>47.96</v>
      </c>
      <c r="AA16" s="12">
        <v>48.51</v>
      </c>
      <c r="AB16" s="105">
        <v>18525300</v>
      </c>
      <c r="AC16" s="12">
        <v>48.51</v>
      </c>
      <c r="AD16" s="2">
        <f t="shared" si="0"/>
        <v>1.1700000000000017</v>
      </c>
      <c r="AE16" s="148">
        <f t="shared" si="1"/>
        <v>-5.7388809182209455E-3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247</v>
      </c>
      <c r="W17" s="104">
        <v>42438</v>
      </c>
      <c r="X17" s="12">
        <v>49.38</v>
      </c>
      <c r="Y17" s="12">
        <v>49.5</v>
      </c>
      <c r="Z17" s="12">
        <v>48.51</v>
      </c>
      <c r="AA17" s="12">
        <v>48.79</v>
      </c>
      <c r="AB17" s="105">
        <v>17888700</v>
      </c>
      <c r="AC17" s="12">
        <v>48.79</v>
      </c>
      <c r="AD17" s="2">
        <f t="shared" si="0"/>
        <v>0.99000000000000199</v>
      </c>
      <c r="AE17" s="148">
        <f t="shared" si="1"/>
        <v>-5.3007135575942055E-3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42437</v>
      </c>
      <c r="X18" s="12">
        <v>49.61</v>
      </c>
      <c r="Y18" s="12">
        <v>49.66</v>
      </c>
      <c r="Z18" s="12">
        <v>48.92</v>
      </c>
      <c r="AA18" s="12">
        <v>49.05</v>
      </c>
      <c r="AB18" s="105">
        <v>17968000</v>
      </c>
      <c r="AC18" s="12">
        <v>49.05</v>
      </c>
      <c r="AD18" s="2">
        <f t="shared" si="0"/>
        <v>0.73999999999999488</v>
      </c>
      <c r="AE18" s="148">
        <f t="shared" si="1"/>
        <v>-2.0371479928100733E-2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42436</v>
      </c>
      <c r="X19" s="12">
        <v>49.77</v>
      </c>
      <c r="Y19" s="12">
        <v>50.16</v>
      </c>
      <c r="Z19" s="12">
        <v>49.44</v>
      </c>
      <c r="AA19" s="12">
        <v>50.07</v>
      </c>
      <c r="AB19" s="105">
        <v>14289200</v>
      </c>
      <c r="AC19" s="12">
        <v>50.07</v>
      </c>
      <c r="AD19" s="2">
        <f t="shared" si="0"/>
        <v>0.71999999999999886</v>
      </c>
      <c r="AE19" s="148">
        <f t="shared" si="1"/>
        <v>-7.9824386350024756E-4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42433</v>
      </c>
      <c r="X20" s="12">
        <v>50.01</v>
      </c>
      <c r="Y20" s="12">
        <v>50.49</v>
      </c>
      <c r="Z20" s="12">
        <v>49.68</v>
      </c>
      <c r="AA20" s="12">
        <v>50.11</v>
      </c>
      <c r="AB20" s="105">
        <v>18554200</v>
      </c>
      <c r="AC20" s="12">
        <v>50.11</v>
      </c>
      <c r="AD20" s="2">
        <f t="shared" si="0"/>
        <v>0.81000000000000227</v>
      </c>
      <c r="AE20" s="148">
        <f t="shared" si="1"/>
        <v>6.8314245529434992E-3</v>
      </c>
    </row>
    <row r="21" spans="2:40" x14ac:dyDescent="0.25">
      <c r="B21" s="211"/>
      <c r="C21" s="12"/>
      <c r="D21" s="220"/>
      <c r="E21" s="43"/>
      <c r="F21" s="43"/>
      <c r="G21" s="43"/>
      <c r="H21" s="260"/>
      <c r="I21" s="43"/>
      <c r="W21" s="104">
        <v>42432</v>
      </c>
      <c r="X21" s="12">
        <v>49.63</v>
      </c>
      <c r="Y21" s="12">
        <v>49.79</v>
      </c>
      <c r="Z21" s="12">
        <v>49.07</v>
      </c>
      <c r="AA21" s="12">
        <v>49.77</v>
      </c>
      <c r="AB21" s="105">
        <v>14207600</v>
      </c>
      <c r="AC21" s="12">
        <v>49.77</v>
      </c>
      <c r="AD21" s="2">
        <f t="shared" si="0"/>
        <v>0.71999999999999886</v>
      </c>
      <c r="AE21" s="148">
        <f t="shared" si="1"/>
        <v>4.0346984062942237E-3</v>
      </c>
      <c r="AK21" s="263"/>
      <c r="AN21" s="263"/>
    </row>
    <row r="22" spans="2:40" x14ac:dyDescent="0.25">
      <c r="B22" s="211"/>
      <c r="C22" s="12"/>
      <c r="D22" s="220"/>
      <c r="E22" s="43"/>
      <c r="F22" s="43"/>
      <c r="G22" s="43"/>
      <c r="H22" s="260"/>
      <c r="I22" s="43"/>
      <c r="W22" s="104">
        <v>42431</v>
      </c>
      <c r="X22" s="12">
        <v>48.84</v>
      </c>
      <c r="Y22" s="12">
        <v>49.57</v>
      </c>
      <c r="Z22" s="12">
        <v>48.61</v>
      </c>
      <c r="AA22" s="12">
        <v>49.57</v>
      </c>
      <c r="AB22" s="105">
        <v>18519000</v>
      </c>
      <c r="AC22" s="12">
        <v>49.57</v>
      </c>
      <c r="AD22" s="2">
        <f t="shared" si="0"/>
        <v>0.96000000000000085</v>
      </c>
      <c r="AE22" s="148">
        <f t="shared" si="1"/>
        <v>1.7446633825944247E-2</v>
      </c>
    </row>
    <row r="23" spans="2:40" x14ac:dyDescent="0.25">
      <c r="B23" s="211"/>
      <c r="C23" s="12"/>
      <c r="D23" s="220"/>
      <c r="E23" s="43"/>
      <c r="F23" s="43"/>
      <c r="G23" s="43"/>
      <c r="H23" s="260"/>
      <c r="I23" s="43"/>
      <c r="W23" s="104">
        <v>42430</v>
      </c>
      <c r="X23" s="12">
        <v>47.14</v>
      </c>
      <c r="Y23" s="12">
        <v>48.72</v>
      </c>
      <c r="Z23" s="12">
        <v>47.14</v>
      </c>
      <c r="AA23" s="12">
        <v>48.72</v>
      </c>
      <c r="AB23" s="105">
        <v>24559200</v>
      </c>
      <c r="AC23" s="12">
        <v>48.72</v>
      </c>
      <c r="AD23" s="2">
        <f t="shared" si="0"/>
        <v>1.5799999999999983</v>
      </c>
      <c r="AE23" s="148">
        <f t="shared" si="1"/>
        <v>3.8363171355498604E-2</v>
      </c>
      <c r="AK23" s="263"/>
    </row>
    <row r="24" spans="2:40" x14ac:dyDescent="0.25">
      <c r="W24" s="104">
        <v>42429</v>
      </c>
      <c r="X24" s="12">
        <v>48.03</v>
      </c>
      <c r="Y24" s="12">
        <v>48.03</v>
      </c>
      <c r="Z24" s="12">
        <v>46.91</v>
      </c>
      <c r="AA24" s="12">
        <v>46.92</v>
      </c>
      <c r="AB24" s="105">
        <v>23284500</v>
      </c>
      <c r="AC24" s="12">
        <v>46.92</v>
      </c>
      <c r="AD24" s="2">
        <f t="shared" si="0"/>
        <v>1.1200000000000045</v>
      </c>
      <c r="AE24" s="148">
        <f t="shared" si="1"/>
        <v>-2.3923444976076569E-2</v>
      </c>
    </row>
    <row r="25" spans="2:40" x14ac:dyDescent="0.25">
      <c r="W25" s="104">
        <v>42426</v>
      </c>
      <c r="X25" s="12">
        <v>48.13</v>
      </c>
      <c r="Y25" s="12">
        <v>48.54</v>
      </c>
      <c r="Z25" s="12">
        <v>47.83</v>
      </c>
      <c r="AA25" s="12">
        <v>48.07</v>
      </c>
      <c r="AB25" s="105">
        <v>20238800</v>
      </c>
      <c r="AC25" s="12">
        <v>48.07</v>
      </c>
      <c r="AD25" s="2">
        <f t="shared" si="0"/>
        <v>0.71000000000000085</v>
      </c>
      <c r="AE25" s="148">
        <f t="shared" si="1"/>
        <v>6.701570680628377E-3</v>
      </c>
    </row>
    <row r="26" spans="2:40" x14ac:dyDescent="0.25">
      <c r="W26" s="104">
        <v>42425</v>
      </c>
      <c r="X26" s="12">
        <v>47.71</v>
      </c>
      <c r="Y26" s="12">
        <v>48.16</v>
      </c>
      <c r="Z26" s="12">
        <v>47.71</v>
      </c>
      <c r="AA26" s="12">
        <v>47.75</v>
      </c>
      <c r="AB26" s="105">
        <v>16620200</v>
      </c>
      <c r="AC26" s="12">
        <v>47.75</v>
      </c>
      <c r="AD26" s="2">
        <f t="shared" si="0"/>
        <v>0.44999999999999574</v>
      </c>
      <c r="AE26" s="148">
        <f t="shared" si="1"/>
        <v>2.9405587061541727E-3</v>
      </c>
    </row>
    <row r="27" spans="2:40" x14ac:dyDescent="0.25">
      <c r="W27" s="104">
        <v>42424</v>
      </c>
      <c r="X27" s="12">
        <v>47.34</v>
      </c>
      <c r="Y27" s="12">
        <v>47.68</v>
      </c>
      <c r="Z27" s="12">
        <v>46.56</v>
      </c>
      <c r="AA27" s="12">
        <v>47.61</v>
      </c>
      <c r="AB27" s="105">
        <v>18459500</v>
      </c>
      <c r="AC27" s="12">
        <v>47.61</v>
      </c>
      <c r="AD27" s="2">
        <f t="shared" si="0"/>
        <v>1.1199999999999974</v>
      </c>
      <c r="AE27" s="148">
        <f t="shared" si="1"/>
        <v>-1.0187110187110271E-2</v>
      </c>
    </row>
    <row r="28" spans="2:40" x14ac:dyDescent="0.25">
      <c r="W28" s="104">
        <v>42423</v>
      </c>
      <c r="X28" s="12">
        <v>48.87</v>
      </c>
      <c r="Y28" s="12">
        <v>48.92</v>
      </c>
      <c r="Z28" s="12">
        <v>47.98</v>
      </c>
      <c r="AA28" s="12">
        <v>48.1</v>
      </c>
      <c r="AB28" s="105">
        <v>14970500</v>
      </c>
      <c r="AC28" s="12">
        <v>48.1</v>
      </c>
      <c r="AD28" s="2">
        <f t="shared" si="0"/>
        <v>0.94000000000000483</v>
      </c>
      <c r="AE28" s="148">
        <f t="shared" si="1"/>
        <v>-2.2158975401504244E-2</v>
      </c>
    </row>
    <row r="29" spans="2:40" x14ac:dyDescent="0.25">
      <c r="W29" s="104">
        <v>42422</v>
      </c>
      <c r="X29" s="12">
        <v>48.09</v>
      </c>
      <c r="Y29" s="12">
        <v>49.34</v>
      </c>
      <c r="Z29" s="12">
        <v>48.09</v>
      </c>
      <c r="AA29" s="12">
        <v>49.19</v>
      </c>
      <c r="AB29" s="105">
        <v>17549100</v>
      </c>
      <c r="AC29" s="12">
        <v>49.19</v>
      </c>
      <c r="AD29" s="2">
        <f t="shared" si="0"/>
        <v>1.25</v>
      </c>
      <c r="AE29" s="148">
        <f t="shared" si="1"/>
        <v>2.2873778332293426E-2</v>
      </c>
    </row>
    <row r="30" spans="2:40" x14ac:dyDescent="0.25">
      <c r="W30" s="104">
        <v>42419</v>
      </c>
      <c r="X30" s="12">
        <v>47.4</v>
      </c>
      <c r="Y30" s="12">
        <v>48.17</v>
      </c>
      <c r="Z30" s="12">
        <v>47.34</v>
      </c>
      <c r="AA30" s="12">
        <v>48.09</v>
      </c>
      <c r="AB30" s="105">
        <v>18098100</v>
      </c>
      <c r="AC30" s="12">
        <v>48.09</v>
      </c>
      <c r="AD30" s="2">
        <f t="shared" si="0"/>
        <v>0.82999999999999829</v>
      </c>
      <c r="AE30" s="148">
        <f t="shared" si="1"/>
        <v>7.5424261470773413E-3</v>
      </c>
    </row>
    <row r="31" spans="2:40" x14ac:dyDescent="0.25">
      <c r="W31" s="104">
        <v>42418</v>
      </c>
      <c r="X31" s="12">
        <v>48.09</v>
      </c>
      <c r="Y31" s="12">
        <v>48.14</v>
      </c>
      <c r="Z31" s="12">
        <v>47.48</v>
      </c>
      <c r="AA31" s="12">
        <v>47.73</v>
      </c>
      <c r="AB31" s="105">
        <v>17026300</v>
      </c>
      <c r="AC31" s="12">
        <v>47.73</v>
      </c>
      <c r="AD31" s="2">
        <f t="shared" si="0"/>
        <v>0.66000000000000369</v>
      </c>
      <c r="AE31" s="148">
        <f t="shared" si="1"/>
        <v>-8.310824849366405E-3</v>
      </c>
    </row>
    <row r="32" spans="2:40" x14ac:dyDescent="0.25">
      <c r="W32" s="104">
        <v>42417</v>
      </c>
      <c r="X32" s="12">
        <v>48.65</v>
      </c>
      <c r="Y32" s="12">
        <v>48.96</v>
      </c>
      <c r="Z32" s="12">
        <v>47.99</v>
      </c>
      <c r="AA32" s="12">
        <v>48.13</v>
      </c>
      <c r="AB32" s="105">
        <v>17997500</v>
      </c>
      <c r="AC32" s="12">
        <v>48.13</v>
      </c>
      <c r="AD32" s="2">
        <f t="shared" si="0"/>
        <v>0.96999999999999886</v>
      </c>
      <c r="AE32" s="148">
        <f t="shared" si="1"/>
        <v>-2.280265339966836E-3</v>
      </c>
    </row>
    <row r="33" spans="15:31" x14ac:dyDescent="0.25">
      <c r="W33" s="104">
        <v>42416</v>
      </c>
      <c r="X33" s="12">
        <v>48.05</v>
      </c>
      <c r="Y33" s="12">
        <v>48.41</v>
      </c>
      <c r="Z33" s="12">
        <v>47.57</v>
      </c>
      <c r="AA33" s="12">
        <v>48.24</v>
      </c>
      <c r="AB33" s="105">
        <v>20110400</v>
      </c>
      <c r="AC33" s="12">
        <v>48.24</v>
      </c>
      <c r="AD33" s="2">
        <f t="shared" si="0"/>
        <v>0.83999999999999631</v>
      </c>
      <c r="AE33" s="148">
        <f t="shared" si="1"/>
        <v>1.9657577679137672E-2</v>
      </c>
    </row>
    <row r="34" spans="15:31" x14ac:dyDescent="0.25">
      <c r="W34" s="104">
        <v>42412</v>
      </c>
      <c r="X34" s="12">
        <v>45.96</v>
      </c>
      <c r="Y34" s="12">
        <v>47.39</v>
      </c>
      <c r="Z34" s="12">
        <v>45.93</v>
      </c>
      <c r="AA34" s="12">
        <v>47.31</v>
      </c>
      <c r="AB34" s="105">
        <v>28442100</v>
      </c>
      <c r="AC34" s="12">
        <v>47.31</v>
      </c>
      <c r="AD34" s="2">
        <f t="shared" si="0"/>
        <v>1.4600000000000009</v>
      </c>
      <c r="AE34" s="148">
        <f t="shared" si="1"/>
        <v>4.7608503100088795E-2</v>
      </c>
    </row>
    <row r="35" spans="15:31" x14ac:dyDescent="0.25">
      <c r="W35" s="104">
        <v>42411</v>
      </c>
      <c r="X35" s="12">
        <v>44.93</v>
      </c>
      <c r="Y35" s="12">
        <v>45.53</v>
      </c>
      <c r="Z35" s="12">
        <v>44.5</v>
      </c>
      <c r="AA35" s="12">
        <v>45.16</v>
      </c>
      <c r="AB35" s="105">
        <v>32356700</v>
      </c>
      <c r="AC35" s="12">
        <v>45.16</v>
      </c>
      <c r="AD35" s="2">
        <f t="shared" si="0"/>
        <v>1.0300000000000011</v>
      </c>
      <c r="AE35" s="148">
        <f t="shared" si="1"/>
        <v>-2.1875676846437209E-2</v>
      </c>
    </row>
    <row r="36" spans="15:31" x14ac:dyDescent="0.25">
      <c r="W36" s="104">
        <v>42410</v>
      </c>
      <c r="X36" s="12">
        <v>46.88</v>
      </c>
      <c r="Y36" s="12">
        <v>47.22</v>
      </c>
      <c r="Z36" s="12">
        <v>46.11</v>
      </c>
      <c r="AA36" s="12">
        <v>46.17</v>
      </c>
      <c r="AB36" s="105">
        <v>19865200</v>
      </c>
      <c r="AC36" s="12">
        <v>46.17</v>
      </c>
      <c r="AD36" s="2">
        <f t="shared" si="0"/>
        <v>1.1099999999999994</v>
      </c>
      <c r="AE36" s="148">
        <f t="shared" si="1"/>
        <v>-6.0279870828848781E-3</v>
      </c>
    </row>
    <row r="37" spans="15:31" x14ac:dyDescent="0.25">
      <c r="W37" s="104">
        <v>42409</v>
      </c>
      <c r="X37" s="12">
        <v>45.61</v>
      </c>
      <c r="Y37" s="12">
        <v>46.76</v>
      </c>
      <c r="Z37" s="12">
        <v>45.36</v>
      </c>
      <c r="AA37" s="12">
        <v>46.45</v>
      </c>
      <c r="AB37" s="105">
        <v>29580100</v>
      </c>
      <c r="AC37" s="12">
        <v>46.45</v>
      </c>
      <c r="AD37" s="2">
        <f t="shared" si="0"/>
        <v>1.3999999999999986</v>
      </c>
      <c r="AE37" s="148">
        <f t="shared" si="1"/>
        <v>-1.0752688172042113E-3</v>
      </c>
    </row>
    <row r="38" spans="15:31" x14ac:dyDescent="0.25">
      <c r="W38" s="104">
        <v>42408</v>
      </c>
      <c r="X38" s="12">
        <v>47.11</v>
      </c>
      <c r="Y38" s="12">
        <v>47.34</v>
      </c>
      <c r="Z38" s="12">
        <v>46.06</v>
      </c>
      <c r="AA38" s="12">
        <v>46.5</v>
      </c>
      <c r="AB38" s="105">
        <v>30727900</v>
      </c>
      <c r="AC38" s="12">
        <v>46.5</v>
      </c>
      <c r="AD38" s="2">
        <f t="shared" si="0"/>
        <v>1.2800000000000011</v>
      </c>
      <c r="AE38" s="148">
        <f t="shared" si="1"/>
        <v>-2.8416213957375702E-2</v>
      </c>
    </row>
    <row r="39" spans="15:31" ht="20.25" thickBot="1" x14ac:dyDescent="0.35">
      <c r="O39" s="13"/>
      <c r="P39" s="420" t="s">
        <v>78</v>
      </c>
      <c r="Q39" s="420"/>
      <c r="R39" s="37"/>
      <c r="T39" s="101" t="s">
        <v>116</v>
      </c>
      <c r="W39" s="104">
        <v>42405</v>
      </c>
      <c r="X39" s="12">
        <v>48.35</v>
      </c>
      <c r="Y39" s="12">
        <v>48.66</v>
      </c>
      <c r="Z39" s="12">
        <v>47.6</v>
      </c>
      <c r="AA39" s="12">
        <v>47.86</v>
      </c>
      <c r="AB39" s="105">
        <v>23613300</v>
      </c>
      <c r="AC39" s="12">
        <v>47.86</v>
      </c>
      <c r="AD39" s="2">
        <f t="shared" si="0"/>
        <v>1.0599999999999952</v>
      </c>
      <c r="AE39" s="148">
        <f t="shared" si="1"/>
        <v>-8.0829015544041649E-3</v>
      </c>
    </row>
    <row r="40" spans="15:31" ht="15.75" thickTop="1" x14ac:dyDescent="0.25">
      <c r="O40" s="2"/>
      <c r="P40" s="93">
        <v>1.1000000000000001</v>
      </c>
      <c r="Q40" s="93">
        <f>P40*$Q$4</f>
        <v>53.295000000000009</v>
      </c>
      <c r="R40" s="37"/>
      <c r="T40" s="107" t="s">
        <v>101</v>
      </c>
      <c r="U40" s="108">
        <v>48.36</v>
      </c>
      <c r="W40" s="104">
        <v>42404</v>
      </c>
      <c r="X40" s="12">
        <v>47.4</v>
      </c>
      <c r="Y40" s="12">
        <v>48.61</v>
      </c>
      <c r="Z40" s="12">
        <v>47.37</v>
      </c>
      <c r="AA40" s="12">
        <v>48.25</v>
      </c>
      <c r="AB40" s="105">
        <v>30603700</v>
      </c>
      <c r="AC40" s="12">
        <v>48.25</v>
      </c>
      <c r="AD40" s="2">
        <f t="shared" si="0"/>
        <v>1.240000000000002</v>
      </c>
      <c r="AE40" s="148">
        <f t="shared" si="1"/>
        <v>1.3655462184873901E-2</v>
      </c>
    </row>
    <row r="41" spans="15:31" x14ac:dyDescent="0.25">
      <c r="O41" s="2"/>
      <c r="P41" s="93">
        <v>1.0900000000000001</v>
      </c>
      <c r="Q41" s="93">
        <f t="shared" ref="Q41:Q60" si="5">P41*$Q$4</f>
        <v>52.810500000000005</v>
      </c>
      <c r="R41" s="37"/>
      <c r="T41" s="97" t="s">
        <v>102</v>
      </c>
      <c r="U41" s="98" t="s">
        <v>134</v>
      </c>
      <c r="W41" s="104">
        <v>42403</v>
      </c>
      <c r="X41" s="12">
        <v>48.45</v>
      </c>
      <c r="Y41" s="12">
        <v>48.51</v>
      </c>
      <c r="Z41" s="12">
        <v>46.51</v>
      </c>
      <c r="AA41" s="12">
        <v>47.6</v>
      </c>
      <c r="AB41" s="105">
        <v>47107800</v>
      </c>
      <c r="AC41" s="12">
        <v>47.6</v>
      </c>
      <c r="AD41" s="2">
        <f t="shared" si="0"/>
        <v>2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52.326000000000008</v>
      </c>
      <c r="R42" s="37"/>
      <c r="T42" s="97" t="s">
        <v>103</v>
      </c>
      <c r="U42" s="98" t="s">
        <v>381</v>
      </c>
      <c r="W42" s="104">
        <v>42403</v>
      </c>
      <c r="X42" s="12" t="s">
        <v>234</v>
      </c>
      <c r="Y42" s="12"/>
      <c r="Z42" s="12"/>
      <c r="AA42" s="12"/>
      <c r="AB42" s="105"/>
      <c r="AC42" s="12"/>
      <c r="AD42" s="2">
        <f t="shared" si="0"/>
        <v>0</v>
      </c>
      <c r="AE42" s="148">
        <f t="shared" si="1"/>
        <v>-1</v>
      </c>
    </row>
    <row r="43" spans="15:31" x14ac:dyDescent="0.25">
      <c r="O43" s="2"/>
      <c r="P43" s="93">
        <v>1.07</v>
      </c>
      <c r="Q43" s="93">
        <f t="shared" si="5"/>
        <v>51.841500000000003</v>
      </c>
      <c r="R43" s="93"/>
      <c r="T43" s="97" t="s">
        <v>104</v>
      </c>
      <c r="U43" s="98" t="s">
        <v>382</v>
      </c>
      <c r="W43" s="104">
        <v>42402</v>
      </c>
      <c r="X43" s="12">
        <v>49.26</v>
      </c>
      <c r="Y43" s="12">
        <v>49.32</v>
      </c>
      <c r="Z43" s="12">
        <v>48.78</v>
      </c>
      <c r="AA43" s="12">
        <v>48.83</v>
      </c>
      <c r="AB43" s="105">
        <v>25593200</v>
      </c>
      <c r="AC43" s="12">
        <v>48.46</v>
      </c>
      <c r="AD43" s="2">
        <f t="shared" si="0"/>
        <v>0.53999999999999915</v>
      </c>
      <c r="AE43" s="148">
        <f t="shared" si="1"/>
        <v>-2.2195318805488307E-2</v>
      </c>
    </row>
    <row r="44" spans="15:31" x14ac:dyDescent="0.25">
      <c r="O44" s="2"/>
      <c r="P44" s="93">
        <v>1.06</v>
      </c>
      <c r="Q44" s="93">
        <f t="shared" si="5"/>
        <v>51.357000000000006</v>
      </c>
      <c r="R44" s="93"/>
      <c r="T44" s="97" t="s">
        <v>105</v>
      </c>
      <c r="U44" s="98">
        <v>55.81</v>
      </c>
      <c r="W44" s="104">
        <v>42401</v>
      </c>
      <c r="X44" s="12">
        <v>50.12</v>
      </c>
      <c r="Y44" s="12">
        <v>50.18</v>
      </c>
      <c r="Z44" s="12">
        <v>49.56</v>
      </c>
      <c r="AA44" s="12">
        <v>49.94</v>
      </c>
      <c r="AB44" s="105">
        <v>17385400</v>
      </c>
      <c r="AC44" s="12">
        <v>49.56</v>
      </c>
      <c r="AD44" s="2">
        <f t="shared" si="0"/>
        <v>0.61999999999999744</v>
      </c>
      <c r="AE44" s="148">
        <f t="shared" si="1"/>
        <v>-5.6179775280899014E-3</v>
      </c>
    </row>
    <row r="45" spans="15:31" x14ac:dyDescent="0.25">
      <c r="O45" s="2"/>
      <c r="P45" s="93">
        <v>1.05</v>
      </c>
      <c r="Q45" s="93">
        <f t="shared" si="5"/>
        <v>50.872500000000002</v>
      </c>
      <c r="R45" s="93"/>
      <c r="T45" s="97" t="s">
        <v>106</v>
      </c>
      <c r="U45" s="98">
        <v>0.98563900000000004</v>
      </c>
      <c r="W45" s="104">
        <v>42398</v>
      </c>
      <c r="X45" s="12">
        <v>49.29</v>
      </c>
      <c r="Y45" s="12">
        <v>50.25</v>
      </c>
      <c r="Z45" s="12">
        <v>49.17</v>
      </c>
      <c r="AA45" s="12">
        <v>50.23</v>
      </c>
      <c r="AB45" s="105">
        <v>25358300</v>
      </c>
      <c r="AC45" s="12">
        <v>49.84</v>
      </c>
      <c r="AD45" s="2">
        <f t="shared" si="0"/>
        <v>1.0799999999999983</v>
      </c>
      <c r="AE45" s="148">
        <f t="shared" si="1"/>
        <v>2.6782035434693041E-2</v>
      </c>
    </row>
    <row r="46" spans="15:31" x14ac:dyDescent="0.25">
      <c r="O46" s="2"/>
      <c r="P46" s="93">
        <v>1.04</v>
      </c>
      <c r="Q46" s="93">
        <f t="shared" si="5"/>
        <v>50.388000000000005</v>
      </c>
      <c r="R46" s="93"/>
      <c r="T46" s="97" t="s">
        <v>107</v>
      </c>
      <c r="U46" s="99" t="s">
        <v>240</v>
      </c>
      <c r="W46" s="104">
        <v>42397</v>
      </c>
      <c r="X46" s="12">
        <v>49.1</v>
      </c>
      <c r="Y46" s="12">
        <v>49.4</v>
      </c>
      <c r="Z46" s="12">
        <v>48.6</v>
      </c>
      <c r="AA46" s="12">
        <v>48.92</v>
      </c>
      <c r="AB46" s="105">
        <v>21306600</v>
      </c>
      <c r="AC46" s="12">
        <v>48.54</v>
      </c>
      <c r="AD46" s="2">
        <f t="shared" si="0"/>
        <v>0.79999999999999716</v>
      </c>
      <c r="AE46" s="148">
        <f t="shared" si="1"/>
        <v>7.0539419087136679E-3</v>
      </c>
    </row>
    <row r="47" spans="15:31" x14ac:dyDescent="0.25">
      <c r="O47" s="2"/>
      <c r="P47" s="93">
        <v>1.03</v>
      </c>
      <c r="Q47" s="93">
        <f t="shared" si="5"/>
        <v>49.903500000000001</v>
      </c>
      <c r="R47" s="93"/>
      <c r="T47" s="97"/>
      <c r="U47" s="98"/>
      <c r="W47" s="104">
        <v>42396</v>
      </c>
      <c r="X47" s="12">
        <v>48.3</v>
      </c>
      <c r="Y47" s="12">
        <v>49.3</v>
      </c>
      <c r="Z47" s="12">
        <v>48.13</v>
      </c>
      <c r="AA47" s="12">
        <v>48.57</v>
      </c>
      <c r="AB47" s="105">
        <v>20441500</v>
      </c>
      <c r="AC47" s="12">
        <v>48.2</v>
      </c>
      <c r="AD47" s="2">
        <f t="shared" si="0"/>
        <v>1.1699999999999946</v>
      </c>
      <c r="AE47" s="148">
        <f t="shared" si="1"/>
        <v>6.4731676759239853E-3</v>
      </c>
    </row>
    <row r="48" spans="15:31" x14ac:dyDescent="0.25">
      <c r="O48" s="2"/>
      <c r="P48" s="93">
        <v>1.02</v>
      </c>
      <c r="Q48" s="93">
        <f t="shared" si="5"/>
        <v>49.419000000000004</v>
      </c>
      <c r="R48" s="93"/>
      <c r="T48" s="97" t="s">
        <v>108</v>
      </c>
      <c r="U48" s="98" t="s">
        <v>302</v>
      </c>
      <c r="W48" s="104">
        <v>42395</v>
      </c>
      <c r="X48" s="12">
        <v>47.75</v>
      </c>
      <c r="Y48" s="12">
        <v>48.56</v>
      </c>
      <c r="Z48" s="12">
        <v>47.66</v>
      </c>
      <c r="AA48" s="12">
        <v>48.26</v>
      </c>
      <c r="AB48" s="105">
        <v>18895100</v>
      </c>
      <c r="AC48" s="12">
        <v>47.89</v>
      </c>
      <c r="AD48" s="2">
        <f t="shared" si="0"/>
        <v>0.90000000000000568</v>
      </c>
      <c r="AE48" s="148">
        <f t="shared" si="1"/>
        <v>1.2687671812222412E-2</v>
      </c>
    </row>
    <row r="49" spans="15:31" x14ac:dyDescent="0.25">
      <c r="O49" s="2"/>
      <c r="P49" s="93">
        <v>1.01</v>
      </c>
      <c r="Q49" s="93">
        <f t="shared" si="5"/>
        <v>48.9345</v>
      </c>
      <c r="R49" s="93"/>
      <c r="T49" s="97" t="s">
        <v>109</v>
      </c>
      <c r="U49" s="98" t="s">
        <v>235</v>
      </c>
      <c r="W49" s="104">
        <v>42394</v>
      </c>
      <c r="X49" s="12">
        <v>48.91</v>
      </c>
      <c r="Y49" s="12">
        <v>48.98</v>
      </c>
      <c r="Z49" s="12">
        <v>47.62</v>
      </c>
      <c r="AA49" s="12">
        <v>47.66</v>
      </c>
      <c r="AB49" s="105">
        <v>23440800</v>
      </c>
      <c r="AC49" s="12">
        <v>47.29</v>
      </c>
      <c r="AD49" s="2">
        <f t="shared" si="0"/>
        <v>1.3599999999999994</v>
      </c>
      <c r="AE49" s="148">
        <f t="shared" si="1"/>
        <v>-2.7754934210526327E-2</v>
      </c>
    </row>
    <row r="50" spans="15:31" x14ac:dyDescent="0.25">
      <c r="O50" s="2"/>
      <c r="P50" s="93">
        <v>1</v>
      </c>
      <c r="Q50" s="93">
        <f t="shared" si="5"/>
        <v>48.45</v>
      </c>
      <c r="R50" s="93"/>
      <c r="T50" s="97" t="s">
        <v>110</v>
      </c>
      <c r="U50" s="100">
        <v>5409</v>
      </c>
      <c r="W50" s="104">
        <v>42391</v>
      </c>
      <c r="X50" s="12">
        <v>49.03</v>
      </c>
      <c r="Y50" s="12">
        <v>49.27</v>
      </c>
      <c r="Z50" s="12">
        <v>48.56</v>
      </c>
      <c r="AA50" s="12">
        <v>49.02</v>
      </c>
      <c r="AB50" s="105">
        <v>18298700</v>
      </c>
      <c r="AC50" s="12">
        <v>48.64</v>
      </c>
      <c r="AD50" s="2">
        <f t="shared" si="0"/>
        <v>0.71000000000000085</v>
      </c>
      <c r="AE50" s="148">
        <f t="shared" si="1"/>
        <v>2.099076406381184E-2</v>
      </c>
    </row>
    <row r="51" spans="15:31" x14ac:dyDescent="0.25">
      <c r="O51" s="2"/>
      <c r="P51" s="93">
        <v>0.99</v>
      </c>
      <c r="Q51" s="93">
        <f t="shared" si="5"/>
        <v>47.965500000000006</v>
      </c>
      <c r="R51" s="93"/>
      <c r="T51" s="97" t="s">
        <v>113</v>
      </c>
      <c r="U51" s="100">
        <v>21978400</v>
      </c>
      <c r="W51" s="104">
        <v>42390</v>
      </c>
      <c r="X51" s="12">
        <v>48.03</v>
      </c>
      <c r="Y51" s="12">
        <v>49.05</v>
      </c>
      <c r="Z51" s="12">
        <v>47.91</v>
      </c>
      <c r="AA51" s="12">
        <v>48.01</v>
      </c>
      <c r="AB51" s="105">
        <v>24272900</v>
      </c>
      <c r="AC51" s="12">
        <v>47.64</v>
      </c>
      <c r="AD51" s="2">
        <f t="shared" si="0"/>
        <v>1.1400000000000006</v>
      </c>
      <c r="AE51" s="148">
        <f t="shared" si="1"/>
        <v>2.9473684210525875E-3</v>
      </c>
    </row>
    <row r="52" spans="15:31" x14ac:dyDescent="0.25">
      <c r="O52" s="2"/>
      <c r="P52" s="93">
        <v>0.98</v>
      </c>
      <c r="Q52" s="93">
        <f t="shared" si="5"/>
        <v>47.481000000000002</v>
      </c>
      <c r="R52" s="93"/>
      <c r="T52" s="97" t="s">
        <v>111</v>
      </c>
      <c r="U52" s="98" t="s">
        <v>383</v>
      </c>
      <c r="W52" s="104">
        <v>42389</v>
      </c>
      <c r="X52" s="12">
        <v>47.28</v>
      </c>
      <c r="Y52" s="12">
        <v>48.25</v>
      </c>
      <c r="Z52" s="12">
        <v>46.88</v>
      </c>
      <c r="AA52" s="12">
        <v>47.87</v>
      </c>
      <c r="AB52" s="105">
        <v>40241100</v>
      </c>
      <c r="AC52" s="12">
        <v>47.5</v>
      </c>
      <c r="AD52" s="2">
        <f t="shared" si="0"/>
        <v>1.3699999999999974</v>
      </c>
      <c r="AE52" s="148">
        <f t="shared" si="1"/>
        <v>-7.1070234113712605E-3</v>
      </c>
    </row>
    <row r="53" spans="15:31" x14ac:dyDescent="0.25">
      <c r="O53" s="2"/>
      <c r="P53" s="93">
        <v>0.97</v>
      </c>
      <c r="Q53" s="93">
        <f t="shared" si="5"/>
        <v>46.996500000000005</v>
      </c>
      <c r="R53" s="93"/>
      <c r="T53" s="97" t="s">
        <v>114</v>
      </c>
      <c r="U53" s="98">
        <v>11.74</v>
      </c>
      <c r="W53" s="104">
        <v>42388</v>
      </c>
      <c r="X53" s="12">
        <v>49.25</v>
      </c>
      <c r="Y53" s="12">
        <v>49.54</v>
      </c>
      <c r="Z53" s="12">
        <v>47.99</v>
      </c>
      <c r="AA53" s="12">
        <v>48.21</v>
      </c>
      <c r="AB53" s="105">
        <v>29918500</v>
      </c>
      <c r="AC53" s="12">
        <v>47.84</v>
      </c>
      <c r="AD53" s="2">
        <f t="shared" si="0"/>
        <v>1.5499999999999972</v>
      </c>
      <c r="AE53" s="148">
        <f t="shared" si="1"/>
        <v>-1.2590299277605799E-2</v>
      </c>
    </row>
    <row r="54" spans="15:31" x14ac:dyDescent="0.25">
      <c r="O54" s="2"/>
      <c r="P54" s="93">
        <v>0.96</v>
      </c>
      <c r="Q54" s="93">
        <f t="shared" si="5"/>
        <v>46.512</v>
      </c>
      <c r="R54" s="93"/>
      <c r="T54" s="97" t="s">
        <v>115</v>
      </c>
      <c r="U54" s="98">
        <v>4.12</v>
      </c>
      <c r="W54" s="104">
        <v>42384</v>
      </c>
      <c r="X54" s="12">
        <v>48.59</v>
      </c>
      <c r="Y54" s="12">
        <v>49.64</v>
      </c>
      <c r="Z54" s="12">
        <v>48.13</v>
      </c>
      <c r="AA54" s="12">
        <v>48.82</v>
      </c>
      <c r="AB54" s="105">
        <v>41090400</v>
      </c>
      <c r="AC54" s="12">
        <v>48.45</v>
      </c>
      <c r="AD54" s="2">
        <f t="shared" si="0"/>
        <v>1.509999999999998</v>
      </c>
      <c r="AE54" s="148">
        <f t="shared" si="1"/>
        <v>-3.5820895522387985E-2</v>
      </c>
    </row>
    <row r="55" spans="15:31" x14ac:dyDescent="0.25">
      <c r="O55" s="2"/>
      <c r="P55" s="93">
        <v>0.95</v>
      </c>
      <c r="Q55" s="93">
        <f t="shared" si="5"/>
        <v>46.027500000000003</v>
      </c>
      <c r="R55" s="93"/>
      <c r="T55" s="97" t="s">
        <v>112</v>
      </c>
      <c r="U55" s="98" t="s">
        <v>384</v>
      </c>
      <c r="W55" s="104">
        <v>42383</v>
      </c>
      <c r="X55" s="12">
        <v>50.08</v>
      </c>
      <c r="Y55" s="12">
        <v>51</v>
      </c>
      <c r="Z55" s="12">
        <v>49.6</v>
      </c>
      <c r="AA55" s="12">
        <v>50.64</v>
      </c>
      <c r="AB55" s="105">
        <v>24569800</v>
      </c>
      <c r="AC55" s="12">
        <v>50.25</v>
      </c>
      <c r="AD55" s="2">
        <f t="shared" si="0"/>
        <v>1.3999999999999986</v>
      </c>
      <c r="AE55" s="148">
        <f>AC55/AC56-1</f>
        <v>1.8237082066869359E-2</v>
      </c>
    </row>
    <row r="56" spans="15:31" x14ac:dyDescent="0.25">
      <c r="O56" s="2"/>
      <c r="P56" s="93">
        <v>0.94</v>
      </c>
      <c r="Q56" s="93">
        <f t="shared" si="5"/>
        <v>45.542999999999999</v>
      </c>
      <c r="R56" s="93"/>
      <c r="W56" s="104">
        <v>42382</v>
      </c>
      <c r="X56" s="12">
        <v>51.73</v>
      </c>
      <c r="Y56" s="12">
        <v>51.8</v>
      </c>
      <c r="Z56" s="12">
        <v>49.5</v>
      </c>
      <c r="AA56" s="12">
        <v>49.73</v>
      </c>
      <c r="AB56" s="105">
        <v>22013500</v>
      </c>
      <c r="AC56" s="12">
        <v>49.35</v>
      </c>
      <c r="AD56" s="2">
        <f t="shared" si="0"/>
        <v>2.2999999999999972</v>
      </c>
      <c r="AE56" s="148">
        <f t="shared" si="1"/>
        <v>-3.178340200117713E-2</v>
      </c>
    </row>
    <row r="57" spans="15:31" x14ac:dyDescent="0.25">
      <c r="O57" s="2"/>
      <c r="P57" s="93">
        <v>0.93</v>
      </c>
      <c r="Q57" s="93">
        <f t="shared" si="5"/>
        <v>45.058500000000002</v>
      </c>
      <c r="R57" s="93"/>
      <c r="W57" s="104">
        <v>42381</v>
      </c>
      <c r="X57" s="12">
        <v>50.88</v>
      </c>
      <c r="Y57" s="12">
        <v>51.52</v>
      </c>
      <c r="Z57" s="12">
        <v>50.45</v>
      </c>
      <c r="AA57" s="12">
        <v>51.36</v>
      </c>
      <c r="AB57" s="105">
        <v>28961500</v>
      </c>
      <c r="AC57" s="12">
        <v>50.97</v>
      </c>
      <c r="AD57" s="2">
        <f t="shared" si="0"/>
        <v>1.0700000000000003</v>
      </c>
      <c r="AE57" s="148">
        <f t="shared" si="1"/>
        <v>2.5347012673506253E-2</v>
      </c>
    </row>
    <row r="58" spans="15:31" x14ac:dyDescent="0.25">
      <c r="O58" s="2"/>
      <c r="P58" s="93">
        <v>0.92</v>
      </c>
      <c r="Q58" s="93">
        <f t="shared" si="5"/>
        <v>44.574000000000005</v>
      </c>
      <c r="R58" s="93"/>
      <c r="W58" s="104">
        <v>42380</v>
      </c>
      <c r="X58" s="12">
        <v>50.18</v>
      </c>
      <c r="Y58" s="12">
        <v>50.33</v>
      </c>
      <c r="Z58" s="12">
        <v>49.64</v>
      </c>
      <c r="AA58" s="12">
        <v>50.09</v>
      </c>
      <c r="AB58" s="105">
        <v>19046400</v>
      </c>
      <c r="AC58" s="12">
        <v>49.71</v>
      </c>
      <c r="AD58" s="2">
        <f t="shared" si="0"/>
        <v>0.68999999999999773</v>
      </c>
      <c r="AE58" s="148">
        <f t="shared" si="1"/>
        <v>1.0776738511590001E-2</v>
      </c>
    </row>
    <row r="59" spans="15:31" x14ac:dyDescent="0.25">
      <c r="O59" s="2"/>
      <c r="P59" s="93">
        <v>0.91</v>
      </c>
      <c r="Q59" s="93">
        <f t="shared" si="5"/>
        <v>44.089500000000001</v>
      </c>
      <c r="R59" s="93"/>
      <c r="W59" s="104">
        <v>42377</v>
      </c>
      <c r="X59" s="12">
        <v>50.8</v>
      </c>
      <c r="Y59" s="12">
        <v>50.86</v>
      </c>
      <c r="Z59" s="12">
        <v>49.46</v>
      </c>
      <c r="AA59" s="12">
        <v>49.56</v>
      </c>
      <c r="AB59" s="105">
        <v>22981400</v>
      </c>
      <c r="AC59" s="12">
        <v>49.18</v>
      </c>
      <c r="AD59" s="2">
        <f t="shared" si="0"/>
        <v>1.3999999999999986</v>
      </c>
      <c r="AE59" s="148">
        <f t="shared" si="1"/>
        <v>-1.6596680663867214E-2</v>
      </c>
    </row>
    <row r="60" spans="15:31" x14ac:dyDescent="0.25">
      <c r="O60" s="2"/>
      <c r="P60" s="93">
        <v>0.9</v>
      </c>
      <c r="Q60" s="93">
        <f t="shared" si="5"/>
        <v>43.605000000000004</v>
      </c>
      <c r="R60" s="93"/>
      <c r="W60" s="104">
        <v>42376</v>
      </c>
      <c r="X60" s="12">
        <v>51.01</v>
      </c>
      <c r="Y60" s="12">
        <v>51.19</v>
      </c>
      <c r="Z60" s="12">
        <v>50.15</v>
      </c>
      <c r="AA60" s="12">
        <v>50.4</v>
      </c>
      <c r="AB60" s="105">
        <v>30425600</v>
      </c>
      <c r="AC60" s="12">
        <v>50.01</v>
      </c>
      <c r="AD60" s="2">
        <f t="shared" si="0"/>
        <v>1.0399999999999991</v>
      </c>
      <c r="AE60" s="148">
        <f t="shared" si="1"/>
        <v>-2.8554778554778504E-2</v>
      </c>
    </row>
    <row r="61" spans="15:31" x14ac:dyDescent="0.25">
      <c r="W61" s="104">
        <v>42375</v>
      </c>
      <c r="X61" s="12">
        <v>52.12</v>
      </c>
      <c r="Y61" s="12">
        <v>52.62</v>
      </c>
      <c r="Z61" s="12">
        <v>51.83</v>
      </c>
      <c r="AA61" s="12">
        <v>51.88</v>
      </c>
      <c r="AB61" s="105">
        <v>20026400</v>
      </c>
      <c r="AC61" s="12">
        <v>51.48</v>
      </c>
      <c r="AD61" s="2">
        <f t="shared" si="0"/>
        <v>0.78999999999999915</v>
      </c>
      <c r="AE61" s="148">
        <f t="shared" si="1"/>
        <v>-1.9054878048780477E-2</v>
      </c>
    </row>
    <row r="62" spans="15:31" x14ac:dyDescent="0.25">
      <c r="W62" s="104">
        <v>42374</v>
      </c>
      <c r="X62" s="12">
        <v>52.93</v>
      </c>
      <c r="Y62" s="12">
        <v>53.27</v>
      </c>
      <c r="Z62" s="12">
        <v>52.55</v>
      </c>
      <c r="AA62" s="12">
        <v>52.89</v>
      </c>
      <c r="AB62" s="105">
        <v>14759600</v>
      </c>
      <c r="AC62" s="12">
        <v>52.48</v>
      </c>
      <c r="AD62" s="2">
        <f t="shared" si="0"/>
        <v>0.72000000000000597</v>
      </c>
      <c r="AE62" s="148">
        <f t="shared" si="1"/>
        <v>-3.8095238095248174E-4</v>
      </c>
    </row>
    <row r="63" spans="15:31" x14ac:dyDescent="0.25">
      <c r="W63" s="104">
        <v>42373</v>
      </c>
      <c r="X63" s="12">
        <v>53.09</v>
      </c>
      <c r="Y63" s="12">
        <v>53.27</v>
      </c>
      <c r="Z63" s="12">
        <v>52.3</v>
      </c>
      <c r="AA63" s="12">
        <v>52.91</v>
      </c>
      <c r="AB63" s="105">
        <v>25985400</v>
      </c>
      <c r="AC63" s="12">
        <v>52.5</v>
      </c>
      <c r="AD63" s="2">
        <f t="shared" si="0"/>
        <v>0.97000000000000597</v>
      </c>
      <c r="AE63" s="148">
        <f t="shared" si="1"/>
        <v>-2.6696329254727424E-2</v>
      </c>
    </row>
    <row r="64" spans="15:31" x14ac:dyDescent="0.25">
      <c r="W64" s="104">
        <v>42369</v>
      </c>
      <c r="X64" s="12">
        <v>54.51</v>
      </c>
      <c r="Y64" s="12">
        <v>54.95</v>
      </c>
      <c r="Z64" s="12">
        <v>54.22</v>
      </c>
      <c r="AA64" s="12">
        <v>54.36</v>
      </c>
      <c r="AB64" s="105">
        <v>10929800</v>
      </c>
      <c r="AC64" s="12">
        <v>53.94</v>
      </c>
      <c r="AD64" s="2">
        <f t="shared" si="0"/>
        <v>0.73000000000000398</v>
      </c>
      <c r="AE64" s="148">
        <f t="shared" si="1"/>
        <v>-9.7301266752340965E-3</v>
      </c>
    </row>
    <row r="65" spans="23:31" x14ac:dyDescent="0.25">
      <c r="W65" s="104">
        <v>42368</v>
      </c>
      <c r="X65" s="12">
        <v>55.27</v>
      </c>
      <c r="Y65" s="12">
        <v>55.31</v>
      </c>
      <c r="Z65" s="12">
        <v>54.79</v>
      </c>
      <c r="AA65" s="12">
        <v>54.89</v>
      </c>
      <c r="AB65" s="105">
        <v>8016900</v>
      </c>
      <c r="AC65" s="12">
        <v>54.47</v>
      </c>
      <c r="AD65" s="2">
        <f t="shared" si="0"/>
        <v>0.52000000000000313</v>
      </c>
      <c r="AE65" s="148">
        <f t="shared" si="1"/>
        <v>-7.2899580827410215E-3</v>
      </c>
    </row>
    <row r="66" spans="23:31" x14ac:dyDescent="0.25">
      <c r="W66" s="104">
        <v>42367</v>
      </c>
      <c r="X66" s="12">
        <v>55.11</v>
      </c>
      <c r="Y66" s="12">
        <v>55.35</v>
      </c>
      <c r="Z66" s="12">
        <v>54.99</v>
      </c>
      <c r="AA66" s="12">
        <v>55.29</v>
      </c>
      <c r="AB66" s="105">
        <v>7894900</v>
      </c>
      <c r="AC66" s="12">
        <v>54.87</v>
      </c>
      <c r="AD66" s="2">
        <f t="shared" si="0"/>
        <v>0.35999999999999943</v>
      </c>
      <c r="AE66" s="148">
        <f t="shared" si="1"/>
        <v>1.1242167342425446E-2</v>
      </c>
    </row>
    <row r="67" spans="23:31" x14ac:dyDescent="0.25">
      <c r="W67" s="104">
        <v>42366</v>
      </c>
      <c r="X67" s="12">
        <v>54.55</v>
      </c>
      <c r="Y67" s="12">
        <v>54.78</v>
      </c>
      <c r="Z67" s="12">
        <v>54.17</v>
      </c>
      <c r="AA67" s="12">
        <v>54.68</v>
      </c>
      <c r="AB67" s="105">
        <v>8288800</v>
      </c>
      <c r="AC67" s="12">
        <v>54.26</v>
      </c>
      <c r="AD67" s="2">
        <f t="shared" si="0"/>
        <v>0.60999999999999943</v>
      </c>
      <c r="AE67" s="148">
        <f t="shared" si="1"/>
        <v>-2.5735294117646967E-3</v>
      </c>
    </row>
    <row r="68" spans="23:31" x14ac:dyDescent="0.25">
      <c r="W68" s="104">
        <v>42362</v>
      </c>
      <c r="X68" s="12">
        <v>54.97</v>
      </c>
      <c r="Y68" s="12">
        <v>55.09</v>
      </c>
      <c r="Z68" s="12">
        <v>54.71</v>
      </c>
      <c r="AA68" s="12">
        <v>54.82</v>
      </c>
      <c r="AB68" s="105">
        <v>4999400</v>
      </c>
      <c r="AC68" s="12">
        <v>54.4</v>
      </c>
      <c r="AD68" s="2">
        <f>Y68-Z68</f>
        <v>0.38000000000000256</v>
      </c>
      <c r="AE68" s="148" t="e">
        <f>AC68/AC69-1</f>
        <v>#DIV/0!</v>
      </c>
    </row>
    <row r="69" spans="23:31" x14ac:dyDescent="0.25"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63" priority="27">
      <formula>F7&gt;0</formula>
    </cfRule>
    <cfRule type="expression" dxfId="262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61" priority="19">
      <formula>F22&gt;0</formula>
    </cfRule>
    <cfRule type="expression" dxfId="260" priority="20">
      <formula>F22&lt;0</formula>
    </cfRule>
  </conditionalFormatting>
  <conditionalFormatting sqref="F22:F23">
    <cfRule type="expression" dxfId="259" priority="21">
      <formula>F22&gt;0</formula>
    </cfRule>
    <cfRule type="expression" dxfId="258" priority="22">
      <formula>F22&lt;0</formula>
    </cfRule>
  </conditionalFormatting>
  <conditionalFormatting sqref="H19:H23">
    <cfRule type="expression" dxfId="257" priority="17">
      <formula>H19&gt;0</formula>
    </cfRule>
    <cfRule type="expression" dxfId="256" priority="18">
      <formula>H19&lt;0</formula>
    </cfRule>
  </conditionalFormatting>
  <conditionalFormatting sqref="F15:F18">
    <cfRule type="expression" dxfId="255" priority="3">
      <formula>F15&gt;0</formula>
    </cfRule>
    <cfRule type="expression" dxfId="254" priority="4">
      <formula>F15&lt;0</formula>
    </cfRule>
  </conditionalFormatting>
  <conditionalFormatting sqref="H15:H18">
    <cfRule type="expression" dxfId="253" priority="1">
      <formula>H15&gt;0</formula>
    </cfRule>
    <cfRule type="expression" dxfId="25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.710937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4"/>
      <c r="M2" s="3"/>
      <c r="O2" s="13" t="s">
        <v>57</v>
      </c>
      <c r="Q2">
        <f>C10-H10</f>
        <v>0</v>
      </c>
      <c r="T2" s="95"/>
      <c r="W2" s="104">
        <v>42460</v>
      </c>
      <c r="X2" s="12">
        <v>9.6999999999999993</v>
      </c>
      <c r="Y2" s="12">
        <v>9.86</v>
      </c>
      <c r="Z2" s="12">
        <v>9.5299999999999994</v>
      </c>
      <c r="AA2" s="12">
        <v>9.58</v>
      </c>
      <c r="AB2" s="105">
        <v>19912100</v>
      </c>
      <c r="AC2" s="12">
        <v>9.58</v>
      </c>
      <c r="AD2" s="2">
        <f>Y2-Z2</f>
        <v>0.33000000000000007</v>
      </c>
      <c r="AE2" s="148">
        <f>AC2/AC3-1</f>
        <v>-1.0330578512396604E-2</v>
      </c>
    </row>
    <row r="3" spans="1:40" x14ac:dyDescent="0.25">
      <c r="A3" s="26" t="s">
        <v>71</v>
      </c>
      <c r="B3" s="294"/>
      <c r="C3" s="315"/>
      <c r="D3" s="316"/>
      <c r="E3" s="316"/>
      <c r="F3" s="316"/>
      <c r="G3" s="294"/>
      <c r="H3" s="315"/>
      <c r="I3" s="316"/>
      <c r="J3" s="316"/>
      <c r="K3" s="316"/>
      <c r="L3" s="294"/>
      <c r="M3" s="3"/>
      <c r="O3" s="13" t="s">
        <v>58</v>
      </c>
      <c r="Q3" s="255">
        <f>IF(Q2=0, Q4, (F10-K10-M10)/Q2)</f>
        <v>9.6300000000000008</v>
      </c>
      <c r="T3" s="131"/>
      <c r="W3" s="104">
        <v>42459</v>
      </c>
      <c r="X3" s="12">
        <v>9.83</v>
      </c>
      <c r="Y3" s="12">
        <v>9.8699999999999992</v>
      </c>
      <c r="Z3" s="12">
        <v>9.6300000000000008</v>
      </c>
      <c r="AA3" s="12">
        <v>9.68</v>
      </c>
      <c r="AB3" s="105">
        <v>18448800</v>
      </c>
      <c r="AC3" s="12">
        <v>9.68</v>
      </c>
      <c r="AD3" s="2">
        <f>Y3-Z3</f>
        <v>0.23999999999999844</v>
      </c>
      <c r="AE3" s="148">
        <f>AC3/AC4-1</f>
        <v>-4.115226337448652E-3</v>
      </c>
      <c r="AN3" s="263"/>
    </row>
    <row r="4" spans="1:40" x14ac:dyDescent="0.25">
      <c r="B4" s="294"/>
      <c r="C4" s="315"/>
      <c r="D4" s="316"/>
      <c r="E4" s="316"/>
      <c r="F4" s="316"/>
      <c r="G4" s="294"/>
      <c r="H4" s="317"/>
      <c r="I4" s="316"/>
      <c r="J4" s="316"/>
      <c r="K4" s="316"/>
      <c r="L4" s="315"/>
      <c r="O4" s="13" t="s">
        <v>66</v>
      </c>
      <c r="Q4" s="221">
        <v>9.6300000000000008</v>
      </c>
      <c r="T4" s="131"/>
      <c r="W4" s="104">
        <v>42458</v>
      </c>
      <c r="X4" s="12">
        <v>9.5500000000000007</v>
      </c>
      <c r="Y4" s="12">
        <v>9.75</v>
      </c>
      <c r="Z4" s="12">
        <v>9.3699999999999992</v>
      </c>
      <c r="AA4" s="12">
        <v>9.7200000000000006</v>
      </c>
      <c r="AB4" s="105">
        <v>24581600</v>
      </c>
      <c r="AC4" s="12">
        <v>9.7200000000000006</v>
      </c>
      <c r="AD4" s="2">
        <f t="shared" ref="AD4:AD67" si="0">Y4-Z4</f>
        <v>0.38000000000000078</v>
      </c>
      <c r="AE4" s="148">
        <f t="shared" ref="AE4:AE67" si="1">AC4/AC5-1</f>
        <v>2.0618556701033075E-3</v>
      </c>
      <c r="AK4" s="263"/>
      <c r="AN4" s="263"/>
    </row>
    <row r="5" spans="1:40" x14ac:dyDescent="0.25">
      <c r="B5" s="294"/>
      <c r="C5" s="315"/>
      <c r="D5" s="316"/>
      <c r="E5" s="316"/>
      <c r="F5" s="316"/>
      <c r="G5" s="294"/>
      <c r="H5" s="317"/>
      <c r="I5" s="316"/>
      <c r="J5" s="316"/>
      <c r="K5" s="316"/>
      <c r="L5" s="315"/>
      <c r="O5" s="13" t="s">
        <v>67</v>
      </c>
      <c r="Q5" s="3">
        <f>Q4*Q2</f>
        <v>0</v>
      </c>
      <c r="W5" s="104">
        <v>42457</v>
      </c>
      <c r="X5" s="12">
        <v>9.67</v>
      </c>
      <c r="Y5" s="12">
        <v>9.84</v>
      </c>
      <c r="Z5" s="12">
        <v>9.4700000000000006</v>
      </c>
      <c r="AA5" s="12">
        <v>9.6999999999999993</v>
      </c>
      <c r="AB5" s="105">
        <v>16042900</v>
      </c>
      <c r="AC5" s="12">
        <v>9.6999999999999993</v>
      </c>
      <c r="AD5" s="2">
        <f t="shared" si="0"/>
        <v>0.36999999999999922</v>
      </c>
      <c r="AE5" s="148">
        <f t="shared" si="1"/>
        <v>1.3584117032392706E-2</v>
      </c>
      <c r="AK5" s="263"/>
      <c r="AN5" s="263"/>
    </row>
    <row r="6" spans="1:40" x14ac:dyDescent="0.25">
      <c r="B6" s="294"/>
      <c r="C6" s="315"/>
      <c r="D6" s="316"/>
      <c r="E6" s="316"/>
      <c r="F6" s="316"/>
      <c r="G6" s="294"/>
      <c r="H6" s="317"/>
      <c r="I6" s="316"/>
      <c r="J6" s="316"/>
      <c r="K6" s="316"/>
      <c r="L6" s="315"/>
      <c r="O6" s="13" t="s">
        <v>64</v>
      </c>
      <c r="Q6" s="2">
        <f>Q3*Q2</f>
        <v>0</v>
      </c>
      <c r="W6" s="104">
        <v>42453</v>
      </c>
      <c r="X6" s="12">
        <v>9.18</v>
      </c>
      <c r="Y6" s="12">
        <v>9.61</v>
      </c>
      <c r="Z6" s="12">
        <v>9.0399999999999991</v>
      </c>
      <c r="AA6" s="12">
        <v>9.57</v>
      </c>
      <c r="AB6" s="105">
        <v>20720100</v>
      </c>
      <c r="AC6" s="12">
        <v>9.57</v>
      </c>
      <c r="AD6" s="2">
        <f t="shared" si="0"/>
        <v>0.57000000000000028</v>
      </c>
      <c r="AE6" s="148">
        <f t="shared" si="1"/>
        <v>2.682403433476388E-2</v>
      </c>
    </row>
    <row r="7" spans="1:40" ht="15.75" x14ac:dyDescent="0.25">
      <c r="B7" s="294"/>
      <c r="C7" s="315"/>
      <c r="D7" s="316"/>
      <c r="E7" s="316"/>
      <c r="F7" s="316"/>
      <c r="G7" s="294"/>
      <c r="H7" s="317"/>
      <c r="I7" s="316"/>
      <c r="J7" s="316"/>
      <c r="K7" s="316"/>
      <c r="L7" s="315"/>
      <c r="O7" s="13" t="s">
        <v>236</v>
      </c>
      <c r="Q7" s="2">
        <f>IF(Q2=0, K10+M10-F10,Q5-Q6)+M21</f>
        <v>816.43000000000143</v>
      </c>
      <c r="R7" s="207"/>
      <c r="T7" s="95"/>
      <c r="W7" s="104">
        <v>42452</v>
      </c>
      <c r="X7" s="12">
        <v>9.69</v>
      </c>
      <c r="Y7" s="12">
        <v>9.8000000000000007</v>
      </c>
      <c r="Z7" s="12">
        <v>9.25</v>
      </c>
      <c r="AA7" s="12">
        <v>9.32</v>
      </c>
      <c r="AB7" s="105">
        <v>25371400</v>
      </c>
      <c r="AC7" s="12">
        <v>9.32</v>
      </c>
      <c r="AD7" s="2">
        <f t="shared" si="0"/>
        <v>0.55000000000000071</v>
      </c>
      <c r="AE7" s="148">
        <f t="shared" si="1"/>
        <v>-5.3807106598984689E-2</v>
      </c>
      <c r="AK7" s="263"/>
      <c r="AN7" s="263"/>
    </row>
    <row r="8" spans="1:40" x14ac:dyDescent="0.25">
      <c r="B8" s="294"/>
      <c r="C8" s="315"/>
      <c r="D8" s="316"/>
      <c r="E8" s="316"/>
      <c r="F8" s="316"/>
      <c r="G8" s="294"/>
      <c r="H8" s="317"/>
      <c r="I8" s="316"/>
      <c r="J8" s="316"/>
      <c r="K8" s="316"/>
      <c r="L8" s="315"/>
      <c r="O8" s="13" t="s">
        <v>90</v>
      </c>
      <c r="P8"/>
      <c r="Q8" s="148">
        <f>(Q4-Q3)/Q3</f>
        <v>0</v>
      </c>
      <c r="W8" s="104">
        <v>42451</v>
      </c>
      <c r="X8" s="12">
        <v>9.76</v>
      </c>
      <c r="Y8" s="12">
        <v>9.9600000000000009</v>
      </c>
      <c r="Z8" s="12">
        <v>9.68</v>
      </c>
      <c r="AA8" s="12">
        <v>9.85</v>
      </c>
      <c r="AB8" s="105">
        <v>19823600</v>
      </c>
      <c r="AC8" s="12">
        <v>9.85</v>
      </c>
      <c r="AD8" s="2">
        <f t="shared" si="0"/>
        <v>0.28000000000000114</v>
      </c>
      <c r="AE8" s="148">
        <f t="shared" si="1"/>
        <v>-4.0444893832154438E-3</v>
      </c>
    </row>
    <row r="9" spans="1:40" x14ac:dyDescent="0.25">
      <c r="O9" s="13" t="s">
        <v>218</v>
      </c>
      <c r="Q9" s="148">
        <f>VALUE(TRIM(CLEAN(MID(U55, FIND("(", U55)+1, 5))))</f>
        <v>1.24E-2</v>
      </c>
      <c r="W9" s="104">
        <v>42450</v>
      </c>
      <c r="X9" s="12">
        <v>9.94</v>
      </c>
      <c r="Y9" s="12">
        <v>10.039999999999999</v>
      </c>
      <c r="Z9" s="12">
        <v>9.7100000000000009</v>
      </c>
      <c r="AA9" s="12">
        <v>9.89</v>
      </c>
      <c r="AB9" s="105">
        <v>19085000</v>
      </c>
      <c r="AC9" s="12">
        <v>9.89</v>
      </c>
      <c r="AD9" s="2">
        <f t="shared" si="0"/>
        <v>0.32999999999999829</v>
      </c>
      <c r="AE9" s="148">
        <f t="shared" si="1"/>
        <v>-1.395812562313048E-2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42447</v>
      </c>
      <c r="X10" s="12">
        <v>10</v>
      </c>
      <c r="Y10" s="12">
        <v>10.220000000000001</v>
      </c>
      <c r="Z10" s="12">
        <v>9.8000000000000007</v>
      </c>
      <c r="AA10" s="12">
        <v>10.029999999999999</v>
      </c>
      <c r="AB10" s="105">
        <v>33522400</v>
      </c>
      <c r="AC10" s="12">
        <v>10.029999999999999</v>
      </c>
      <c r="AD10" s="2">
        <f t="shared" si="0"/>
        <v>0.41999999999999993</v>
      </c>
      <c r="AE10" s="148">
        <f t="shared" si="1"/>
        <v>9.0543259557342992E-3</v>
      </c>
    </row>
    <row r="11" spans="1:40" x14ac:dyDescent="0.25">
      <c r="O11" s="13" t="s">
        <v>243</v>
      </c>
      <c r="Q11" s="2">
        <f>K10+M10-F10</f>
        <v>7.9600000000002638</v>
      </c>
      <c r="W11" s="104">
        <v>42446</v>
      </c>
      <c r="X11" s="12">
        <v>9.86</v>
      </c>
      <c r="Y11" s="12">
        <v>10</v>
      </c>
      <c r="Z11" s="12">
        <v>9.73</v>
      </c>
      <c r="AA11" s="12">
        <v>9.94</v>
      </c>
      <c r="AB11" s="105">
        <v>39227200</v>
      </c>
      <c r="AC11" s="12">
        <v>9.94</v>
      </c>
      <c r="AD11" s="2">
        <f t="shared" si="0"/>
        <v>0.26999999999999957</v>
      </c>
      <c r="AE11" s="148">
        <f t="shared" si="1"/>
        <v>2.0533880903490731E-2</v>
      </c>
      <c r="AK11" s="263"/>
      <c r="AN11" s="263"/>
    </row>
    <row r="12" spans="1:40" x14ac:dyDescent="0.25">
      <c r="W12" s="104">
        <v>42445</v>
      </c>
      <c r="X12" s="12">
        <v>9.19</v>
      </c>
      <c r="Y12" s="12">
        <v>9.77</v>
      </c>
      <c r="Z12" s="12">
        <v>9.1</v>
      </c>
      <c r="AA12" s="12">
        <v>9.74</v>
      </c>
      <c r="AB12" s="105">
        <v>33941400</v>
      </c>
      <c r="AC12" s="12">
        <v>9.74</v>
      </c>
      <c r="AD12" s="2">
        <f t="shared" si="0"/>
        <v>0.66999999999999993</v>
      </c>
      <c r="AE12" s="148">
        <f t="shared" si="1"/>
        <v>6.3318777292576511E-2</v>
      </c>
    </row>
    <row r="13" spans="1:40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2" t="s">
        <v>65</v>
      </c>
      <c r="G13" s="253" t="s">
        <v>172</v>
      </c>
      <c r="H13" s="253" t="s">
        <v>90</v>
      </c>
      <c r="I13" s="253" t="s">
        <v>179</v>
      </c>
      <c r="W13" s="104">
        <v>42444</v>
      </c>
      <c r="X13" s="12">
        <v>9.5</v>
      </c>
      <c r="Y13" s="12">
        <v>9.52</v>
      </c>
      <c r="Z13" s="12">
        <v>9.11</v>
      </c>
      <c r="AA13" s="12">
        <v>9.16</v>
      </c>
      <c r="AB13" s="105">
        <v>31413700</v>
      </c>
      <c r="AC13" s="12">
        <v>9.16</v>
      </c>
      <c r="AD13" s="2">
        <f t="shared" si="0"/>
        <v>0.41000000000000014</v>
      </c>
      <c r="AE13" s="148">
        <f t="shared" si="1"/>
        <v>-5.2740434332988584E-2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42443</v>
      </c>
      <c r="X14" s="12">
        <v>9.41</v>
      </c>
      <c r="Y14" s="12">
        <v>9.8000000000000007</v>
      </c>
      <c r="Z14" s="12">
        <v>9.36</v>
      </c>
      <c r="AA14" s="12">
        <v>9.67</v>
      </c>
      <c r="AB14" s="105">
        <v>21664200</v>
      </c>
      <c r="AC14" s="12">
        <v>9.67</v>
      </c>
      <c r="AD14" s="2">
        <f t="shared" si="0"/>
        <v>0.44000000000000128</v>
      </c>
      <c r="AE14" s="148">
        <f t="shared" si="1"/>
        <v>1.5756302521008347E-2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42440</v>
      </c>
      <c r="X15" s="12">
        <v>9.7100000000000009</v>
      </c>
      <c r="Y15" s="12">
        <v>9.85</v>
      </c>
      <c r="Z15" s="12">
        <v>9.4499999999999993</v>
      </c>
      <c r="AA15" s="12">
        <v>9.52</v>
      </c>
      <c r="AB15" s="105">
        <v>23346400</v>
      </c>
      <c r="AC15" s="12">
        <v>9.52</v>
      </c>
      <c r="AD15" s="2">
        <f t="shared" si="0"/>
        <v>0.40000000000000036</v>
      </c>
      <c r="AE15" s="148">
        <f t="shared" si="1"/>
        <v>-7.2992700729926918E-3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42439</v>
      </c>
      <c r="X16" s="12">
        <v>9.3800000000000008</v>
      </c>
      <c r="Y16" s="12">
        <v>9.6300000000000008</v>
      </c>
      <c r="Z16" s="12">
        <v>9.2200000000000006</v>
      </c>
      <c r="AA16" s="12">
        <v>9.59</v>
      </c>
      <c r="AB16" s="105">
        <v>24924300</v>
      </c>
      <c r="AC16" s="12">
        <v>9.59</v>
      </c>
      <c r="AD16" s="2">
        <f t="shared" si="0"/>
        <v>0.41000000000000014</v>
      </c>
      <c r="AE16" s="148">
        <f t="shared" si="1"/>
        <v>1.8046709129511562E-2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42438</v>
      </c>
      <c r="X17" s="12">
        <v>9.43</v>
      </c>
      <c r="Y17" s="12">
        <v>9.52</v>
      </c>
      <c r="Z17" s="12">
        <v>9.1199999999999992</v>
      </c>
      <c r="AA17" s="12">
        <v>9.42</v>
      </c>
      <c r="AB17" s="105">
        <v>21765900</v>
      </c>
      <c r="AC17" s="12">
        <v>9.42</v>
      </c>
      <c r="AD17" s="2">
        <f t="shared" si="0"/>
        <v>0.40000000000000036</v>
      </c>
      <c r="AE17" s="148">
        <f t="shared" si="1"/>
        <v>9.6463022508037621E-3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42437</v>
      </c>
      <c r="X18" s="12">
        <v>9.77</v>
      </c>
      <c r="Y18" s="12">
        <v>9.9</v>
      </c>
      <c r="Z18" s="12">
        <v>9.2899999999999991</v>
      </c>
      <c r="AA18" s="12">
        <v>9.33</v>
      </c>
      <c r="AB18" s="105">
        <v>37791000</v>
      </c>
      <c r="AC18" s="12">
        <v>9.33</v>
      </c>
      <c r="AD18" s="2">
        <f t="shared" si="0"/>
        <v>0.61000000000000121</v>
      </c>
      <c r="AE18" s="148">
        <f t="shared" si="1"/>
        <v>-7.0717131474103523E-2</v>
      </c>
    </row>
    <row r="19" spans="1:40" x14ac:dyDescent="0.25">
      <c r="B19" s="294"/>
      <c r="C19" s="317"/>
      <c r="D19" s="316"/>
      <c r="E19" s="316"/>
      <c r="F19" s="316"/>
      <c r="G19" s="294"/>
      <c r="H19" s="317"/>
      <c r="I19" s="316"/>
      <c r="J19" s="316"/>
      <c r="K19" s="316"/>
      <c r="L19" s="315"/>
      <c r="W19" s="104">
        <v>42436</v>
      </c>
      <c r="X19" s="12">
        <v>9.66</v>
      </c>
      <c r="Y19" s="12">
        <v>10.07</v>
      </c>
      <c r="Z19" s="12">
        <v>9.61</v>
      </c>
      <c r="AA19" s="12">
        <v>10.039999999999999</v>
      </c>
      <c r="AB19" s="105">
        <v>41542400</v>
      </c>
      <c r="AC19" s="12">
        <v>10.039999999999999</v>
      </c>
      <c r="AD19" s="2">
        <f t="shared" si="0"/>
        <v>0.46000000000000085</v>
      </c>
      <c r="AE19" s="148">
        <f t="shared" si="1"/>
        <v>4.9111807732497237E-2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8"/>
      <c r="I20" s="3"/>
      <c r="J20" s="3"/>
      <c r="K20" s="3"/>
      <c r="L20" s="4"/>
      <c r="M20" s="4"/>
      <c r="N20" s="4"/>
      <c r="W20" s="104">
        <v>42433</v>
      </c>
      <c r="X20" s="12">
        <v>9.59</v>
      </c>
      <c r="Y20" s="12">
        <v>10.039999999999999</v>
      </c>
      <c r="Z20" s="12">
        <v>9.42</v>
      </c>
      <c r="AA20" s="12">
        <v>9.57</v>
      </c>
      <c r="AB20" s="105">
        <v>40736700</v>
      </c>
      <c r="AC20" s="12">
        <v>9.57</v>
      </c>
      <c r="AD20" s="2">
        <f t="shared" si="0"/>
        <v>0.61999999999999922</v>
      </c>
      <c r="AE20" s="148">
        <f t="shared" si="1"/>
        <v>1.0559662090813049E-2</v>
      </c>
    </row>
    <row r="21" spans="1:40" x14ac:dyDescent="0.25">
      <c r="A21" s="299"/>
      <c r="B21" s="299"/>
      <c r="C21" s="299"/>
      <c r="D21" s="300"/>
      <c r="E21" s="300"/>
      <c r="F21" s="300"/>
      <c r="G21" s="299"/>
      <c r="H21" s="299"/>
      <c r="I21" s="300"/>
      <c r="J21" s="300"/>
      <c r="K21" s="301" t="s">
        <v>137</v>
      </c>
      <c r="L21" s="299"/>
      <c r="M21" s="300">
        <f>K61+M61-F61</f>
        <v>808.47000000000116</v>
      </c>
      <c r="N21" s="299"/>
      <c r="W21" s="104">
        <v>42432</v>
      </c>
      <c r="X21" s="12">
        <v>9.4</v>
      </c>
      <c r="Y21" s="12">
        <v>9.6999999999999993</v>
      </c>
      <c r="Z21" s="12">
        <v>9.17</v>
      </c>
      <c r="AA21" s="12">
        <v>9.4700000000000006</v>
      </c>
      <c r="AB21" s="105">
        <v>35492900</v>
      </c>
      <c r="AC21" s="12">
        <v>9.4700000000000006</v>
      </c>
      <c r="AD21" s="2">
        <f t="shared" si="0"/>
        <v>0.52999999999999936</v>
      </c>
      <c r="AE21" s="148">
        <f t="shared" si="1"/>
        <v>-1.5592515592515399E-2</v>
      </c>
      <c r="AK21" s="263"/>
      <c r="AN21" s="263"/>
    </row>
    <row r="22" spans="1:40" x14ac:dyDescent="0.25">
      <c r="A22" s="301" t="s">
        <v>1</v>
      </c>
      <c r="B22" s="301" t="s">
        <v>2</v>
      </c>
      <c r="C22" s="301" t="s">
        <v>4</v>
      </c>
      <c r="D22" s="302" t="s">
        <v>5</v>
      </c>
      <c r="E22" s="302" t="s">
        <v>92</v>
      </c>
      <c r="F22" s="302" t="s">
        <v>60</v>
      </c>
      <c r="G22" s="301" t="s">
        <v>3</v>
      </c>
      <c r="H22" s="301" t="s">
        <v>6</v>
      </c>
      <c r="I22" s="302" t="s">
        <v>7</v>
      </c>
      <c r="J22" s="302" t="s">
        <v>91</v>
      </c>
      <c r="K22" s="302" t="s">
        <v>61</v>
      </c>
      <c r="L22" s="301" t="s">
        <v>77</v>
      </c>
      <c r="M22" s="301" t="s">
        <v>38</v>
      </c>
      <c r="N22" s="301"/>
      <c r="W22" s="104">
        <v>42431</v>
      </c>
      <c r="X22" s="12">
        <v>9.15</v>
      </c>
      <c r="Y22" s="12">
        <v>9.6999999999999993</v>
      </c>
      <c r="Z22" s="12">
        <v>9.1</v>
      </c>
      <c r="AA22" s="12">
        <v>9.6199999999999992</v>
      </c>
      <c r="AB22" s="105">
        <v>48764600</v>
      </c>
      <c r="AC22" s="12">
        <v>9.6199999999999992</v>
      </c>
      <c r="AD22" s="2">
        <f t="shared" si="0"/>
        <v>0.59999999999999964</v>
      </c>
      <c r="AE22" s="148">
        <f t="shared" si="1"/>
        <v>5.598243688254656E-2</v>
      </c>
    </row>
    <row r="23" spans="1:40" x14ac:dyDescent="0.25">
      <c r="A23" s="303" t="s">
        <v>10</v>
      </c>
      <c r="B23" s="304">
        <v>42146</v>
      </c>
      <c r="C23" s="299">
        <v>100</v>
      </c>
      <c r="D23" s="300">
        <v>13.1</v>
      </c>
      <c r="E23" s="300">
        <v>0</v>
      </c>
      <c r="F23" s="300">
        <f>C23*D23+E23</f>
        <v>1310</v>
      </c>
      <c r="G23" s="304">
        <v>42199</v>
      </c>
      <c r="H23" s="299">
        <v>52</v>
      </c>
      <c r="I23" s="300">
        <v>10.7</v>
      </c>
      <c r="J23" s="300">
        <v>0.01</v>
      </c>
      <c r="K23" s="300">
        <f t="shared" ref="K23:K46" si="2">H23*I23-J23</f>
        <v>556.39</v>
      </c>
      <c r="L23" s="304">
        <v>42241</v>
      </c>
      <c r="M23" s="300">
        <v>12</v>
      </c>
      <c r="N23" s="299"/>
      <c r="W23" s="104">
        <v>42430</v>
      </c>
      <c r="X23" s="12">
        <v>9.1199999999999992</v>
      </c>
      <c r="Y23" s="12">
        <v>9.1999999999999993</v>
      </c>
      <c r="Z23" s="12">
        <v>8.92</v>
      </c>
      <c r="AA23" s="12">
        <v>9.11</v>
      </c>
      <c r="AB23" s="105">
        <v>16203300</v>
      </c>
      <c r="AC23" s="12">
        <v>9.11</v>
      </c>
      <c r="AD23" s="2">
        <f t="shared" si="0"/>
        <v>0.27999999999999936</v>
      </c>
      <c r="AE23" s="148">
        <f t="shared" si="1"/>
        <v>2.015677491601342E-2</v>
      </c>
      <c r="AK23" s="263"/>
    </row>
    <row r="24" spans="1:40" x14ac:dyDescent="0.25">
      <c r="A24" s="306" t="s">
        <v>71</v>
      </c>
      <c r="B24" s="304">
        <v>42151</v>
      </c>
      <c r="C24" s="299">
        <v>102</v>
      </c>
      <c r="D24" s="300">
        <v>12.99</v>
      </c>
      <c r="E24" s="300">
        <v>0</v>
      </c>
      <c r="F24" s="300">
        <f t="shared" ref="F24:F58" si="3">C24*D24+E24</f>
        <v>1324.98</v>
      </c>
      <c r="G24" s="304">
        <v>42235</v>
      </c>
      <c r="H24" s="299">
        <v>150</v>
      </c>
      <c r="I24" s="300">
        <v>9.41</v>
      </c>
      <c r="J24" s="300">
        <v>0.03</v>
      </c>
      <c r="K24" s="300">
        <f t="shared" si="2"/>
        <v>1411.47</v>
      </c>
      <c r="L24" s="304">
        <v>42333</v>
      </c>
      <c r="M24" s="300">
        <v>111</v>
      </c>
      <c r="N24" s="299"/>
      <c r="W24" s="104">
        <v>42429</v>
      </c>
      <c r="X24" s="12">
        <v>8.9499999999999993</v>
      </c>
      <c r="Y24" s="12">
        <v>9.11</v>
      </c>
      <c r="Z24" s="12">
        <v>8.85</v>
      </c>
      <c r="AA24" s="12">
        <v>8.93</v>
      </c>
      <c r="AB24" s="105">
        <v>20952100</v>
      </c>
      <c r="AC24" s="12">
        <v>8.93</v>
      </c>
      <c r="AD24" s="2">
        <f t="shared" si="0"/>
        <v>0.25999999999999979</v>
      </c>
      <c r="AE24" s="148">
        <f t="shared" si="1"/>
        <v>6.7643742953777952E-3</v>
      </c>
    </row>
    <row r="25" spans="1:40" x14ac:dyDescent="0.25">
      <c r="A25" s="299"/>
      <c r="B25" s="304">
        <v>42152</v>
      </c>
      <c r="C25" s="299">
        <v>50</v>
      </c>
      <c r="D25" s="300">
        <v>12.94</v>
      </c>
      <c r="E25" s="300">
        <v>0</v>
      </c>
      <c r="F25" s="300">
        <f t="shared" si="3"/>
        <v>647</v>
      </c>
      <c r="G25" s="304">
        <v>42256</v>
      </c>
      <c r="H25" s="305">
        <v>300</v>
      </c>
      <c r="I25" s="300">
        <v>9.6999999999999993</v>
      </c>
      <c r="J25" s="300">
        <v>0.05</v>
      </c>
      <c r="K25" s="300">
        <f t="shared" si="2"/>
        <v>2909.95</v>
      </c>
      <c r="L25" s="304">
        <v>42425</v>
      </c>
      <c r="M25" s="300">
        <v>15</v>
      </c>
      <c r="N25" s="299"/>
      <c r="W25" s="104">
        <v>42426</v>
      </c>
      <c r="X25" s="12">
        <v>9.1199999999999992</v>
      </c>
      <c r="Y25" s="12">
        <v>9.2100000000000009</v>
      </c>
      <c r="Z25" s="12">
        <v>8.82</v>
      </c>
      <c r="AA25" s="12">
        <v>8.8699999999999992</v>
      </c>
      <c r="AB25" s="105">
        <v>22360200</v>
      </c>
      <c r="AC25" s="12">
        <v>8.8699999999999992</v>
      </c>
      <c r="AD25" s="2">
        <f t="shared" si="0"/>
        <v>0.39000000000000057</v>
      </c>
      <c r="AE25" s="148">
        <f t="shared" si="1"/>
        <v>0</v>
      </c>
    </row>
    <row r="26" spans="1:40" x14ac:dyDescent="0.25">
      <c r="A26" s="299"/>
      <c r="B26" s="304">
        <v>42166</v>
      </c>
      <c r="C26" s="299">
        <v>48</v>
      </c>
      <c r="D26" s="300">
        <v>12.3</v>
      </c>
      <c r="E26" s="300">
        <v>0</v>
      </c>
      <c r="F26" s="300">
        <f t="shared" si="3"/>
        <v>590.40000000000009</v>
      </c>
      <c r="G26" s="304">
        <v>42285</v>
      </c>
      <c r="H26" s="305">
        <v>300</v>
      </c>
      <c r="I26" s="300">
        <v>9.85</v>
      </c>
      <c r="J26" s="300">
        <v>0.05</v>
      </c>
      <c r="K26" s="300">
        <f t="shared" si="2"/>
        <v>2954.95</v>
      </c>
      <c r="L26" s="299"/>
      <c r="M26" s="300"/>
      <c r="N26" s="299"/>
      <c r="W26" s="104">
        <v>42425</v>
      </c>
      <c r="X26" s="12">
        <v>8.7899999999999991</v>
      </c>
      <c r="Y26" s="12">
        <v>8.92</v>
      </c>
      <c r="Z26" s="12">
        <v>8.5500000000000007</v>
      </c>
      <c r="AA26" s="12">
        <v>8.8699999999999992</v>
      </c>
      <c r="AB26" s="105">
        <v>27645400</v>
      </c>
      <c r="AC26" s="12">
        <v>8.8699999999999992</v>
      </c>
      <c r="AD26" s="2">
        <f t="shared" si="0"/>
        <v>0.36999999999999922</v>
      </c>
      <c r="AE26" s="148">
        <f t="shared" si="1"/>
        <v>1.2557077625570789E-2</v>
      </c>
    </row>
    <row r="27" spans="1:40" x14ac:dyDescent="0.25">
      <c r="A27" s="299"/>
      <c r="B27" s="304">
        <v>42180</v>
      </c>
      <c r="C27" s="299">
        <v>50</v>
      </c>
      <c r="D27" s="300">
        <v>11.7</v>
      </c>
      <c r="E27" s="300">
        <v>0</v>
      </c>
      <c r="F27" s="300">
        <f t="shared" si="3"/>
        <v>585</v>
      </c>
      <c r="G27" s="304">
        <v>42285</v>
      </c>
      <c r="H27" s="305">
        <v>100</v>
      </c>
      <c r="I27" s="300">
        <v>9.98</v>
      </c>
      <c r="J27" s="300">
        <v>0.02</v>
      </c>
      <c r="K27" s="300">
        <f t="shared" si="2"/>
        <v>997.98</v>
      </c>
      <c r="L27" s="299"/>
      <c r="M27" s="300"/>
      <c r="N27" s="299"/>
      <c r="W27" s="104">
        <v>42424</v>
      </c>
      <c r="X27" s="12">
        <v>8.26</v>
      </c>
      <c r="Y27" s="12">
        <v>8.7899999999999991</v>
      </c>
      <c r="Z27" s="12">
        <v>8.25</v>
      </c>
      <c r="AA27" s="12">
        <v>8.76</v>
      </c>
      <c r="AB27" s="105">
        <v>30995200</v>
      </c>
      <c r="AC27" s="12">
        <v>8.76</v>
      </c>
      <c r="AD27" s="2">
        <f t="shared" si="0"/>
        <v>0.53999999999999915</v>
      </c>
      <c r="AE27" s="148">
        <f t="shared" si="1"/>
        <v>2.6963657678780839E-2</v>
      </c>
    </row>
    <row r="28" spans="1:40" x14ac:dyDescent="0.25">
      <c r="A28" s="299"/>
      <c r="B28" s="304">
        <v>42198</v>
      </c>
      <c r="C28" s="299">
        <v>50</v>
      </c>
      <c r="D28" s="300">
        <v>10.5</v>
      </c>
      <c r="E28" s="300">
        <v>0</v>
      </c>
      <c r="F28" s="300">
        <f t="shared" si="3"/>
        <v>525</v>
      </c>
      <c r="G28" s="304">
        <v>42304</v>
      </c>
      <c r="H28" s="305">
        <v>1400</v>
      </c>
      <c r="I28" s="300">
        <v>9.4600000000000009</v>
      </c>
      <c r="J28" s="300">
        <v>0.24</v>
      </c>
      <c r="K28" s="300">
        <f t="shared" si="2"/>
        <v>13243.760000000002</v>
      </c>
      <c r="L28" s="299"/>
      <c r="M28" s="300"/>
      <c r="N28" s="299"/>
      <c r="W28" s="104">
        <v>42423</v>
      </c>
      <c r="X28" s="12">
        <v>8.75</v>
      </c>
      <c r="Y28" s="12">
        <v>8.77</v>
      </c>
      <c r="Z28" s="12">
        <v>8.51</v>
      </c>
      <c r="AA28" s="12">
        <v>8.5299999999999994</v>
      </c>
      <c r="AB28" s="105">
        <v>26334700</v>
      </c>
      <c r="AC28" s="12">
        <v>8.5299999999999994</v>
      </c>
      <c r="AD28" s="2">
        <f t="shared" si="0"/>
        <v>0.25999999999999979</v>
      </c>
      <c r="AE28" s="148">
        <f t="shared" si="1"/>
        <v>-4.2648709315376121E-2</v>
      </c>
    </row>
    <row r="29" spans="1:40" x14ac:dyDescent="0.25">
      <c r="A29" s="299"/>
      <c r="B29" s="304">
        <v>42205</v>
      </c>
      <c r="C29" s="299">
        <v>20</v>
      </c>
      <c r="D29" s="300">
        <v>10.56</v>
      </c>
      <c r="E29" s="300">
        <v>0</v>
      </c>
      <c r="F29" s="300">
        <f t="shared" si="3"/>
        <v>211.20000000000002</v>
      </c>
      <c r="G29" s="304">
        <v>42310</v>
      </c>
      <c r="H29" s="305">
        <v>3400</v>
      </c>
      <c r="I29" s="300">
        <v>9.1199999999999992</v>
      </c>
      <c r="J29" s="300">
        <v>7.52</v>
      </c>
      <c r="K29" s="300">
        <f t="shared" si="2"/>
        <v>31000.479999999996</v>
      </c>
      <c r="L29" s="299"/>
      <c r="M29" s="300"/>
      <c r="N29" s="299"/>
      <c r="W29" s="104">
        <v>42422</v>
      </c>
      <c r="X29" s="12">
        <v>8.0399999999999991</v>
      </c>
      <c r="Y29" s="12">
        <v>8.93</v>
      </c>
      <c r="Z29" s="12">
        <v>8.0399999999999991</v>
      </c>
      <c r="AA29" s="12">
        <v>8.91</v>
      </c>
      <c r="AB29" s="105">
        <v>54926400</v>
      </c>
      <c r="AC29" s="12">
        <v>8.91</v>
      </c>
      <c r="AD29" s="2">
        <f t="shared" si="0"/>
        <v>0.89000000000000057</v>
      </c>
      <c r="AE29" s="148">
        <f t="shared" si="1"/>
        <v>0.13214739517153751</v>
      </c>
    </row>
    <row r="30" spans="1:40" x14ac:dyDescent="0.25">
      <c r="A30" s="299"/>
      <c r="B30" s="304">
        <v>42208</v>
      </c>
      <c r="C30" s="299">
        <v>32</v>
      </c>
      <c r="D30" s="300">
        <v>10.220000000000001</v>
      </c>
      <c r="E30" s="300">
        <v>0</v>
      </c>
      <c r="F30" s="300">
        <f t="shared" si="3"/>
        <v>327.04000000000002</v>
      </c>
      <c r="G30" s="304">
        <v>42314</v>
      </c>
      <c r="H30" s="305">
        <v>1400</v>
      </c>
      <c r="I30" s="300">
        <v>9.42</v>
      </c>
      <c r="J30" s="300">
        <v>0.24</v>
      </c>
      <c r="K30" s="300">
        <f t="shared" si="2"/>
        <v>13187.76</v>
      </c>
      <c r="L30" s="299"/>
      <c r="M30" s="300"/>
      <c r="N30" s="299"/>
      <c r="W30" s="104">
        <v>42419</v>
      </c>
      <c r="X30" s="12">
        <v>8.0299999999999994</v>
      </c>
      <c r="Y30" s="12">
        <v>8.09</v>
      </c>
      <c r="Z30" s="12">
        <v>7.84</v>
      </c>
      <c r="AA30" s="12">
        <v>7.87</v>
      </c>
      <c r="AB30" s="105">
        <v>30882200</v>
      </c>
      <c r="AC30" s="12">
        <v>7.87</v>
      </c>
      <c r="AD30" s="2">
        <f t="shared" si="0"/>
        <v>0.25</v>
      </c>
      <c r="AE30" s="148">
        <f t="shared" si="1"/>
        <v>-3.0788177339901357E-2</v>
      </c>
    </row>
    <row r="31" spans="1:40" x14ac:dyDescent="0.25">
      <c r="A31" s="299"/>
      <c r="B31" s="304">
        <v>42230</v>
      </c>
      <c r="C31" s="299">
        <v>100</v>
      </c>
      <c r="D31" s="300">
        <v>9.58</v>
      </c>
      <c r="E31" s="300">
        <v>0</v>
      </c>
      <c r="F31" s="300">
        <f t="shared" si="3"/>
        <v>958</v>
      </c>
      <c r="G31" s="304">
        <v>42331</v>
      </c>
      <c r="H31" s="305">
        <v>1400</v>
      </c>
      <c r="I31" s="300">
        <v>8.41</v>
      </c>
      <c r="J31" s="300">
        <v>0.22</v>
      </c>
      <c r="K31" s="300">
        <f t="shared" si="2"/>
        <v>11773.78</v>
      </c>
      <c r="L31" s="300"/>
      <c r="M31" s="300"/>
      <c r="N31" s="299"/>
      <c r="W31" s="104">
        <v>42418</v>
      </c>
      <c r="X31" s="12">
        <v>8.5399999999999991</v>
      </c>
      <c r="Y31" s="12">
        <v>8.56</v>
      </c>
      <c r="Z31" s="12">
        <v>8.08</v>
      </c>
      <c r="AA31" s="12">
        <v>8.1199999999999992</v>
      </c>
      <c r="AB31" s="105">
        <v>29248700</v>
      </c>
      <c r="AC31" s="12">
        <v>8.1199999999999992</v>
      </c>
      <c r="AD31" s="2">
        <f t="shared" si="0"/>
        <v>0.48000000000000043</v>
      </c>
      <c r="AE31" s="148">
        <f t="shared" si="1"/>
        <v>-4.6948356807511749E-2</v>
      </c>
    </row>
    <row r="32" spans="1:40" x14ac:dyDescent="0.25">
      <c r="A32" s="299"/>
      <c r="B32" s="304">
        <v>42233</v>
      </c>
      <c r="C32" s="299">
        <v>150</v>
      </c>
      <c r="D32" s="300">
        <v>9.3000000000000007</v>
      </c>
      <c r="E32" s="300">
        <v>0</v>
      </c>
      <c r="F32" s="300">
        <f t="shared" si="3"/>
        <v>1395</v>
      </c>
      <c r="G32" s="304">
        <v>42331</v>
      </c>
      <c r="H32" s="305">
        <v>65</v>
      </c>
      <c r="I32" s="300">
        <v>8.41</v>
      </c>
      <c r="J32" s="300">
        <v>0.01</v>
      </c>
      <c r="K32" s="300">
        <f t="shared" si="2"/>
        <v>546.64</v>
      </c>
      <c r="L32" s="299"/>
      <c r="M32" s="299"/>
      <c r="N32" s="299"/>
      <c r="W32" s="104">
        <v>42417</v>
      </c>
      <c r="X32" s="12">
        <v>8.23</v>
      </c>
      <c r="Y32" s="12">
        <v>8.6</v>
      </c>
      <c r="Z32" s="12">
        <v>8.1999999999999993</v>
      </c>
      <c r="AA32" s="12">
        <v>8.52</v>
      </c>
      <c r="AB32" s="105">
        <v>29017100</v>
      </c>
      <c r="AC32" s="12">
        <v>8.52</v>
      </c>
      <c r="AD32" s="2">
        <f t="shared" si="0"/>
        <v>0.40000000000000036</v>
      </c>
      <c r="AE32" s="148">
        <f t="shared" si="1"/>
        <v>4.9261083743842304E-2</v>
      </c>
    </row>
    <row r="33" spans="1:31" x14ac:dyDescent="0.25">
      <c r="A33" s="299"/>
      <c r="B33" s="304">
        <v>42240</v>
      </c>
      <c r="C33" s="299">
        <v>200</v>
      </c>
      <c r="D33" s="300">
        <v>9.2100000000000009</v>
      </c>
      <c r="E33" s="300">
        <v>0</v>
      </c>
      <c r="F33" s="300">
        <f t="shared" si="3"/>
        <v>1842.0000000000002</v>
      </c>
      <c r="G33" s="304">
        <v>42332</v>
      </c>
      <c r="H33" s="305">
        <v>2235</v>
      </c>
      <c r="I33" s="300">
        <v>8.5</v>
      </c>
      <c r="J33" s="300">
        <v>0.35</v>
      </c>
      <c r="K33" s="300">
        <f t="shared" si="2"/>
        <v>18997.150000000001</v>
      </c>
      <c r="L33" s="299"/>
      <c r="M33" s="299"/>
      <c r="N33" s="299"/>
      <c r="W33" s="104">
        <v>42416</v>
      </c>
      <c r="X33" s="12">
        <v>7.8</v>
      </c>
      <c r="Y33" s="12">
        <v>8.1300000000000008</v>
      </c>
      <c r="Z33" s="12">
        <v>7.68</v>
      </c>
      <c r="AA33" s="12">
        <v>8.1199999999999992</v>
      </c>
      <c r="AB33" s="105">
        <v>21811000</v>
      </c>
      <c r="AC33" s="12">
        <v>8.1199999999999992</v>
      </c>
      <c r="AD33" s="2">
        <f t="shared" si="0"/>
        <v>0.45000000000000107</v>
      </c>
      <c r="AE33" s="148">
        <f t="shared" si="1"/>
        <v>5.591677503250958E-2</v>
      </c>
    </row>
    <row r="34" spans="1:31" x14ac:dyDescent="0.25">
      <c r="A34" s="299"/>
      <c r="B34" s="304">
        <v>42272</v>
      </c>
      <c r="C34" s="299">
        <v>100</v>
      </c>
      <c r="D34" s="300">
        <v>9.4499999999999993</v>
      </c>
      <c r="E34" s="300">
        <v>0</v>
      </c>
      <c r="F34" s="300">
        <f t="shared" si="3"/>
        <v>944.99999999999989</v>
      </c>
      <c r="G34" s="304">
        <v>42332</v>
      </c>
      <c r="H34" s="305">
        <v>600</v>
      </c>
      <c r="I34" s="300">
        <v>8.75</v>
      </c>
      <c r="J34" s="300">
        <v>0.1</v>
      </c>
      <c r="K34" s="300">
        <f t="shared" si="2"/>
        <v>5249.9</v>
      </c>
      <c r="L34" s="299"/>
      <c r="M34" s="299"/>
      <c r="N34" s="299"/>
      <c r="W34" s="104">
        <v>42412</v>
      </c>
      <c r="X34" s="12">
        <v>7.53</v>
      </c>
      <c r="Y34" s="12">
        <v>7.78</v>
      </c>
      <c r="Z34" s="12">
        <v>7.36</v>
      </c>
      <c r="AA34" s="12">
        <v>7.69</v>
      </c>
      <c r="AB34" s="105">
        <v>25980400</v>
      </c>
      <c r="AC34" s="12">
        <v>7.69</v>
      </c>
      <c r="AD34" s="2">
        <f t="shared" si="0"/>
        <v>0.41999999999999993</v>
      </c>
      <c r="AE34" s="148">
        <f t="shared" si="1"/>
        <v>4.9113233287858105E-2</v>
      </c>
    </row>
    <row r="35" spans="1:31" x14ac:dyDescent="0.25">
      <c r="A35" s="299"/>
      <c r="B35" s="304">
        <v>42275</v>
      </c>
      <c r="C35" s="299">
        <v>100</v>
      </c>
      <c r="D35" s="300">
        <v>9.3000000000000007</v>
      </c>
      <c r="E35" s="300">
        <v>0</v>
      </c>
      <c r="F35" s="300">
        <f t="shared" si="3"/>
        <v>930.00000000000011</v>
      </c>
      <c r="G35" s="304">
        <v>42335</v>
      </c>
      <c r="H35" s="305">
        <v>500</v>
      </c>
      <c r="I35" s="300">
        <v>9.1</v>
      </c>
      <c r="J35" s="300">
        <v>0.08</v>
      </c>
      <c r="K35" s="300">
        <f t="shared" si="2"/>
        <v>4549.92</v>
      </c>
      <c r="L35" s="299"/>
      <c r="M35" s="299"/>
      <c r="N35" s="299"/>
      <c r="W35" s="104">
        <v>42411</v>
      </c>
      <c r="X35" s="12">
        <v>7.36</v>
      </c>
      <c r="Y35" s="12">
        <v>7.55</v>
      </c>
      <c r="Z35" s="12">
        <v>7.11</v>
      </c>
      <c r="AA35" s="12">
        <v>7.33</v>
      </c>
      <c r="AB35" s="105">
        <v>31846300</v>
      </c>
      <c r="AC35" s="12">
        <v>7.33</v>
      </c>
      <c r="AD35" s="2">
        <f t="shared" si="0"/>
        <v>0.4399999999999995</v>
      </c>
      <c r="AE35" s="148">
        <f t="shared" si="1"/>
        <v>-2.7851458885941649E-2</v>
      </c>
    </row>
    <row r="36" spans="1:31" x14ac:dyDescent="0.25">
      <c r="A36" s="299"/>
      <c r="B36" s="304">
        <v>42290</v>
      </c>
      <c r="C36" s="299">
        <v>400</v>
      </c>
      <c r="D36" s="300">
        <v>10.79</v>
      </c>
      <c r="E36" s="300">
        <v>0</v>
      </c>
      <c r="F36" s="300">
        <f t="shared" si="3"/>
        <v>4316</v>
      </c>
      <c r="G36" s="304">
        <v>42339</v>
      </c>
      <c r="H36" s="305">
        <v>400</v>
      </c>
      <c r="I36" s="300">
        <v>9.35</v>
      </c>
      <c r="J36" s="300">
        <v>7.0000000000000007E-2</v>
      </c>
      <c r="K36" s="300">
        <f t="shared" si="2"/>
        <v>3739.93</v>
      </c>
      <c r="L36" s="299"/>
      <c r="M36" s="299"/>
      <c r="N36" s="299"/>
      <c r="W36" s="104">
        <v>42410</v>
      </c>
      <c r="X36" s="12">
        <v>7.9</v>
      </c>
      <c r="Y36" s="12">
        <v>7.91</v>
      </c>
      <c r="Z36" s="12">
        <v>7.45</v>
      </c>
      <c r="AA36" s="12">
        <v>7.54</v>
      </c>
      <c r="AB36" s="105">
        <v>27036000</v>
      </c>
      <c r="AC36" s="12">
        <v>7.54</v>
      </c>
      <c r="AD36" s="2">
        <f t="shared" si="0"/>
        <v>0.45999999999999996</v>
      </c>
      <c r="AE36" s="148">
        <f t="shared" si="1"/>
        <v>-3.4571062740076819E-2</v>
      </c>
    </row>
    <row r="37" spans="1:31" x14ac:dyDescent="0.25">
      <c r="A37" s="299"/>
      <c r="B37" s="304">
        <v>42291</v>
      </c>
      <c r="C37" s="299">
        <v>150</v>
      </c>
      <c r="D37" s="300">
        <v>10.46</v>
      </c>
      <c r="E37" s="300">
        <v>0</v>
      </c>
      <c r="F37" s="300">
        <f t="shared" si="3"/>
        <v>1569.0000000000002</v>
      </c>
      <c r="G37" s="304">
        <v>42342</v>
      </c>
      <c r="H37" s="305">
        <v>500</v>
      </c>
      <c r="I37" s="300">
        <v>9.52</v>
      </c>
      <c r="J37" s="300">
        <v>0.09</v>
      </c>
      <c r="K37" s="300">
        <f t="shared" si="2"/>
        <v>4759.91</v>
      </c>
      <c r="L37" s="299"/>
      <c r="M37" s="299"/>
      <c r="N37" s="299"/>
      <c r="W37" s="104">
        <v>42409</v>
      </c>
      <c r="X37" s="12">
        <v>7.72</v>
      </c>
      <c r="Y37" s="12">
        <v>7.95</v>
      </c>
      <c r="Z37" s="12">
        <v>7.58</v>
      </c>
      <c r="AA37" s="12">
        <v>7.81</v>
      </c>
      <c r="AB37" s="105">
        <v>26451500</v>
      </c>
      <c r="AC37" s="12">
        <v>7.81</v>
      </c>
      <c r="AD37" s="2">
        <f t="shared" si="0"/>
        <v>0.37000000000000011</v>
      </c>
      <c r="AE37" s="148">
        <f t="shared" si="1"/>
        <v>-1.13924050632912E-2</v>
      </c>
    </row>
    <row r="38" spans="1:31" x14ac:dyDescent="0.25">
      <c r="A38" s="299"/>
      <c r="B38" s="304">
        <v>42292</v>
      </c>
      <c r="C38" s="299">
        <v>150</v>
      </c>
      <c r="D38" s="300">
        <v>10.3</v>
      </c>
      <c r="E38" s="300">
        <v>0</v>
      </c>
      <c r="F38" s="300">
        <f t="shared" si="3"/>
        <v>1545</v>
      </c>
      <c r="G38" s="304">
        <v>42347</v>
      </c>
      <c r="H38" s="305">
        <v>1500</v>
      </c>
      <c r="I38" s="300">
        <v>9.31</v>
      </c>
      <c r="J38" s="300">
        <v>0.26</v>
      </c>
      <c r="K38" s="300">
        <f t="shared" si="2"/>
        <v>13964.74</v>
      </c>
      <c r="L38" s="299"/>
      <c r="M38" s="299"/>
      <c r="N38" s="299"/>
      <c r="W38" s="104">
        <v>42408</v>
      </c>
      <c r="X38" s="12">
        <v>7.73</v>
      </c>
      <c r="Y38" s="12">
        <v>8.42</v>
      </c>
      <c r="Z38" s="12">
        <v>7.71</v>
      </c>
      <c r="AA38" s="12">
        <v>7.9</v>
      </c>
      <c r="AB38" s="105">
        <v>39502400</v>
      </c>
      <c r="AC38" s="12">
        <v>7.9</v>
      </c>
      <c r="AD38" s="2">
        <f t="shared" si="0"/>
        <v>0.71</v>
      </c>
      <c r="AE38" s="148">
        <f t="shared" si="1"/>
        <v>-2.7093596059113212E-2</v>
      </c>
    </row>
    <row r="39" spans="1:31" ht="20.25" thickBot="1" x14ac:dyDescent="0.35">
      <c r="A39" s="299"/>
      <c r="B39" s="304">
        <v>42297</v>
      </c>
      <c r="C39" s="305">
        <v>200</v>
      </c>
      <c r="D39" s="300">
        <v>9.8000000000000007</v>
      </c>
      <c r="E39" s="300">
        <v>0</v>
      </c>
      <c r="F39" s="300">
        <f t="shared" si="3"/>
        <v>1960.0000000000002</v>
      </c>
      <c r="G39" s="304">
        <v>42353</v>
      </c>
      <c r="H39" s="305">
        <v>200</v>
      </c>
      <c r="I39" s="300">
        <v>9.2899999999999991</v>
      </c>
      <c r="J39" s="300">
        <v>0.03</v>
      </c>
      <c r="K39" s="300">
        <f t="shared" si="2"/>
        <v>1857.9699999999998</v>
      </c>
      <c r="L39" s="299"/>
      <c r="M39" s="299"/>
      <c r="N39" s="299"/>
      <c r="O39" s="13"/>
      <c r="P39" s="420" t="s">
        <v>78</v>
      </c>
      <c r="Q39" s="420"/>
      <c r="R39" s="37"/>
      <c r="T39" s="101" t="s">
        <v>116</v>
      </c>
      <c r="W39" s="104">
        <v>42405</v>
      </c>
      <c r="X39" s="12">
        <v>8.14</v>
      </c>
      <c r="Y39" s="12">
        <v>8.5</v>
      </c>
      <c r="Z39" s="12">
        <v>7.88</v>
      </c>
      <c r="AA39" s="12">
        <v>8.1199999999999992</v>
      </c>
      <c r="AB39" s="105">
        <v>42783400</v>
      </c>
      <c r="AC39" s="12">
        <v>8.1199999999999992</v>
      </c>
      <c r="AD39" s="2">
        <f t="shared" si="0"/>
        <v>0.62000000000000011</v>
      </c>
      <c r="AE39" s="148">
        <f t="shared" si="1"/>
        <v>-2.2864019253911128E-2</v>
      </c>
    </row>
    <row r="40" spans="1:31" ht="15.75" thickTop="1" x14ac:dyDescent="0.25">
      <c r="A40" s="299"/>
      <c r="B40" s="304">
        <v>42297</v>
      </c>
      <c r="C40" s="305">
        <v>900</v>
      </c>
      <c r="D40" s="300">
        <v>9.74</v>
      </c>
      <c r="E40" s="300">
        <v>0</v>
      </c>
      <c r="F40" s="300">
        <f t="shared" si="3"/>
        <v>8766</v>
      </c>
      <c r="G40" s="304">
        <v>42354</v>
      </c>
      <c r="H40" s="305">
        <v>500</v>
      </c>
      <c r="I40" s="300">
        <v>8.93</v>
      </c>
      <c r="J40" s="300">
        <v>0.08</v>
      </c>
      <c r="K40" s="300">
        <f t="shared" si="2"/>
        <v>4464.92</v>
      </c>
      <c r="L40" s="299"/>
      <c r="M40" s="299"/>
      <c r="N40" s="299"/>
      <c r="O40" s="2"/>
      <c r="P40" s="93">
        <v>1.1000000000000001</v>
      </c>
      <c r="Q40" s="93">
        <f>P40*$Q$4</f>
        <v>10.593000000000002</v>
      </c>
      <c r="R40" s="37"/>
      <c r="T40" s="97" t="s">
        <v>101</v>
      </c>
      <c r="U40" s="98">
        <v>9.58</v>
      </c>
      <c r="W40" s="104">
        <v>42404</v>
      </c>
      <c r="X40" s="12">
        <v>7.64</v>
      </c>
      <c r="Y40" s="12">
        <v>8.4499999999999993</v>
      </c>
      <c r="Z40" s="12">
        <v>7.63</v>
      </c>
      <c r="AA40" s="12">
        <v>8.31</v>
      </c>
      <c r="AB40" s="105">
        <v>53494500</v>
      </c>
      <c r="AC40" s="12">
        <v>8.31</v>
      </c>
      <c r="AD40" s="2">
        <f t="shared" si="0"/>
        <v>0.8199999999999994</v>
      </c>
      <c r="AE40" s="148">
        <f t="shared" si="1"/>
        <v>0.10066225165562925</v>
      </c>
    </row>
    <row r="41" spans="1:31" x14ac:dyDescent="0.25">
      <c r="A41" s="299"/>
      <c r="B41" s="304">
        <v>42299</v>
      </c>
      <c r="C41" s="299">
        <v>1000</v>
      </c>
      <c r="D41" s="300">
        <v>9.3800000000000008</v>
      </c>
      <c r="E41" s="300">
        <v>0</v>
      </c>
      <c r="F41" s="300">
        <f t="shared" si="3"/>
        <v>9380</v>
      </c>
      <c r="G41" s="304">
        <v>42366</v>
      </c>
      <c r="H41" s="305">
        <v>2000</v>
      </c>
      <c r="I41" s="300">
        <v>9.4499999999999993</v>
      </c>
      <c r="J41" s="300">
        <v>0.35</v>
      </c>
      <c r="K41" s="300">
        <f t="shared" si="2"/>
        <v>18899.650000000001</v>
      </c>
      <c r="L41" s="299"/>
      <c r="M41" s="299"/>
      <c r="N41" s="299"/>
      <c r="O41" s="2"/>
      <c r="P41" s="93">
        <v>1.0900000000000001</v>
      </c>
      <c r="Q41" s="93">
        <f t="shared" ref="Q41:Q60" si="4">P41*$Q$4</f>
        <v>10.496700000000002</v>
      </c>
      <c r="R41" s="37"/>
      <c r="T41" s="97" t="s">
        <v>102</v>
      </c>
      <c r="U41" s="98" t="s">
        <v>134</v>
      </c>
      <c r="W41" s="104">
        <v>42403</v>
      </c>
      <c r="X41" s="12">
        <v>7.06</v>
      </c>
      <c r="Y41" s="12">
        <v>7.57</v>
      </c>
      <c r="Z41" s="12">
        <v>6.85</v>
      </c>
      <c r="AA41" s="12">
        <v>7.55</v>
      </c>
      <c r="AB41" s="105">
        <v>33790000</v>
      </c>
      <c r="AC41" s="12">
        <v>7.55</v>
      </c>
      <c r="AD41" s="2">
        <f t="shared" si="0"/>
        <v>0.72000000000000064</v>
      </c>
      <c r="AE41" s="148" t="e">
        <f t="shared" si="1"/>
        <v>#DIV/0!</v>
      </c>
    </row>
    <row r="42" spans="1:31" x14ac:dyDescent="0.25">
      <c r="A42" s="299"/>
      <c r="B42" s="304">
        <v>42303</v>
      </c>
      <c r="C42" s="299">
        <v>400</v>
      </c>
      <c r="D42" s="300">
        <v>9.1999999999999993</v>
      </c>
      <c r="E42" s="300">
        <v>0</v>
      </c>
      <c r="F42" s="300">
        <f t="shared" si="3"/>
        <v>3679.9999999999995</v>
      </c>
      <c r="G42" s="304">
        <v>42367</v>
      </c>
      <c r="H42" s="305">
        <v>1000</v>
      </c>
      <c r="I42" s="300">
        <v>9.89</v>
      </c>
      <c r="J42" s="300">
        <v>0.18</v>
      </c>
      <c r="K42" s="300">
        <f t="shared" si="2"/>
        <v>9889.82</v>
      </c>
      <c r="L42" s="299"/>
      <c r="M42" s="299"/>
      <c r="N42" s="299"/>
      <c r="O42" s="2"/>
      <c r="P42" s="93">
        <v>1.08</v>
      </c>
      <c r="Q42" s="93">
        <f t="shared" si="4"/>
        <v>10.400400000000001</v>
      </c>
      <c r="R42" s="37"/>
      <c r="T42" s="97" t="s">
        <v>103</v>
      </c>
      <c r="U42" s="98" t="s">
        <v>325</v>
      </c>
      <c r="W42" s="104">
        <v>42403</v>
      </c>
      <c r="X42" s="12" t="s">
        <v>124</v>
      </c>
      <c r="Y42" s="12"/>
      <c r="Z42" s="12"/>
      <c r="AA42" s="12"/>
      <c r="AB42" s="105"/>
      <c r="AC42" s="12"/>
      <c r="AD42" s="2">
        <f t="shared" si="0"/>
        <v>0</v>
      </c>
      <c r="AE42" s="148">
        <f t="shared" si="1"/>
        <v>-1</v>
      </c>
    </row>
    <row r="43" spans="1:31" x14ac:dyDescent="0.25">
      <c r="A43" s="299"/>
      <c r="B43" s="319">
        <v>42304</v>
      </c>
      <c r="C43" s="299">
        <v>900</v>
      </c>
      <c r="D43" s="300">
        <v>9.32</v>
      </c>
      <c r="E43" s="300">
        <v>0</v>
      </c>
      <c r="F43" s="300">
        <f t="shared" si="3"/>
        <v>8388</v>
      </c>
      <c r="G43" s="304">
        <v>42398</v>
      </c>
      <c r="H43" s="305">
        <v>100</v>
      </c>
      <c r="I43" s="300">
        <v>7.21</v>
      </c>
      <c r="J43" s="300">
        <v>0.01</v>
      </c>
      <c r="K43" s="300">
        <f t="shared" si="2"/>
        <v>720.99</v>
      </c>
      <c r="L43" s="299"/>
      <c r="M43" s="299"/>
      <c r="N43" s="299"/>
      <c r="O43" s="2"/>
      <c r="P43" s="93">
        <v>1.07</v>
      </c>
      <c r="Q43" s="93">
        <f t="shared" si="4"/>
        <v>10.304100000000002</v>
      </c>
      <c r="R43" s="93"/>
      <c r="T43" s="97" t="s">
        <v>104</v>
      </c>
      <c r="U43" s="98" t="s">
        <v>326</v>
      </c>
      <c r="W43" s="104">
        <v>42402</v>
      </c>
      <c r="X43" s="12">
        <v>7.02</v>
      </c>
      <c r="Y43" s="12">
        <v>7.07</v>
      </c>
      <c r="Z43" s="12">
        <v>6.91</v>
      </c>
      <c r="AA43" s="12">
        <v>6.97</v>
      </c>
      <c r="AB43" s="105">
        <v>22162900</v>
      </c>
      <c r="AC43" s="12">
        <v>6.94</v>
      </c>
      <c r="AD43" s="2">
        <f t="shared" si="0"/>
        <v>0.16000000000000014</v>
      </c>
      <c r="AE43" s="148">
        <f t="shared" si="1"/>
        <v>-3.3426183844011081E-2</v>
      </c>
    </row>
    <row r="44" spans="1:31" x14ac:dyDescent="0.25">
      <c r="A44" s="299"/>
      <c r="B44" s="319"/>
      <c r="C44" s="299">
        <v>500</v>
      </c>
      <c r="D44" s="300">
        <v>9.32</v>
      </c>
      <c r="E44" s="300">
        <v>0</v>
      </c>
      <c r="F44" s="300">
        <f t="shared" si="3"/>
        <v>4660</v>
      </c>
      <c r="G44" s="304">
        <v>42403</v>
      </c>
      <c r="H44" s="305">
        <v>100</v>
      </c>
      <c r="I44" s="300">
        <v>7.42</v>
      </c>
      <c r="J44" s="300">
        <v>0.01</v>
      </c>
      <c r="K44" s="300">
        <f t="shared" si="2"/>
        <v>741.99</v>
      </c>
      <c r="L44" s="300"/>
      <c r="M44" s="299"/>
      <c r="N44" s="299"/>
      <c r="O44" s="2"/>
      <c r="P44" s="93">
        <v>1.06</v>
      </c>
      <c r="Q44" s="93">
        <f t="shared" si="4"/>
        <v>10.207800000000001</v>
      </c>
      <c r="R44" s="93"/>
      <c r="T44" s="97" t="s">
        <v>105</v>
      </c>
      <c r="U44" s="98">
        <v>10.55</v>
      </c>
      <c r="W44" s="104">
        <v>42401</v>
      </c>
      <c r="X44" s="12">
        <v>7.38</v>
      </c>
      <c r="Y44" s="12">
        <v>7.38</v>
      </c>
      <c r="Z44" s="12">
        <v>7.11</v>
      </c>
      <c r="AA44" s="12">
        <v>7.21</v>
      </c>
      <c r="AB44" s="105">
        <v>26539500</v>
      </c>
      <c r="AC44" s="12">
        <v>7.18</v>
      </c>
      <c r="AD44" s="2">
        <f t="shared" si="0"/>
        <v>0.26999999999999957</v>
      </c>
      <c r="AE44" s="148">
        <f t="shared" si="1"/>
        <v>-1.1019283746556474E-2</v>
      </c>
    </row>
    <row r="45" spans="1:31" x14ac:dyDescent="0.25">
      <c r="A45" s="299"/>
      <c r="B45" s="304">
        <v>42306</v>
      </c>
      <c r="C45" s="299">
        <v>300</v>
      </c>
      <c r="D45" s="300">
        <v>8.7200000000000006</v>
      </c>
      <c r="E45" s="300">
        <v>6.95</v>
      </c>
      <c r="F45" s="300">
        <f t="shared" si="3"/>
        <v>2622.95</v>
      </c>
      <c r="G45" s="304">
        <v>42404</v>
      </c>
      <c r="H45" s="305">
        <v>100</v>
      </c>
      <c r="I45" s="300">
        <v>8.02</v>
      </c>
      <c r="J45" s="300">
        <v>0.01</v>
      </c>
      <c r="K45" s="300">
        <f t="shared" si="2"/>
        <v>801.99</v>
      </c>
      <c r="L45" s="299"/>
      <c r="M45" s="299"/>
      <c r="N45" s="299"/>
      <c r="O45" s="2"/>
      <c r="P45" s="93">
        <v>1.05</v>
      </c>
      <c r="Q45" s="93">
        <f t="shared" si="4"/>
        <v>10.111500000000001</v>
      </c>
      <c r="R45" s="93"/>
      <c r="T45" s="97" t="s">
        <v>106</v>
      </c>
      <c r="U45" s="98">
        <v>0.62682499999999997</v>
      </c>
      <c r="W45" s="104">
        <v>42398</v>
      </c>
      <c r="X45" s="12">
        <v>6.98</v>
      </c>
      <c r="Y45" s="12">
        <v>7.29</v>
      </c>
      <c r="Z45" s="12">
        <v>6.98</v>
      </c>
      <c r="AA45" s="12">
        <v>7.29</v>
      </c>
      <c r="AB45" s="105">
        <v>35772400</v>
      </c>
      <c r="AC45" s="12">
        <v>7.26</v>
      </c>
      <c r="AD45" s="2">
        <f t="shared" si="0"/>
        <v>0.30999999999999961</v>
      </c>
      <c r="AE45" s="148">
        <f t="shared" si="1"/>
        <v>4.1606886657101771E-2</v>
      </c>
    </row>
    <row r="46" spans="1:31" x14ac:dyDescent="0.25">
      <c r="A46" s="299"/>
      <c r="B46" s="304">
        <v>42310</v>
      </c>
      <c r="C46" s="299">
        <v>3400</v>
      </c>
      <c r="D46" s="300">
        <v>9.0299999999999994</v>
      </c>
      <c r="E46" s="300">
        <v>6.95</v>
      </c>
      <c r="F46" s="300">
        <f t="shared" si="3"/>
        <v>30708.949999999997</v>
      </c>
      <c r="G46" s="304">
        <v>42416</v>
      </c>
      <c r="H46" s="305">
        <v>300</v>
      </c>
      <c r="I46" s="300">
        <v>7.98</v>
      </c>
      <c r="J46" s="300">
        <v>0.05</v>
      </c>
      <c r="K46" s="300">
        <f t="shared" si="2"/>
        <v>2393.9499999999998</v>
      </c>
      <c r="L46" s="299"/>
      <c r="M46" s="299"/>
      <c r="N46" s="299"/>
      <c r="O46" s="2"/>
      <c r="P46" s="93">
        <v>1.04</v>
      </c>
      <c r="Q46" s="93">
        <f t="shared" si="4"/>
        <v>10.015200000000002</v>
      </c>
      <c r="R46" s="93"/>
      <c r="T46" s="97" t="s">
        <v>107</v>
      </c>
      <c r="U46" s="99" t="s">
        <v>272</v>
      </c>
      <c r="W46" s="104">
        <v>42397</v>
      </c>
      <c r="X46" s="12">
        <v>7.17</v>
      </c>
      <c r="Y46" s="12">
        <v>7.19</v>
      </c>
      <c r="Z46" s="12">
        <v>6.82</v>
      </c>
      <c r="AA46" s="12">
        <v>7</v>
      </c>
      <c r="AB46" s="105">
        <v>26887400</v>
      </c>
      <c r="AC46" s="12">
        <v>6.97</v>
      </c>
      <c r="AD46" s="2">
        <f t="shared" si="0"/>
        <v>0.37000000000000011</v>
      </c>
      <c r="AE46" s="148">
        <f t="shared" si="1"/>
        <v>5.7720057720058726E-3</v>
      </c>
    </row>
    <row r="47" spans="1:31" x14ac:dyDescent="0.25">
      <c r="A47" s="299"/>
      <c r="B47" s="304">
        <v>42314</v>
      </c>
      <c r="C47" s="299">
        <v>1400</v>
      </c>
      <c r="D47" s="300">
        <v>9.35</v>
      </c>
      <c r="E47" s="300">
        <v>0</v>
      </c>
      <c r="F47" s="300">
        <f t="shared" si="3"/>
        <v>13090</v>
      </c>
      <c r="G47" s="304"/>
      <c r="H47" s="305"/>
      <c r="I47" s="300"/>
      <c r="J47" s="300"/>
      <c r="K47" s="300"/>
      <c r="L47" s="299"/>
      <c r="M47" s="299"/>
      <c r="N47" s="299"/>
      <c r="O47" s="2"/>
      <c r="P47" s="93">
        <v>1.03</v>
      </c>
      <c r="Q47" s="93">
        <f t="shared" si="4"/>
        <v>9.9189000000000007</v>
      </c>
      <c r="R47" s="93"/>
      <c r="T47" s="97"/>
      <c r="U47" s="98"/>
      <c r="W47" s="104">
        <v>42396</v>
      </c>
      <c r="X47" s="12">
        <v>7.06</v>
      </c>
      <c r="Y47" s="12">
        <v>7.28</v>
      </c>
      <c r="Z47" s="12">
        <v>6.92</v>
      </c>
      <c r="AA47" s="12">
        <v>6.96</v>
      </c>
      <c r="AB47" s="105">
        <v>34547400</v>
      </c>
      <c r="AC47" s="12">
        <v>6.93</v>
      </c>
      <c r="AD47" s="2">
        <f t="shared" si="0"/>
        <v>0.36000000000000032</v>
      </c>
      <c r="AE47" s="148">
        <f t="shared" si="1"/>
        <v>-2.5316455696202667E-2</v>
      </c>
    </row>
    <row r="48" spans="1:31" x14ac:dyDescent="0.25">
      <c r="A48" s="299"/>
      <c r="B48" s="304">
        <v>42324</v>
      </c>
      <c r="C48" s="313">
        <v>3700</v>
      </c>
      <c r="D48" s="300">
        <v>8.2899999999999991</v>
      </c>
      <c r="E48" s="300">
        <v>0</v>
      </c>
      <c r="F48" s="300">
        <f t="shared" si="3"/>
        <v>30672.999999999996</v>
      </c>
      <c r="G48" s="304"/>
      <c r="H48" s="305"/>
      <c r="I48" s="300"/>
      <c r="J48" s="300"/>
      <c r="K48" s="300"/>
      <c r="L48" s="299"/>
      <c r="M48" s="299"/>
      <c r="N48" s="299"/>
      <c r="O48" s="2"/>
      <c r="P48" s="93">
        <v>1.02</v>
      </c>
      <c r="Q48" s="93">
        <f t="shared" si="4"/>
        <v>9.8226000000000013</v>
      </c>
      <c r="R48" s="93"/>
      <c r="T48" s="97" t="s">
        <v>108</v>
      </c>
      <c r="U48" s="98" t="s">
        <v>302</v>
      </c>
      <c r="W48" s="104">
        <v>42395</v>
      </c>
      <c r="X48" s="12">
        <v>6.89</v>
      </c>
      <c r="Y48" s="12">
        <v>7.18</v>
      </c>
      <c r="Z48" s="12">
        <v>6.77</v>
      </c>
      <c r="AA48" s="12">
        <v>7.14</v>
      </c>
      <c r="AB48" s="105">
        <v>36559900</v>
      </c>
      <c r="AC48" s="12">
        <v>7.11</v>
      </c>
      <c r="AD48" s="2">
        <f t="shared" si="0"/>
        <v>0.41000000000000014</v>
      </c>
      <c r="AE48" s="148">
        <f t="shared" si="1"/>
        <v>5.0221565731167095E-2</v>
      </c>
    </row>
    <row r="49" spans="1:31" x14ac:dyDescent="0.25">
      <c r="A49" s="299"/>
      <c r="B49" s="304">
        <v>42324</v>
      </c>
      <c r="C49" s="313">
        <v>600</v>
      </c>
      <c r="D49" s="300">
        <v>8.14</v>
      </c>
      <c r="E49" s="300">
        <v>0</v>
      </c>
      <c r="F49" s="300">
        <f t="shared" si="3"/>
        <v>4884</v>
      </c>
      <c r="G49" s="304"/>
      <c r="H49" s="305"/>
      <c r="I49" s="300"/>
      <c r="J49" s="300"/>
      <c r="K49" s="300"/>
      <c r="L49" s="299"/>
      <c r="M49" s="299"/>
      <c r="N49" s="299"/>
      <c r="O49" s="2"/>
      <c r="P49" s="93">
        <v>1.01</v>
      </c>
      <c r="Q49" s="93">
        <f t="shared" si="4"/>
        <v>9.7263000000000002</v>
      </c>
      <c r="R49" s="93"/>
      <c r="T49" s="97" t="s">
        <v>109</v>
      </c>
      <c r="U49" s="98" t="s">
        <v>254</v>
      </c>
      <c r="W49" s="104">
        <v>42394</v>
      </c>
      <c r="X49" s="12">
        <v>6.81</v>
      </c>
      <c r="Y49" s="12">
        <v>7</v>
      </c>
      <c r="Z49" s="12">
        <v>6.76</v>
      </c>
      <c r="AA49" s="12">
        <v>6.8</v>
      </c>
      <c r="AB49" s="105">
        <v>34030400</v>
      </c>
      <c r="AC49" s="12">
        <v>6.77</v>
      </c>
      <c r="AD49" s="2">
        <f t="shared" si="0"/>
        <v>0.24000000000000021</v>
      </c>
      <c r="AE49" s="148">
        <f t="shared" si="1"/>
        <v>-1.023391812865504E-2</v>
      </c>
    </row>
    <row r="50" spans="1:31" x14ac:dyDescent="0.25">
      <c r="A50" s="299"/>
      <c r="B50" s="304">
        <v>42335</v>
      </c>
      <c r="C50" s="299">
        <v>500</v>
      </c>
      <c r="D50" s="300">
        <v>9.06</v>
      </c>
      <c r="E50" s="300">
        <v>0</v>
      </c>
      <c r="F50" s="300">
        <f t="shared" si="3"/>
        <v>4530</v>
      </c>
      <c r="G50" s="299"/>
      <c r="H50" s="305"/>
      <c r="I50" s="300"/>
      <c r="J50" s="300"/>
      <c r="K50" s="300"/>
      <c r="L50" s="299"/>
      <c r="M50" s="299"/>
      <c r="N50" s="299"/>
      <c r="O50" s="2"/>
      <c r="P50" s="93">
        <v>1</v>
      </c>
      <c r="Q50" s="93">
        <f t="shared" si="4"/>
        <v>9.6300000000000008</v>
      </c>
      <c r="R50" s="93"/>
      <c r="T50" s="97" t="s">
        <v>110</v>
      </c>
      <c r="U50" s="100">
        <v>65262</v>
      </c>
      <c r="W50" s="104">
        <v>42391</v>
      </c>
      <c r="X50" s="12">
        <v>7.29</v>
      </c>
      <c r="Y50" s="12">
        <v>7.42</v>
      </c>
      <c r="Z50" s="12">
        <v>6.83</v>
      </c>
      <c r="AA50" s="12">
        <v>6.87</v>
      </c>
      <c r="AB50" s="105">
        <v>34384300</v>
      </c>
      <c r="AC50" s="12">
        <v>6.84</v>
      </c>
      <c r="AD50" s="2">
        <f t="shared" si="0"/>
        <v>0.58999999999999986</v>
      </c>
      <c r="AE50" s="148">
        <f t="shared" si="1"/>
        <v>-3.1161473087818692E-2</v>
      </c>
    </row>
    <row r="51" spans="1:31" x14ac:dyDescent="0.25">
      <c r="A51" s="299"/>
      <c r="B51" s="304">
        <v>42345</v>
      </c>
      <c r="C51" s="299">
        <v>200</v>
      </c>
      <c r="D51" s="300">
        <v>9.35</v>
      </c>
      <c r="E51" s="300">
        <v>0</v>
      </c>
      <c r="F51" s="300">
        <f t="shared" si="3"/>
        <v>1870</v>
      </c>
      <c r="G51" s="299"/>
      <c r="H51" s="305"/>
      <c r="I51" s="300"/>
      <c r="J51" s="300"/>
      <c r="K51" s="300"/>
      <c r="L51" s="299"/>
      <c r="M51" s="299"/>
      <c r="N51" s="299"/>
      <c r="O51" s="2"/>
      <c r="P51" s="93">
        <v>0.99</v>
      </c>
      <c r="Q51" s="93">
        <f t="shared" si="4"/>
        <v>9.5337000000000014</v>
      </c>
      <c r="R51" s="93"/>
      <c r="T51" s="97" t="s">
        <v>113</v>
      </c>
      <c r="U51" s="100">
        <v>34481300</v>
      </c>
      <c r="W51" s="104">
        <v>42390</v>
      </c>
      <c r="X51" s="12">
        <v>6.74</v>
      </c>
      <c r="Y51" s="12">
        <v>7.26</v>
      </c>
      <c r="Z51" s="12">
        <v>6.71</v>
      </c>
      <c r="AA51" s="12">
        <v>7.09</v>
      </c>
      <c r="AB51" s="105">
        <v>47630200</v>
      </c>
      <c r="AC51" s="12">
        <v>7.06</v>
      </c>
      <c r="AD51" s="2">
        <f t="shared" si="0"/>
        <v>0.54999999999999982</v>
      </c>
      <c r="AE51" s="148">
        <f t="shared" si="1"/>
        <v>5.216095380029806E-2</v>
      </c>
    </row>
    <row r="52" spans="1:31" x14ac:dyDescent="0.25">
      <c r="A52" s="299"/>
      <c r="B52" s="304">
        <v>42347</v>
      </c>
      <c r="C52" s="299">
        <v>1500</v>
      </c>
      <c r="D52" s="300">
        <v>9.2759999999999998</v>
      </c>
      <c r="E52" s="300">
        <v>0</v>
      </c>
      <c r="F52" s="300">
        <f t="shared" si="3"/>
        <v>13914</v>
      </c>
      <c r="G52" s="299"/>
      <c r="H52" s="305"/>
      <c r="I52" s="300"/>
      <c r="J52" s="300"/>
      <c r="K52" s="300"/>
      <c r="L52" s="299"/>
      <c r="M52" s="299"/>
      <c r="N52" s="299"/>
      <c r="O52" s="2"/>
      <c r="P52" s="93">
        <v>0.98</v>
      </c>
      <c r="Q52" s="93">
        <f t="shared" si="4"/>
        <v>9.4374000000000002</v>
      </c>
      <c r="R52" s="93"/>
      <c r="T52" s="97" t="s">
        <v>111</v>
      </c>
      <c r="U52" s="98" t="s">
        <v>327</v>
      </c>
      <c r="W52" s="104">
        <v>42389</v>
      </c>
      <c r="X52" s="12">
        <v>6.51</v>
      </c>
      <c r="Y52" s="12">
        <v>6.81</v>
      </c>
      <c r="Z52" s="12">
        <v>6.14</v>
      </c>
      <c r="AA52" s="12">
        <v>6.74</v>
      </c>
      <c r="AB52" s="105">
        <v>67550000</v>
      </c>
      <c r="AC52" s="12">
        <v>6.71</v>
      </c>
      <c r="AD52" s="2">
        <f t="shared" si="0"/>
        <v>0.66999999999999993</v>
      </c>
      <c r="AE52" s="148">
        <f t="shared" si="1"/>
        <v>0</v>
      </c>
    </row>
    <row r="53" spans="1:31" x14ac:dyDescent="0.25">
      <c r="A53" s="299"/>
      <c r="B53" s="304">
        <v>42348</v>
      </c>
      <c r="C53" s="299">
        <v>100</v>
      </c>
      <c r="D53" s="300">
        <v>8.9499999999999993</v>
      </c>
      <c r="E53" s="300">
        <v>0</v>
      </c>
      <c r="F53" s="300">
        <f t="shared" si="3"/>
        <v>894.99999999999989</v>
      </c>
      <c r="G53" s="299"/>
      <c r="H53" s="305"/>
      <c r="I53" s="300"/>
      <c r="J53" s="300"/>
      <c r="K53" s="300"/>
      <c r="L53" s="299"/>
      <c r="M53" s="299"/>
      <c r="N53" s="299"/>
      <c r="O53" s="2"/>
      <c r="P53" s="93">
        <v>0.97</v>
      </c>
      <c r="Q53" s="93">
        <f t="shared" si="4"/>
        <v>9.3411000000000008</v>
      </c>
      <c r="R53" s="93"/>
      <c r="T53" s="97" t="s">
        <v>114</v>
      </c>
      <c r="U53" s="98" t="s">
        <v>134</v>
      </c>
      <c r="W53" s="104">
        <v>42388</v>
      </c>
      <c r="X53" s="12">
        <v>6.98</v>
      </c>
      <c r="Y53" s="12">
        <v>7.02</v>
      </c>
      <c r="Z53" s="12">
        <v>6.56</v>
      </c>
      <c r="AA53" s="12">
        <v>6.74</v>
      </c>
      <c r="AB53" s="105">
        <v>51940800</v>
      </c>
      <c r="AC53" s="12">
        <v>6.71</v>
      </c>
      <c r="AD53" s="2">
        <f t="shared" si="0"/>
        <v>0.45999999999999996</v>
      </c>
      <c r="AE53" s="148">
        <f t="shared" si="1"/>
        <v>-2.3289665211062571E-2</v>
      </c>
    </row>
    <row r="54" spans="1:31" x14ac:dyDescent="0.25">
      <c r="A54" s="299"/>
      <c r="B54" s="304">
        <v>42353</v>
      </c>
      <c r="C54" s="299">
        <v>100</v>
      </c>
      <c r="D54" s="300">
        <v>9.2200000000000006</v>
      </c>
      <c r="E54" s="300">
        <v>0</v>
      </c>
      <c r="F54" s="300">
        <f t="shared" si="3"/>
        <v>922.00000000000011</v>
      </c>
      <c r="G54" s="299"/>
      <c r="H54" s="305"/>
      <c r="I54" s="300"/>
      <c r="J54" s="300"/>
      <c r="K54" s="300"/>
      <c r="L54" s="299"/>
      <c r="M54" s="299"/>
      <c r="N54" s="299"/>
      <c r="O54" s="2"/>
      <c r="P54" s="93">
        <v>0.96</v>
      </c>
      <c r="Q54" s="93">
        <f t="shared" si="4"/>
        <v>9.2447999999999997</v>
      </c>
      <c r="R54" s="93"/>
      <c r="T54" s="97" t="s">
        <v>115</v>
      </c>
      <c r="U54" s="98">
        <v>-0.31</v>
      </c>
      <c r="W54" s="104">
        <v>42384</v>
      </c>
      <c r="X54" s="12">
        <v>6.94</v>
      </c>
      <c r="Y54" s="12">
        <v>7.02</v>
      </c>
      <c r="Z54" s="12">
        <v>6.77</v>
      </c>
      <c r="AA54" s="12">
        <v>6.9</v>
      </c>
      <c r="AB54" s="105">
        <v>52299000</v>
      </c>
      <c r="AC54" s="12">
        <v>6.87</v>
      </c>
      <c r="AD54" s="2">
        <f t="shared" si="0"/>
        <v>0.25</v>
      </c>
      <c r="AE54" s="148">
        <f t="shared" si="1"/>
        <v>-4.7156726768377233E-2</v>
      </c>
    </row>
    <row r="55" spans="1:31" x14ac:dyDescent="0.25">
      <c r="A55" s="299"/>
      <c r="B55" s="304">
        <v>42354</v>
      </c>
      <c r="C55" s="299">
        <v>500</v>
      </c>
      <c r="D55" s="300">
        <v>8.85</v>
      </c>
      <c r="E55" s="300">
        <v>0</v>
      </c>
      <c r="F55" s="300">
        <f t="shared" si="3"/>
        <v>4425</v>
      </c>
      <c r="G55" s="299"/>
      <c r="H55" s="305"/>
      <c r="I55" s="300"/>
      <c r="J55" s="300"/>
      <c r="K55" s="300"/>
      <c r="L55" s="299"/>
      <c r="M55" s="299"/>
      <c r="N55" s="299"/>
      <c r="O55" s="2"/>
      <c r="P55" s="93">
        <v>0.95</v>
      </c>
      <c r="Q55" s="93">
        <f t="shared" si="4"/>
        <v>9.1485000000000003</v>
      </c>
      <c r="R55" s="93"/>
      <c r="T55" s="97" t="s">
        <v>112</v>
      </c>
      <c r="U55" s="98" t="s">
        <v>328</v>
      </c>
      <c r="W55" s="104">
        <v>42383</v>
      </c>
      <c r="X55" s="12">
        <v>7.09</v>
      </c>
      <c r="Y55" s="12">
        <v>7.37</v>
      </c>
      <c r="Z55" s="12">
        <v>6.85</v>
      </c>
      <c r="AA55" s="12">
        <v>7.24</v>
      </c>
      <c r="AB55" s="105">
        <v>44292600</v>
      </c>
      <c r="AC55" s="12">
        <v>7.21</v>
      </c>
      <c r="AD55" s="2">
        <f t="shared" si="0"/>
        <v>0.52000000000000046</v>
      </c>
      <c r="AE55" s="148">
        <f t="shared" si="1"/>
        <v>1.5492957746478853E-2</v>
      </c>
    </row>
    <row r="56" spans="1:31" x14ac:dyDescent="0.25">
      <c r="A56" s="299"/>
      <c r="B56" s="304">
        <v>42377</v>
      </c>
      <c r="C56" s="299">
        <v>400</v>
      </c>
      <c r="D56" s="300">
        <v>8.0399999999999991</v>
      </c>
      <c r="E56" s="300">
        <v>0</v>
      </c>
      <c r="F56" s="300">
        <f t="shared" si="3"/>
        <v>3215.9999999999995</v>
      </c>
      <c r="G56" s="299"/>
      <c r="H56" s="299"/>
      <c r="I56" s="300"/>
      <c r="J56" s="300"/>
      <c r="K56" s="300"/>
      <c r="L56" s="299"/>
      <c r="M56" s="299"/>
      <c r="N56" s="299"/>
      <c r="O56" s="2"/>
      <c r="P56" s="93">
        <v>0.94</v>
      </c>
      <c r="Q56" s="93">
        <f t="shared" si="4"/>
        <v>9.0522000000000009</v>
      </c>
      <c r="R56" s="93"/>
      <c r="W56" s="104">
        <v>42382</v>
      </c>
      <c r="X56" s="12">
        <v>7.32</v>
      </c>
      <c r="Y56" s="12">
        <v>7.44</v>
      </c>
      <c r="Z56" s="12">
        <v>7.08</v>
      </c>
      <c r="AA56" s="12">
        <v>7.13</v>
      </c>
      <c r="AB56" s="105">
        <v>45704300</v>
      </c>
      <c r="AC56" s="12">
        <v>7.1</v>
      </c>
      <c r="AD56" s="2">
        <f t="shared" si="0"/>
        <v>0.36000000000000032</v>
      </c>
      <c r="AE56" s="148">
        <f t="shared" si="1"/>
        <v>-2.0689655172413834E-2</v>
      </c>
    </row>
    <row r="57" spans="1:31" x14ac:dyDescent="0.25">
      <c r="A57" s="299"/>
      <c r="B57" s="304">
        <v>42389</v>
      </c>
      <c r="C57" s="299">
        <v>100</v>
      </c>
      <c r="D57" s="300">
        <v>6.45</v>
      </c>
      <c r="E57" s="300">
        <v>0</v>
      </c>
      <c r="F57" s="300">
        <f t="shared" si="3"/>
        <v>645</v>
      </c>
      <c r="G57" s="299"/>
      <c r="H57" s="299"/>
      <c r="I57" s="300"/>
      <c r="J57" s="300"/>
      <c r="K57" s="300"/>
      <c r="L57" s="299"/>
      <c r="M57" s="299"/>
      <c r="N57" s="299"/>
      <c r="O57" s="2"/>
      <c r="P57" s="93">
        <v>0.93</v>
      </c>
      <c r="Q57" s="93">
        <f t="shared" si="4"/>
        <v>8.9559000000000015</v>
      </c>
      <c r="R57" s="93"/>
      <c r="W57" s="104">
        <v>42381</v>
      </c>
      <c r="X57" s="12">
        <v>8.01</v>
      </c>
      <c r="Y57" s="12">
        <v>8.02</v>
      </c>
      <c r="Z57" s="12">
        <v>7.1</v>
      </c>
      <c r="AA57" s="12">
        <v>7.28</v>
      </c>
      <c r="AB57" s="105">
        <v>91384000</v>
      </c>
      <c r="AC57" s="12">
        <v>7.25</v>
      </c>
      <c r="AD57" s="2">
        <f t="shared" si="0"/>
        <v>0.91999999999999993</v>
      </c>
      <c r="AE57" s="148">
        <f t="shared" si="1"/>
        <v>-9.0338770388958545E-2</v>
      </c>
    </row>
    <row r="58" spans="1:31" x14ac:dyDescent="0.25">
      <c r="A58" s="299"/>
      <c r="B58" s="304">
        <v>42402</v>
      </c>
      <c r="C58" s="299">
        <v>100</v>
      </c>
      <c r="D58" s="300">
        <v>6.95</v>
      </c>
      <c r="E58" s="300">
        <v>0</v>
      </c>
      <c r="F58" s="300">
        <f t="shared" si="3"/>
        <v>695</v>
      </c>
      <c r="G58" s="299"/>
      <c r="H58" s="299"/>
      <c r="I58" s="300"/>
      <c r="J58" s="300"/>
      <c r="K58" s="300"/>
      <c r="L58" s="299"/>
      <c r="M58" s="299"/>
      <c r="N58" s="299"/>
      <c r="O58" s="2"/>
      <c r="P58" s="93">
        <v>0.92</v>
      </c>
      <c r="Q58" s="93">
        <f t="shared" si="4"/>
        <v>8.8596000000000004</v>
      </c>
      <c r="R58" s="93"/>
      <c r="W58" s="104">
        <v>42380</v>
      </c>
      <c r="X58" s="12">
        <v>8.2899999999999991</v>
      </c>
      <c r="Y58" s="12">
        <v>8.2899999999999991</v>
      </c>
      <c r="Z58" s="12">
        <v>7.9</v>
      </c>
      <c r="AA58" s="12">
        <v>8</v>
      </c>
      <c r="AB58" s="105">
        <v>47942500</v>
      </c>
      <c r="AC58" s="12">
        <v>7.97</v>
      </c>
      <c r="AD58" s="2">
        <f t="shared" si="0"/>
        <v>0.38999999999999879</v>
      </c>
      <c r="AE58" s="148">
        <f t="shared" si="1"/>
        <v>-8.7064676616914749E-3</v>
      </c>
    </row>
    <row r="59" spans="1:31" x14ac:dyDescent="0.25">
      <c r="A59" s="299"/>
      <c r="B59" s="299"/>
      <c r="C59" s="299"/>
      <c r="D59" s="300"/>
      <c r="E59" s="300"/>
      <c r="F59" s="300"/>
      <c r="G59" s="299"/>
      <c r="H59" s="299"/>
      <c r="I59" s="300"/>
      <c r="J59" s="300"/>
      <c r="K59" s="300"/>
      <c r="L59" s="299"/>
      <c r="M59" s="299"/>
      <c r="N59" s="299"/>
      <c r="O59" s="2"/>
      <c r="P59" s="93">
        <v>0.91</v>
      </c>
      <c r="Q59" s="93">
        <f t="shared" si="4"/>
        <v>8.763300000000001</v>
      </c>
      <c r="R59" s="93"/>
      <c r="W59" s="104">
        <v>42377</v>
      </c>
      <c r="X59" s="12">
        <v>8.52</v>
      </c>
      <c r="Y59" s="12">
        <v>8.56</v>
      </c>
      <c r="Z59" s="12">
        <v>8.02</v>
      </c>
      <c r="AA59" s="12">
        <v>8.07</v>
      </c>
      <c r="AB59" s="105">
        <v>41731900</v>
      </c>
      <c r="AC59" s="12">
        <v>8.0399999999999991</v>
      </c>
      <c r="AD59" s="2">
        <f t="shared" si="0"/>
        <v>0.54000000000000092</v>
      </c>
      <c r="AE59" s="148">
        <f t="shared" si="1"/>
        <v>-2.3086269744836074E-2</v>
      </c>
    </row>
    <row r="60" spans="1:31" x14ac:dyDescent="0.25">
      <c r="A60" s="299"/>
      <c r="B60" s="299"/>
      <c r="C60" s="299"/>
      <c r="D60" s="300"/>
      <c r="E60" s="300"/>
      <c r="F60" s="300"/>
      <c r="G60" s="299"/>
      <c r="H60" s="299"/>
      <c r="I60" s="300"/>
      <c r="J60" s="300"/>
      <c r="K60" s="300"/>
      <c r="L60" s="299"/>
      <c r="M60" s="299"/>
      <c r="N60" s="299"/>
      <c r="O60" s="2"/>
      <c r="P60" s="93">
        <v>0.9</v>
      </c>
      <c r="Q60" s="93">
        <f t="shared" si="4"/>
        <v>8.6670000000000016</v>
      </c>
      <c r="R60" s="93"/>
      <c r="W60" s="104">
        <v>42376</v>
      </c>
      <c r="X60" s="12">
        <v>8.39</v>
      </c>
      <c r="Y60" s="12">
        <v>8.51</v>
      </c>
      <c r="Z60" s="12">
        <v>8.23</v>
      </c>
      <c r="AA60" s="12">
        <v>8.27</v>
      </c>
      <c r="AB60" s="105">
        <v>34080800</v>
      </c>
      <c r="AC60" s="12">
        <v>8.23</v>
      </c>
      <c r="AD60" s="2">
        <f t="shared" si="0"/>
        <v>0.27999999999999936</v>
      </c>
      <c r="AE60" s="148">
        <f t="shared" si="1"/>
        <v>-3.9673278879813312E-2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9"/>
      <c r="W61" s="104">
        <v>42375</v>
      </c>
      <c r="X61" s="12">
        <v>9</v>
      </c>
      <c r="Y61" s="12">
        <v>9.02</v>
      </c>
      <c r="Z61" s="12">
        <v>8.5500000000000007</v>
      </c>
      <c r="AA61" s="12">
        <v>8.61</v>
      </c>
      <c r="AB61" s="105">
        <v>55199300</v>
      </c>
      <c r="AC61" s="12">
        <v>8.57</v>
      </c>
      <c r="AD61" s="2">
        <f t="shared" si="0"/>
        <v>0.46999999999999886</v>
      </c>
      <c r="AE61" s="148">
        <f t="shared" si="1"/>
        <v>-7.1505958829902516E-2</v>
      </c>
    </row>
    <row r="62" spans="1:31" x14ac:dyDescent="0.25">
      <c r="A62" s="299"/>
      <c r="B62" s="299"/>
      <c r="C62" s="299"/>
      <c r="D62" s="300"/>
      <c r="E62" s="300"/>
      <c r="F62" s="300"/>
      <c r="G62" s="299"/>
      <c r="H62" s="299"/>
      <c r="I62" s="300"/>
      <c r="J62" s="300"/>
      <c r="K62" s="300"/>
      <c r="L62" s="299"/>
      <c r="M62" s="299"/>
      <c r="N62" s="299"/>
      <c r="W62" s="104">
        <v>42374</v>
      </c>
      <c r="X62" s="12">
        <v>9.7200000000000006</v>
      </c>
      <c r="Y62" s="12">
        <v>9.77</v>
      </c>
      <c r="Z62" s="12">
        <v>9.16</v>
      </c>
      <c r="AA62" s="12">
        <v>9.27</v>
      </c>
      <c r="AB62" s="105">
        <v>39322700</v>
      </c>
      <c r="AC62" s="12">
        <v>9.23</v>
      </c>
      <c r="AD62" s="2">
        <f t="shared" si="0"/>
        <v>0.60999999999999943</v>
      </c>
      <c r="AE62" s="148">
        <f t="shared" si="1"/>
        <v>-4.5501551189245037E-2</v>
      </c>
    </row>
    <row r="63" spans="1:31" x14ac:dyDescent="0.25">
      <c r="A63" s="299"/>
      <c r="B63" s="299"/>
      <c r="C63" s="299"/>
      <c r="D63" s="300"/>
      <c r="E63" s="300"/>
      <c r="F63" s="300"/>
      <c r="G63" s="299"/>
      <c r="H63" s="299"/>
      <c r="I63" s="300"/>
      <c r="J63" s="300"/>
      <c r="K63" s="300"/>
      <c r="L63" s="299"/>
      <c r="M63" s="299"/>
      <c r="N63" s="299"/>
      <c r="W63" s="104">
        <v>42373</v>
      </c>
      <c r="X63" s="12">
        <v>9.52</v>
      </c>
      <c r="Y63" s="12">
        <v>9.8000000000000007</v>
      </c>
      <c r="Z63" s="12">
        <v>9.4499999999999993</v>
      </c>
      <c r="AA63" s="12">
        <v>9.7100000000000009</v>
      </c>
      <c r="AB63" s="105">
        <v>37919300</v>
      </c>
      <c r="AC63" s="12">
        <v>9.67</v>
      </c>
      <c r="AD63" s="2">
        <f t="shared" si="0"/>
        <v>0.35000000000000142</v>
      </c>
      <c r="AE63" s="148">
        <f t="shared" si="1"/>
        <v>-1.6276703967446626E-2</v>
      </c>
    </row>
    <row r="64" spans="1:31" x14ac:dyDescent="0.25">
      <c r="A64" s="299"/>
      <c r="B64" s="307" t="s">
        <v>117</v>
      </c>
      <c r="C64" s="307" t="s">
        <v>167</v>
      </c>
      <c r="D64" s="308" t="s">
        <v>166</v>
      </c>
      <c r="E64" s="309" t="s">
        <v>168</v>
      </c>
      <c r="F64" s="309" t="s">
        <v>65</v>
      </c>
      <c r="G64" s="311" t="s">
        <v>172</v>
      </c>
      <c r="H64" s="311" t="s">
        <v>90</v>
      </c>
      <c r="I64" s="311" t="s">
        <v>179</v>
      </c>
      <c r="J64" s="300"/>
      <c r="K64" s="300"/>
      <c r="L64" s="299"/>
      <c r="M64" s="299"/>
      <c r="N64" s="299"/>
      <c r="W64" s="104">
        <v>42369</v>
      </c>
      <c r="X64" s="12">
        <v>9.8699999999999992</v>
      </c>
      <c r="Y64" s="12">
        <v>9.98</v>
      </c>
      <c r="Z64" s="12">
        <v>9.81</v>
      </c>
      <c r="AA64" s="12">
        <v>9.8699999999999992</v>
      </c>
      <c r="AB64" s="105">
        <v>13362400</v>
      </c>
      <c r="AC64" s="12">
        <v>9.83</v>
      </c>
      <c r="AD64" s="2">
        <f t="shared" si="0"/>
        <v>0.16999999999999993</v>
      </c>
      <c r="AE64" s="148">
        <f t="shared" si="1"/>
        <v>-9.0725806451612545E-3</v>
      </c>
    </row>
    <row r="65" spans="1:31" x14ac:dyDescent="0.25">
      <c r="A65" s="299"/>
      <c r="B65" s="304">
        <v>42304</v>
      </c>
      <c r="C65" s="299">
        <v>3700</v>
      </c>
      <c r="D65" s="300">
        <v>9.84</v>
      </c>
      <c r="E65" s="300">
        <v>8.73</v>
      </c>
      <c r="F65" s="300">
        <f>C65*(E65-D65)</f>
        <v>-4106.9999999999982</v>
      </c>
      <c r="G65" s="300">
        <f>D65*C65</f>
        <v>36408</v>
      </c>
      <c r="H65" s="314">
        <f>(E65-D65)/D65</f>
        <v>-0.11280487804878044</v>
      </c>
      <c r="I65" s="300"/>
      <c r="J65" s="300"/>
      <c r="K65" s="300"/>
      <c r="L65" s="299"/>
      <c r="M65" s="299"/>
      <c r="N65" s="299"/>
      <c r="W65" s="104">
        <v>42368</v>
      </c>
      <c r="X65" s="12">
        <v>9.94</v>
      </c>
      <c r="Y65" s="12">
        <v>10.029999999999999</v>
      </c>
      <c r="Z65" s="12">
        <v>9.85</v>
      </c>
      <c r="AA65" s="12">
        <v>9.9600000000000009</v>
      </c>
      <c r="AB65" s="105">
        <v>23528300</v>
      </c>
      <c r="AC65" s="12">
        <v>9.92</v>
      </c>
      <c r="AD65" s="2">
        <f t="shared" si="0"/>
        <v>0.17999999999999972</v>
      </c>
      <c r="AE65" s="148">
        <f t="shared" si="1"/>
        <v>-1.6848364717542141E-2</v>
      </c>
    </row>
    <row r="66" spans="1:31" x14ac:dyDescent="0.25">
      <c r="A66" s="299"/>
      <c r="B66" s="304">
        <v>42305</v>
      </c>
      <c r="C66" s="299">
        <v>3700</v>
      </c>
      <c r="D66" s="300">
        <v>9.76</v>
      </c>
      <c r="E66" s="300">
        <v>8.99</v>
      </c>
      <c r="F66" s="300">
        <f t="shared" ref="F66:F83" si="5">C66*(E66-D66)</f>
        <v>-2848.9999999999986</v>
      </c>
      <c r="G66" s="300">
        <f t="shared" ref="G66:G83" si="6">D66*C66</f>
        <v>36112</v>
      </c>
      <c r="H66" s="314">
        <f t="shared" ref="H66:H72" si="7">(E66-D66)/D66</f>
        <v>-7.8893442622950782E-2</v>
      </c>
      <c r="I66" s="300"/>
      <c r="J66" s="300"/>
      <c r="K66" s="300"/>
      <c r="L66" s="299"/>
      <c r="M66" s="299"/>
      <c r="N66" s="299"/>
      <c r="W66" s="104">
        <v>42367</v>
      </c>
      <c r="X66" s="12">
        <v>10.11</v>
      </c>
      <c r="Y66" s="12">
        <v>10.27</v>
      </c>
      <c r="Z66" s="12">
        <v>10</v>
      </c>
      <c r="AA66" s="12">
        <v>10.130000000000001</v>
      </c>
      <c r="AB66" s="105">
        <v>13436800</v>
      </c>
      <c r="AC66" s="12">
        <v>10.09</v>
      </c>
      <c r="AD66" s="2">
        <f t="shared" si="0"/>
        <v>0.26999999999999957</v>
      </c>
      <c r="AE66" s="148">
        <f t="shared" si="1"/>
        <v>1.5090543259557387E-2</v>
      </c>
    </row>
    <row r="67" spans="1:31" x14ac:dyDescent="0.25">
      <c r="A67" s="299"/>
      <c r="B67" s="304">
        <v>42311</v>
      </c>
      <c r="C67" s="299">
        <v>3700</v>
      </c>
      <c r="D67" s="300">
        <v>9.73</v>
      </c>
      <c r="E67" s="300">
        <v>9.3800000000000008</v>
      </c>
      <c r="F67" s="300">
        <f t="shared" si="5"/>
        <v>-1294.9999999999986</v>
      </c>
      <c r="G67" s="300">
        <f t="shared" si="6"/>
        <v>36001</v>
      </c>
      <c r="H67" s="314">
        <f t="shared" si="7"/>
        <v>-3.5971223021582698E-2</v>
      </c>
      <c r="I67" s="300"/>
      <c r="J67" s="300"/>
      <c r="K67" s="300"/>
      <c r="L67" s="299"/>
      <c r="M67" s="299"/>
      <c r="N67" s="299"/>
      <c r="W67" s="104">
        <v>42366</v>
      </c>
      <c r="X67" s="12">
        <v>10</v>
      </c>
      <c r="Y67" s="12">
        <v>10.01</v>
      </c>
      <c r="Z67" s="12">
        <v>9.81</v>
      </c>
      <c r="AA67" s="12">
        <v>9.98</v>
      </c>
      <c r="AB67" s="105">
        <v>15608600</v>
      </c>
      <c r="AC67" s="12">
        <v>9.94</v>
      </c>
      <c r="AD67" s="2">
        <f t="shared" si="0"/>
        <v>0.19999999999999929</v>
      </c>
      <c r="AE67" s="148">
        <f t="shared" si="1"/>
        <v>-1.3888888888888951E-2</v>
      </c>
    </row>
    <row r="68" spans="1:31" x14ac:dyDescent="0.25">
      <c r="A68" s="299"/>
      <c r="B68" s="304">
        <v>42320</v>
      </c>
      <c r="C68" s="299">
        <v>7400</v>
      </c>
      <c r="D68" s="300">
        <v>9.01</v>
      </c>
      <c r="E68" s="300">
        <v>7.82</v>
      </c>
      <c r="F68" s="300">
        <f t="shared" si="5"/>
        <v>-8805.9999999999964</v>
      </c>
      <c r="G68" s="300">
        <f t="shared" si="6"/>
        <v>66674</v>
      </c>
      <c r="H68" s="314">
        <f t="shared" si="7"/>
        <v>-0.13207547169811315</v>
      </c>
      <c r="I68" s="300"/>
      <c r="J68" s="300"/>
      <c r="K68" s="300"/>
      <c r="L68" s="299"/>
      <c r="M68" s="299"/>
      <c r="N68" s="299"/>
      <c r="W68" s="104">
        <v>42362</v>
      </c>
      <c r="X68" s="12">
        <v>10.16</v>
      </c>
      <c r="Y68" s="12">
        <v>10.23</v>
      </c>
      <c r="Z68" s="12">
        <v>10.08</v>
      </c>
      <c r="AA68" s="12">
        <v>10.119999999999999</v>
      </c>
      <c r="AB68" s="105">
        <v>11794700</v>
      </c>
      <c r="AC68" s="12">
        <v>10.08</v>
      </c>
      <c r="AD68" s="2">
        <f>Y68-Z68</f>
        <v>0.15000000000000036</v>
      </c>
      <c r="AE68" s="148" t="e">
        <f>AC68/AC69-1</f>
        <v>#DIV/0!</v>
      </c>
    </row>
    <row r="69" spans="1:31" x14ac:dyDescent="0.25">
      <c r="A69" s="299"/>
      <c r="B69" s="304">
        <v>42320</v>
      </c>
      <c r="C69" s="299">
        <v>8000</v>
      </c>
      <c r="D69" s="300">
        <v>8.94</v>
      </c>
      <c r="E69" s="300">
        <v>7.82</v>
      </c>
      <c r="F69" s="300">
        <f t="shared" si="5"/>
        <v>-8959.9999999999945</v>
      </c>
      <c r="G69" s="300">
        <f t="shared" si="6"/>
        <v>71520</v>
      </c>
      <c r="H69" s="314">
        <f t="shared" si="7"/>
        <v>-0.12527964205816547</v>
      </c>
      <c r="I69" s="300"/>
      <c r="J69" s="300"/>
      <c r="K69" s="300"/>
      <c r="L69" s="299"/>
      <c r="M69" s="299"/>
      <c r="N69" s="299"/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9"/>
      <c r="B70" s="304">
        <v>42326</v>
      </c>
      <c r="C70" s="299">
        <v>6600</v>
      </c>
      <c r="D70" s="300">
        <v>9.0582999999999991</v>
      </c>
      <c r="E70" s="300">
        <v>8.41</v>
      </c>
      <c r="F70" s="300">
        <f t="shared" si="5"/>
        <v>-4278.7799999999934</v>
      </c>
      <c r="G70" s="300">
        <f t="shared" si="6"/>
        <v>59784.779999999992</v>
      </c>
      <c r="H70" s="314">
        <f t="shared" si="7"/>
        <v>-7.1569720587748145E-2</v>
      </c>
      <c r="I70" s="300"/>
      <c r="J70" s="300"/>
      <c r="K70" s="300"/>
      <c r="L70" s="299"/>
      <c r="M70" s="299"/>
      <c r="N70" s="299"/>
    </row>
    <row r="71" spans="1:31" x14ac:dyDescent="0.25">
      <c r="A71" s="299"/>
      <c r="B71" s="304">
        <v>42326</v>
      </c>
      <c r="C71" s="299">
        <v>6535</v>
      </c>
      <c r="D71" s="300">
        <v>9.0648</v>
      </c>
      <c r="E71" s="300">
        <v>8.41</v>
      </c>
      <c r="F71" s="300">
        <f t="shared" si="5"/>
        <v>-4279.1179999999986</v>
      </c>
      <c r="G71" s="300">
        <f t="shared" si="6"/>
        <v>59238.468000000001</v>
      </c>
      <c r="H71" s="314">
        <f t="shared" si="7"/>
        <v>-7.2235460241814473E-2</v>
      </c>
      <c r="I71" s="300"/>
      <c r="J71" s="300"/>
      <c r="K71" s="300"/>
      <c r="L71" s="299"/>
      <c r="M71" s="299"/>
      <c r="N71" s="299"/>
    </row>
    <row r="72" spans="1:31" x14ac:dyDescent="0.25">
      <c r="A72" s="299"/>
      <c r="B72" s="304">
        <v>42327</v>
      </c>
      <c r="C72" s="299">
        <v>4300</v>
      </c>
      <c r="D72" s="300">
        <v>9.3583999999999996</v>
      </c>
      <c r="E72" s="300">
        <v>8.76</v>
      </c>
      <c r="F72" s="300">
        <f t="shared" si="5"/>
        <v>-2573.1199999999994</v>
      </c>
      <c r="G72" s="300">
        <f t="shared" si="6"/>
        <v>40241.119999999995</v>
      </c>
      <c r="H72" s="314">
        <f t="shared" si="7"/>
        <v>-6.3942554282783365E-2</v>
      </c>
      <c r="I72" s="300"/>
      <c r="J72" s="300"/>
      <c r="K72" s="300"/>
      <c r="L72" s="299"/>
      <c r="M72" s="299"/>
      <c r="N72" s="299"/>
    </row>
    <row r="73" spans="1:31" x14ac:dyDescent="0.25">
      <c r="A73" s="299"/>
      <c r="B73" s="304">
        <v>42327</v>
      </c>
      <c r="C73" s="299">
        <v>3700</v>
      </c>
      <c r="D73" s="300">
        <v>9.4571000000000005</v>
      </c>
      <c r="E73" s="300">
        <v>8.76</v>
      </c>
      <c r="F73" s="300">
        <f t="shared" si="5"/>
        <v>-2579.2700000000027</v>
      </c>
      <c r="G73" s="300">
        <f t="shared" si="6"/>
        <v>34991.270000000004</v>
      </c>
      <c r="H73" s="314">
        <f>(E73-D73)/D73</f>
        <v>-7.371181440399284E-2</v>
      </c>
      <c r="I73" s="300"/>
      <c r="J73" s="300"/>
      <c r="K73" s="300"/>
      <c r="L73" s="299"/>
      <c r="M73" s="299"/>
      <c r="N73" s="299"/>
    </row>
    <row r="74" spans="1:31" x14ac:dyDescent="0.25">
      <c r="A74" s="299"/>
      <c r="B74" s="304">
        <v>42331</v>
      </c>
      <c r="C74" s="299">
        <v>3700</v>
      </c>
      <c r="D74" s="300">
        <v>9.4499999999999993</v>
      </c>
      <c r="E74" s="300">
        <v>9.07</v>
      </c>
      <c r="F74" s="300">
        <f t="shared" si="5"/>
        <v>-1405.9999999999964</v>
      </c>
      <c r="G74" s="300">
        <f t="shared" si="6"/>
        <v>34965</v>
      </c>
      <c r="H74" s="314">
        <f t="shared" ref="H74:H83" si="8">(E74-D74)/D74</f>
        <v>-4.0211640211640108E-2</v>
      </c>
      <c r="I74" s="300"/>
      <c r="J74" s="300"/>
      <c r="K74" s="300"/>
      <c r="L74" s="299"/>
      <c r="M74" s="299"/>
      <c r="N74" s="299"/>
    </row>
    <row r="75" spans="1:31" x14ac:dyDescent="0.25">
      <c r="A75" s="299"/>
      <c r="B75" s="304">
        <v>42333</v>
      </c>
      <c r="C75" s="299">
        <v>3300</v>
      </c>
      <c r="D75" s="300">
        <v>9.4304000000000006</v>
      </c>
      <c r="E75" s="300">
        <v>9.41</v>
      </c>
      <c r="F75" s="300">
        <f t="shared" si="5"/>
        <v>-67.320000000001386</v>
      </c>
      <c r="G75" s="300">
        <f t="shared" si="6"/>
        <v>31120.320000000003</v>
      </c>
      <c r="H75" s="314">
        <f t="shared" si="8"/>
        <v>-2.1632168306753071E-3</v>
      </c>
      <c r="I75" s="300"/>
      <c r="J75" s="300"/>
      <c r="K75" s="300"/>
      <c r="L75" s="299"/>
      <c r="M75" s="299"/>
      <c r="N75" s="299"/>
    </row>
    <row r="76" spans="1:31" x14ac:dyDescent="0.25">
      <c r="A76" s="299"/>
      <c r="B76" s="304">
        <v>42339</v>
      </c>
      <c r="C76" s="299">
        <v>2800</v>
      </c>
      <c r="D76" s="300">
        <v>9.4145000000000003</v>
      </c>
      <c r="E76" s="300">
        <v>9.48</v>
      </c>
      <c r="F76" s="300">
        <f t="shared" si="5"/>
        <v>183.40000000000032</v>
      </c>
      <c r="G76" s="300">
        <f t="shared" si="6"/>
        <v>26360.600000000002</v>
      </c>
      <c r="H76" s="314">
        <f t="shared" si="8"/>
        <v>6.9573530192787838E-3</v>
      </c>
      <c r="I76" s="300"/>
      <c r="J76" s="300"/>
      <c r="K76" s="300"/>
      <c r="L76" s="299"/>
      <c r="M76" s="299"/>
      <c r="N76" s="299"/>
    </row>
    <row r="77" spans="1:31" x14ac:dyDescent="0.25">
      <c r="A77" s="299"/>
      <c r="B77" s="304">
        <v>42340</v>
      </c>
      <c r="C77" s="299">
        <v>3000</v>
      </c>
      <c r="D77" s="300">
        <v>9.41</v>
      </c>
      <c r="E77" s="300">
        <v>9.35</v>
      </c>
      <c r="F77" s="300">
        <f t="shared" si="5"/>
        <v>-180.00000000000148</v>
      </c>
      <c r="G77" s="300">
        <f t="shared" si="6"/>
        <v>28230</v>
      </c>
      <c r="H77" s="314">
        <f t="shared" si="8"/>
        <v>-6.3761955366631769E-3</v>
      </c>
      <c r="I77" s="300"/>
      <c r="J77" s="300"/>
      <c r="K77" s="300"/>
      <c r="L77" s="299"/>
      <c r="M77" s="299"/>
      <c r="N77" s="299"/>
    </row>
    <row r="78" spans="1:31" x14ac:dyDescent="0.25">
      <c r="A78" s="299"/>
      <c r="B78" s="304">
        <v>42342</v>
      </c>
      <c r="C78" s="299">
        <v>1500</v>
      </c>
      <c r="D78" s="300">
        <v>9.51</v>
      </c>
      <c r="E78" s="300">
        <v>9.34</v>
      </c>
      <c r="F78" s="300">
        <f t="shared" si="5"/>
        <v>-254.99999999999989</v>
      </c>
      <c r="G78" s="300">
        <f t="shared" si="6"/>
        <v>14265</v>
      </c>
      <c r="H78" s="314">
        <f t="shared" si="8"/>
        <v>-1.787592008412197E-2</v>
      </c>
      <c r="I78" s="300"/>
      <c r="J78" s="300"/>
      <c r="K78" s="300"/>
      <c r="L78" s="299"/>
      <c r="M78" s="299"/>
      <c r="N78" s="299"/>
    </row>
    <row r="79" spans="1:31" x14ac:dyDescent="0.25">
      <c r="A79" s="299"/>
      <c r="B79" s="304">
        <v>42342</v>
      </c>
      <c r="C79" s="299">
        <v>3000</v>
      </c>
      <c r="D79" s="300">
        <v>9.3933</v>
      </c>
      <c r="E79" s="300">
        <v>9.34</v>
      </c>
      <c r="F79" s="300">
        <f t="shared" si="5"/>
        <v>-159.90000000000038</v>
      </c>
      <c r="G79" s="300">
        <f t="shared" si="6"/>
        <v>28179.9</v>
      </c>
      <c r="H79" s="314">
        <f t="shared" si="8"/>
        <v>-5.6742571833115225E-3</v>
      </c>
      <c r="I79" s="300"/>
      <c r="J79" s="300"/>
      <c r="K79" s="300"/>
      <c r="L79" s="299"/>
      <c r="M79" s="299"/>
      <c r="N79" s="299"/>
    </row>
    <row r="80" spans="1:31" x14ac:dyDescent="0.25">
      <c r="A80" s="299"/>
      <c r="B80" s="304">
        <v>42345</v>
      </c>
      <c r="C80" s="299">
        <v>3100</v>
      </c>
      <c r="D80" s="300">
        <v>9.3789999999999996</v>
      </c>
      <c r="E80" s="300">
        <v>9.0399999999999991</v>
      </c>
      <c r="F80" s="300">
        <f t="shared" si="5"/>
        <v>-1050.9000000000012</v>
      </c>
      <c r="G80" s="300">
        <f t="shared" si="6"/>
        <v>29074.899999999998</v>
      </c>
      <c r="H80" s="314">
        <f t="shared" si="8"/>
        <v>-3.6144578313253059E-2</v>
      </c>
      <c r="I80" s="300"/>
      <c r="J80" s="300"/>
      <c r="K80" s="300"/>
      <c r="L80" s="299"/>
      <c r="M80" s="299"/>
      <c r="N80" s="299"/>
    </row>
    <row r="81" spans="1:14" x14ac:dyDescent="0.25">
      <c r="A81" s="299"/>
      <c r="B81" s="304">
        <v>42348</v>
      </c>
      <c r="C81" s="299">
        <v>3000</v>
      </c>
      <c r="D81" s="300">
        <v>9.3800000000000008</v>
      </c>
      <c r="E81" s="300">
        <v>9.17</v>
      </c>
      <c r="F81" s="300">
        <f t="shared" si="5"/>
        <v>-630.0000000000025</v>
      </c>
      <c r="G81" s="300">
        <f t="shared" si="6"/>
        <v>28140.000000000004</v>
      </c>
      <c r="H81" s="314">
        <f t="shared" si="8"/>
        <v>-2.2388059701492626E-2</v>
      </c>
      <c r="I81" s="300"/>
      <c r="J81" s="300"/>
      <c r="K81" s="300"/>
      <c r="L81" s="299"/>
      <c r="M81" s="299"/>
      <c r="N81" s="299"/>
    </row>
    <row r="82" spans="1:14" x14ac:dyDescent="0.25">
      <c r="A82" s="299"/>
      <c r="B82" s="304">
        <v>42349</v>
      </c>
      <c r="C82" s="299">
        <v>3000</v>
      </c>
      <c r="D82" s="300">
        <v>9.3659999999999997</v>
      </c>
      <c r="E82" s="300">
        <v>8.86</v>
      </c>
      <c r="F82" s="300">
        <f t="shared" si="5"/>
        <v>-1518.0000000000007</v>
      </c>
      <c r="G82" s="300">
        <f t="shared" si="6"/>
        <v>28098</v>
      </c>
      <c r="H82" s="314">
        <f t="shared" si="8"/>
        <v>-5.4025197522955398E-2</v>
      </c>
      <c r="I82" s="300"/>
      <c r="J82" s="300"/>
      <c r="K82" s="300"/>
      <c r="L82" s="299"/>
      <c r="M82" s="299"/>
      <c r="N82" s="299"/>
    </row>
    <row r="83" spans="1:14" x14ac:dyDescent="0.25">
      <c r="A83" s="299"/>
      <c r="B83" s="304">
        <v>42360</v>
      </c>
      <c r="C83" s="299">
        <v>1000</v>
      </c>
      <c r="D83" s="300">
        <v>9.1999999999999993</v>
      </c>
      <c r="E83" s="300">
        <v>9.56</v>
      </c>
      <c r="F83" s="300">
        <f t="shared" si="5"/>
        <v>360.00000000000119</v>
      </c>
      <c r="G83" s="300">
        <f t="shared" si="6"/>
        <v>9200</v>
      </c>
      <c r="H83" s="314">
        <f t="shared" si="8"/>
        <v>3.9130434782608831E-2</v>
      </c>
      <c r="I83" s="300"/>
      <c r="J83" s="300"/>
      <c r="K83" s="300"/>
      <c r="L83" s="299"/>
      <c r="M83" s="299"/>
      <c r="N83" s="299"/>
    </row>
    <row r="84" spans="1:14" x14ac:dyDescent="0.25">
      <c r="A84" s="299"/>
      <c r="B84" s="304">
        <v>42361</v>
      </c>
      <c r="C84" s="299">
        <v>0</v>
      </c>
      <c r="D84" s="300">
        <v>0</v>
      </c>
      <c r="E84" s="300">
        <v>10.19</v>
      </c>
      <c r="F84" s="300">
        <v>360</v>
      </c>
      <c r="G84" s="300"/>
      <c r="H84" s="314"/>
      <c r="I84" s="300"/>
      <c r="J84" s="300"/>
      <c r="K84" s="300"/>
      <c r="L84" s="299"/>
      <c r="M84" s="299"/>
      <c r="N84" s="299"/>
    </row>
    <row r="85" spans="1:14" x14ac:dyDescent="0.25">
      <c r="A85" s="299"/>
      <c r="B85" s="304">
        <v>42377</v>
      </c>
      <c r="C85" s="299">
        <v>400</v>
      </c>
      <c r="D85" s="300">
        <v>6.31</v>
      </c>
      <c r="E85" s="300">
        <v>8.07</v>
      </c>
      <c r="F85" s="300">
        <f t="shared" ref="F85:F90" si="9">C85*(E85-D85)</f>
        <v>704.00000000000023</v>
      </c>
      <c r="G85" s="300">
        <f t="shared" ref="G85:G90" si="10">D85*C85</f>
        <v>2524</v>
      </c>
      <c r="H85" s="314">
        <f t="shared" ref="H85:H90" si="11">(E85-D85)/D85</f>
        <v>0.27892234548335987</v>
      </c>
      <c r="I85" s="300"/>
      <c r="J85" s="300"/>
      <c r="K85" s="300"/>
      <c r="L85" s="299"/>
      <c r="M85" s="299"/>
      <c r="N85" s="299"/>
    </row>
    <row r="86" spans="1:14" x14ac:dyDescent="0.25">
      <c r="A86" s="299"/>
      <c r="B86" s="304">
        <v>42389</v>
      </c>
      <c r="C86" s="299">
        <v>500</v>
      </c>
      <c r="D86" s="300">
        <v>6.34</v>
      </c>
      <c r="E86" s="300">
        <v>6.74</v>
      </c>
      <c r="F86" s="300">
        <f t="shared" si="9"/>
        <v>200.00000000000017</v>
      </c>
      <c r="G86" s="300">
        <f t="shared" si="10"/>
        <v>3170</v>
      </c>
      <c r="H86" s="314">
        <f t="shared" si="11"/>
        <v>6.3091482649842323E-2</v>
      </c>
      <c r="I86" s="300"/>
      <c r="J86" s="300"/>
      <c r="K86" s="300"/>
      <c r="L86" s="299"/>
      <c r="M86" s="299"/>
      <c r="N86" s="299"/>
    </row>
    <row r="87" spans="1:14" x14ac:dyDescent="0.25">
      <c r="A87" s="299"/>
      <c r="B87" s="304">
        <v>42398</v>
      </c>
      <c r="C87" s="299">
        <v>400</v>
      </c>
      <c r="D87" s="300">
        <v>6.12</v>
      </c>
      <c r="E87" s="300">
        <v>7.14</v>
      </c>
      <c r="F87" s="300">
        <f t="shared" si="9"/>
        <v>407.99999999999983</v>
      </c>
      <c r="G87" s="300">
        <f t="shared" si="10"/>
        <v>2448</v>
      </c>
      <c r="H87" s="314">
        <f t="shared" si="11"/>
        <v>0.1666666666666666</v>
      </c>
      <c r="I87" s="300"/>
      <c r="J87" s="300"/>
      <c r="K87" s="300"/>
      <c r="L87" s="299"/>
      <c r="M87" s="299"/>
      <c r="N87" s="299"/>
    </row>
    <row r="88" spans="1:14" x14ac:dyDescent="0.25">
      <c r="A88" s="299"/>
      <c r="B88" s="304">
        <v>42402</v>
      </c>
      <c r="C88" s="299">
        <v>500</v>
      </c>
      <c r="D88" s="300">
        <v>6.2888999999999999</v>
      </c>
      <c r="E88" s="300">
        <v>6.97</v>
      </c>
      <c r="F88" s="300">
        <f t="shared" si="9"/>
        <v>340.5499999999999</v>
      </c>
      <c r="G88" s="300">
        <f t="shared" si="10"/>
        <v>3144.45</v>
      </c>
      <c r="H88" s="314">
        <f t="shared" si="11"/>
        <v>0.10830192879517878</v>
      </c>
      <c r="I88" s="300"/>
      <c r="J88" s="300"/>
      <c r="K88" s="300"/>
      <c r="L88" s="299"/>
      <c r="M88" s="299"/>
      <c r="N88" s="299"/>
    </row>
    <row r="89" spans="1:14" x14ac:dyDescent="0.25">
      <c r="A89" s="299"/>
      <c r="B89" s="304">
        <v>42403</v>
      </c>
      <c r="C89" s="299">
        <v>400</v>
      </c>
      <c r="D89" s="300">
        <v>6.01</v>
      </c>
      <c r="E89" s="300">
        <v>7.55</v>
      </c>
      <c r="F89" s="300">
        <f t="shared" si="9"/>
        <v>616</v>
      </c>
      <c r="G89" s="300">
        <f t="shared" si="10"/>
        <v>2404</v>
      </c>
      <c r="H89" s="314">
        <f t="shared" si="11"/>
        <v>0.2562396006655574</v>
      </c>
      <c r="I89" s="300"/>
      <c r="J89" s="300"/>
      <c r="K89" s="300"/>
      <c r="L89" s="299"/>
      <c r="M89" s="299"/>
      <c r="N89" s="299"/>
    </row>
    <row r="90" spans="1:14" x14ac:dyDescent="0.25">
      <c r="A90" s="299"/>
      <c r="B90" s="304">
        <v>42404</v>
      </c>
      <c r="C90" s="299">
        <v>300</v>
      </c>
      <c r="D90" s="300">
        <v>5.3349000000000002</v>
      </c>
      <c r="E90" s="300">
        <v>8.31</v>
      </c>
      <c r="F90" s="300">
        <f t="shared" si="9"/>
        <v>892.53000000000009</v>
      </c>
      <c r="G90" s="300">
        <f t="shared" si="10"/>
        <v>1600.47</v>
      </c>
      <c r="H90" s="314">
        <f t="shared" si="11"/>
        <v>0.55766743519091266</v>
      </c>
      <c r="I90" s="300"/>
      <c r="J90" s="300"/>
      <c r="K90" s="300"/>
      <c r="L90" s="299"/>
      <c r="M90" s="299"/>
      <c r="N90" s="299"/>
    </row>
    <row r="91" spans="1:14" x14ac:dyDescent="0.25">
      <c r="A91" s="299"/>
      <c r="B91" s="304">
        <v>42416</v>
      </c>
      <c r="C91" s="299">
        <v>0</v>
      </c>
      <c r="D91" s="300">
        <v>0</v>
      </c>
      <c r="E91" s="300">
        <v>0</v>
      </c>
      <c r="F91" s="300">
        <v>793.47</v>
      </c>
      <c r="G91" s="300"/>
      <c r="H91" s="314"/>
      <c r="I91" s="300"/>
      <c r="J91" s="300"/>
      <c r="K91" s="300"/>
      <c r="L91" s="299"/>
      <c r="M91" s="299"/>
      <c r="N91" s="299"/>
    </row>
    <row r="92" spans="1:14" x14ac:dyDescent="0.25">
      <c r="A92" s="299"/>
      <c r="B92" s="304"/>
      <c r="C92" s="299"/>
      <c r="D92" s="300"/>
      <c r="E92" s="300"/>
      <c r="F92" s="300"/>
      <c r="G92" s="300"/>
      <c r="H92" s="314"/>
      <c r="I92" s="300"/>
      <c r="J92" s="300"/>
      <c r="K92" s="300"/>
      <c r="L92" s="299"/>
      <c r="M92" s="299"/>
      <c r="N92" s="299"/>
    </row>
  </sheetData>
  <mergeCells count="1">
    <mergeCell ref="P39:Q39"/>
  </mergeCells>
  <conditionalFormatting sqref="Q7 F14:F18 H14:H18">
    <cfRule type="expression" dxfId="251" priority="56">
      <formula>F7&gt;0</formula>
    </cfRule>
    <cfRule type="expression" dxfId="250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49" priority="43">
      <formula>F20&gt;0</formula>
    </cfRule>
    <cfRule type="expression" dxfId="248" priority="44">
      <formula>F20&lt;0</formula>
    </cfRule>
  </conditionalFormatting>
  <conditionalFormatting sqref="F20">
    <cfRule type="expression" dxfId="247" priority="47">
      <formula>F20&gt;0</formula>
    </cfRule>
    <cfRule type="expression" dxfId="246" priority="48">
      <formula>F20&lt;0</formula>
    </cfRule>
  </conditionalFormatting>
  <conditionalFormatting sqref="H20">
    <cfRule type="expression" dxfId="245" priority="25">
      <formula>H20&gt;0</formula>
    </cfRule>
    <cfRule type="expression" dxfId="244" priority="26">
      <formula>H20&lt;0</formula>
    </cfRule>
  </conditionalFormatting>
  <conditionalFormatting sqref="F65:F71">
    <cfRule type="expression" dxfId="243" priority="19">
      <formula>F65&gt;0</formula>
    </cfRule>
    <cfRule type="expression" dxfId="242" priority="20">
      <formula>F65&lt;0</formula>
    </cfRule>
  </conditionalFormatting>
  <conditionalFormatting sqref="F72:F86">
    <cfRule type="expression" dxfId="241" priority="15">
      <formula>F72&gt;0</formula>
    </cfRule>
    <cfRule type="expression" dxfId="240" priority="16">
      <formula>F72&lt;0</formula>
    </cfRule>
  </conditionalFormatting>
  <conditionalFormatting sqref="F72:F86">
    <cfRule type="expression" dxfId="239" priority="17">
      <formula>F72&gt;0</formula>
    </cfRule>
    <cfRule type="expression" dxfId="238" priority="18">
      <formula>F72&lt;0</formula>
    </cfRule>
  </conditionalFormatting>
  <conditionalFormatting sqref="H65:H76">
    <cfRule type="expression" dxfId="237" priority="13">
      <formula>H65&gt;0</formula>
    </cfRule>
    <cfRule type="expression" dxfId="236" priority="14">
      <formula>H65&lt;0</formula>
    </cfRule>
  </conditionalFormatting>
  <conditionalFormatting sqref="H77">
    <cfRule type="expression" dxfId="235" priority="11">
      <formula>H77&gt;0</formula>
    </cfRule>
    <cfRule type="expression" dxfId="234" priority="12">
      <formula>H77&lt;0</formula>
    </cfRule>
  </conditionalFormatting>
  <conditionalFormatting sqref="F87:F92">
    <cfRule type="expression" dxfId="233" priority="9">
      <formula>F87&gt;0</formula>
    </cfRule>
    <cfRule type="expression" dxfId="232" priority="10">
      <formula>F87&lt;0</formula>
    </cfRule>
  </conditionalFormatting>
  <conditionalFormatting sqref="H79:H92">
    <cfRule type="expression" dxfId="231" priority="7">
      <formula>H79&gt;0</formula>
    </cfRule>
    <cfRule type="expression" dxfId="230" priority="8">
      <formula>H79&lt;0</formula>
    </cfRule>
  </conditionalFormatting>
  <conditionalFormatting sqref="H78">
    <cfRule type="expression" dxfId="229" priority="5">
      <formula>H78&gt;0</formula>
    </cfRule>
    <cfRule type="expression" dxfId="228" priority="6">
      <formula>H78&lt;0</formula>
    </cfRule>
  </conditionalFormatting>
  <conditionalFormatting sqref="M21">
    <cfRule type="expression" dxfId="227" priority="3">
      <formula>M21&gt;0</formula>
    </cfRule>
    <cfRule type="expression" dxfId="226" priority="4">
      <formula>M21&lt;0</formula>
    </cfRule>
  </conditionalFormatting>
  <conditionalFormatting sqref="Q11">
    <cfRule type="expression" dxfId="225" priority="1">
      <formula>Q11&gt;0</formula>
    </cfRule>
    <cfRule type="expression" dxfId="224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42460</v>
      </c>
      <c r="X2" s="12">
        <v>25.24</v>
      </c>
      <c r="Y2" s="12">
        <v>25.83</v>
      </c>
      <c r="Z2" s="12">
        <v>25.23</v>
      </c>
      <c r="AA2" s="12">
        <v>25.52</v>
      </c>
      <c r="AB2" s="105">
        <v>2471500</v>
      </c>
      <c r="AC2" s="12">
        <v>25.52</v>
      </c>
      <c r="AD2" s="2">
        <f>Y2-Z2</f>
        <v>0.59999999999999787</v>
      </c>
      <c r="AE2" s="148">
        <f>AC2/AC3-1</f>
        <v>9.4936708860757779E-3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25.78</v>
      </c>
      <c r="W3" s="143">
        <v>42459</v>
      </c>
      <c r="X3" s="12">
        <v>25.63</v>
      </c>
      <c r="Y3" s="12">
        <v>25.8</v>
      </c>
      <c r="Z3" s="12">
        <v>24.99</v>
      </c>
      <c r="AA3" s="12">
        <v>25.28</v>
      </c>
      <c r="AB3" s="105">
        <v>3140300</v>
      </c>
      <c r="AC3" s="12">
        <v>25.28</v>
      </c>
      <c r="AD3" s="2">
        <f t="shared" ref="AD3:AD66" si="2">Y3-Z3</f>
        <v>0.81000000000000227</v>
      </c>
      <c r="AE3" s="148">
        <f t="shared" ref="AE3:AE66" si="3">AC3/AC4-1</f>
        <v>-9.7924010967489483E-3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25.78</v>
      </c>
      <c r="W4" s="143">
        <v>42458</v>
      </c>
      <c r="X4" s="12">
        <v>24.49</v>
      </c>
      <c r="Y4" s="12">
        <v>25.56</v>
      </c>
      <c r="Z4" s="12">
        <v>24.36</v>
      </c>
      <c r="AA4" s="12">
        <v>25.53</v>
      </c>
      <c r="AB4" s="105">
        <v>4120900</v>
      </c>
      <c r="AC4" s="12">
        <v>25.53</v>
      </c>
      <c r="AD4" s="2">
        <f t="shared" si="2"/>
        <v>1.1999999999999993</v>
      </c>
      <c r="AE4" s="148">
        <f t="shared" si="3"/>
        <v>4.1190864600326282E-2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42457</v>
      </c>
      <c r="X5" s="12">
        <v>24.03</v>
      </c>
      <c r="Y5" s="12">
        <v>24.75</v>
      </c>
      <c r="Z5" s="12">
        <v>23.85</v>
      </c>
      <c r="AA5" s="12">
        <v>24.52</v>
      </c>
      <c r="AB5" s="105">
        <v>3010200</v>
      </c>
      <c r="AC5" s="12">
        <v>24.52</v>
      </c>
      <c r="AD5" s="2">
        <f t="shared" si="2"/>
        <v>0.89999999999999858</v>
      </c>
      <c r="AE5" s="148">
        <f t="shared" si="3"/>
        <v>1.869547154133766E-2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42453</v>
      </c>
      <c r="X6" s="12">
        <v>24.25</v>
      </c>
      <c r="Y6" s="12">
        <v>24.26</v>
      </c>
      <c r="Z6" s="12">
        <v>23.62</v>
      </c>
      <c r="AA6" s="12">
        <v>24.07</v>
      </c>
      <c r="AB6" s="105">
        <v>1899800</v>
      </c>
      <c r="AC6" s="12">
        <v>24.07</v>
      </c>
      <c r="AD6" s="2">
        <f t="shared" si="2"/>
        <v>0.64000000000000057</v>
      </c>
      <c r="AE6" s="148">
        <f t="shared" si="3"/>
        <v>-1.1904761904761862E-2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42452</v>
      </c>
      <c r="X7" s="12">
        <v>24.52</v>
      </c>
      <c r="Y7" s="12">
        <v>24.67</v>
      </c>
      <c r="Z7" s="12">
        <v>24.28</v>
      </c>
      <c r="AA7" s="12">
        <v>24.36</v>
      </c>
      <c r="AB7" s="105">
        <v>1329600</v>
      </c>
      <c r="AC7" s="12">
        <v>24.36</v>
      </c>
      <c r="AD7" s="2">
        <f t="shared" si="2"/>
        <v>0.39000000000000057</v>
      </c>
      <c r="AE7" s="148">
        <f t="shared" si="3"/>
        <v>-1.4563106796116498E-2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42451</v>
      </c>
      <c r="X8" s="12">
        <v>24.67</v>
      </c>
      <c r="Y8" s="12">
        <v>24.89</v>
      </c>
      <c r="Z8" s="12">
        <v>24.38</v>
      </c>
      <c r="AA8" s="12">
        <v>24.72</v>
      </c>
      <c r="AB8" s="105">
        <v>1134100</v>
      </c>
      <c r="AC8" s="12">
        <v>24.72</v>
      </c>
      <c r="AD8" s="2">
        <f t="shared" si="2"/>
        <v>0.51000000000000156</v>
      </c>
      <c r="AE8" s="148">
        <f t="shared" si="3"/>
        <v>-4.4301248489729828E-3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42450</v>
      </c>
      <c r="X9" s="12">
        <v>24.88</v>
      </c>
      <c r="Y9" s="12">
        <v>25.02</v>
      </c>
      <c r="Z9" s="12">
        <v>24.55</v>
      </c>
      <c r="AA9" s="12">
        <v>24.83</v>
      </c>
      <c r="AB9" s="105">
        <v>1254300</v>
      </c>
      <c r="AC9" s="12">
        <v>24.83</v>
      </c>
      <c r="AD9" s="2">
        <f t="shared" si="2"/>
        <v>0.46999999999999886</v>
      </c>
      <c r="AE9" s="148">
        <f t="shared" si="3"/>
        <v>-6.4025610244097253E-3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42447</v>
      </c>
      <c r="X10" s="12">
        <v>24.98</v>
      </c>
      <c r="Y10" s="12">
        <v>25.27</v>
      </c>
      <c r="Z10" s="12">
        <v>24.86</v>
      </c>
      <c r="AA10" s="12">
        <v>24.99</v>
      </c>
      <c r="AB10" s="105">
        <v>2348600</v>
      </c>
      <c r="AC10" s="12">
        <v>24.99</v>
      </c>
      <c r="AD10" s="2">
        <f t="shared" si="2"/>
        <v>0.41000000000000014</v>
      </c>
      <c r="AE10" s="148">
        <f t="shared" si="3"/>
        <v>5.2292839903458344E-3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42446</v>
      </c>
      <c r="X11" s="12">
        <v>24.39</v>
      </c>
      <c r="Y11" s="12">
        <v>25.19</v>
      </c>
      <c r="Z11" s="12">
        <v>24.1</v>
      </c>
      <c r="AA11" s="12">
        <v>24.86</v>
      </c>
      <c r="AB11" s="105">
        <v>3314200</v>
      </c>
      <c r="AC11" s="12">
        <v>24.86</v>
      </c>
      <c r="AD11" s="2">
        <f t="shared" si="2"/>
        <v>1.0899999999999999</v>
      </c>
      <c r="AE11" s="148">
        <f t="shared" si="3"/>
        <v>2.9399585921325189E-2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42445</v>
      </c>
      <c r="X12" s="12">
        <v>24.06</v>
      </c>
      <c r="Y12" s="12">
        <v>24.28</v>
      </c>
      <c r="Z12" s="12">
        <v>23.67</v>
      </c>
      <c r="AA12" s="12">
        <v>24.15</v>
      </c>
      <c r="AB12" s="105">
        <v>1921300</v>
      </c>
      <c r="AC12" s="12">
        <v>24.15</v>
      </c>
      <c r="AD12" s="2">
        <f t="shared" si="2"/>
        <v>0.60999999999999943</v>
      </c>
      <c r="AE12" s="148">
        <f t="shared" si="3"/>
        <v>-2.0661157024793875E-3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42444</v>
      </c>
      <c r="X13" s="12">
        <v>23.97</v>
      </c>
      <c r="Y13" s="12">
        <v>24.27</v>
      </c>
      <c r="Z13" s="12">
        <v>23.78</v>
      </c>
      <c r="AA13" s="12">
        <v>24.2</v>
      </c>
      <c r="AB13" s="105">
        <v>2376000</v>
      </c>
      <c r="AC13" s="12">
        <v>24.2</v>
      </c>
      <c r="AD13" s="2">
        <f t="shared" si="2"/>
        <v>0.48999999999999844</v>
      </c>
      <c r="AE13" s="148">
        <f t="shared" si="3"/>
        <v>5.4009140008308698E-3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42443</v>
      </c>
      <c r="X14" s="12">
        <v>23.9</v>
      </c>
      <c r="Y14" s="12">
        <v>24.12</v>
      </c>
      <c r="Z14" s="12">
        <v>23.68</v>
      </c>
      <c r="AA14" s="12">
        <v>24.07</v>
      </c>
      <c r="AB14" s="105">
        <v>1602600</v>
      </c>
      <c r="AC14" s="12">
        <v>24.07</v>
      </c>
      <c r="AD14" s="2">
        <f t="shared" si="2"/>
        <v>0.44000000000000128</v>
      </c>
      <c r="AE14" s="148">
        <f t="shared" si="3"/>
        <v>1.6645859342487856E-3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42440</v>
      </c>
      <c r="X15" s="12">
        <v>23.29</v>
      </c>
      <c r="Y15" s="12">
        <v>24.18</v>
      </c>
      <c r="Z15" s="12">
        <v>23.16</v>
      </c>
      <c r="AA15" s="12">
        <v>24.03</v>
      </c>
      <c r="AB15" s="105">
        <v>1800700</v>
      </c>
      <c r="AC15" s="12">
        <v>24.03</v>
      </c>
      <c r="AD15" s="2">
        <f t="shared" si="2"/>
        <v>1.0199999999999996</v>
      </c>
      <c r="AE15" s="148">
        <f t="shared" si="3"/>
        <v>3.8461538461538547E-2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42439</v>
      </c>
      <c r="X16" s="12">
        <v>23.43</v>
      </c>
      <c r="Y16" s="12">
        <v>23.7</v>
      </c>
      <c r="Z16" s="12">
        <v>22.83</v>
      </c>
      <c r="AA16" s="12">
        <v>23.14</v>
      </c>
      <c r="AB16" s="105">
        <v>1983700</v>
      </c>
      <c r="AC16" s="12">
        <v>23.14</v>
      </c>
      <c r="AD16" s="2">
        <f t="shared" si="2"/>
        <v>0.87000000000000099</v>
      </c>
      <c r="AE16" s="148">
        <f t="shared" si="3"/>
        <v>-6.8669527896996208E-3</v>
      </c>
    </row>
    <row r="17" spans="1:31" x14ac:dyDescent="0.25">
      <c r="W17" s="143">
        <v>42438</v>
      </c>
      <c r="X17" s="12">
        <v>23.46</v>
      </c>
      <c r="Y17" s="12">
        <v>23.54</v>
      </c>
      <c r="Z17" s="12">
        <v>22.89</v>
      </c>
      <c r="AA17" s="12">
        <v>23.3</v>
      </c>
      <c r="AB17" s="105">
        <v>1949100</v>
      </c>
      <c r="AC17" s="12">
        <v>23.3</v>
      </c>
      <c r="AD17" s="2">
        <f t="shared" si="2"/>
        <v>0.64999999999999858</v>
      </c>
      <c r="AE17" s="148">
        <f t="shared" si="3"/>
        <v>1.7196904557179593E-3</v>
      </c>
    </row>
    <row r="18" spans="1:31" x14ac:dyDescent="0.25">
      <c r="W18" s="143">
        <v>42437</v>
      </c>
      <c r="X18" s="12">
        <v>23.38</v>
      </c>
      <c r="Y18" s="12">
        <v>23.65</v>
      </c>
      <c r="Z18" s="12">
        <v>23.09</v>
      </c>
      <c r="AA18" s="12">
        <v>23.26</v>
      </c>
      <c r="AB18" s="105">
        <v>1359100</v>
      </c>
      <c r="AC18" s="12">
        <v>23.26</v>
      </c>
      <c r="AD18" s="2">
        <f t="shared" si="2"/>
        <v>0.55999999999999872</v>
      </c>
      <c r="AE18" s="148">
        <f t="shared" si="3"/>
        <v>-1.2733446519524461E-2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42436</v>
      </c>
      <c r="X19" s="12">
        <v>23.21</v>
      </c>
      <c r="Y19" s="12">
        <v>23.67</v>
      </c>
      <c r="Z19" s="12">
        <v>23.13</v>
      </c>
      <c r="AA19" s="12">
        <v>23.56</v>
      </c>
      <c r="AB19" s="105">
        <v>1784200</v>
      </c>
      <c r="AC19" s="12">
        <v>23.56</v>
      </c>
      <c r="AD19" s="2">
        <f t="shared" si="2"/>
        <v>0.5400000000000027</v>
      </c>
      <c r="AE19" s="148">
        <f t="shared" si="3"/>
        <v>1.2027491408934665E-2</v>
      </c>
    </row>
    <row r="20" spans="1:31" x14ac:dyDescent="0.25">
      <c r="W20" s="143">
        <v>42433</v>
      </c>
      <c r="X20" s="12">
        <v>23.03</v>
      </c>
      <c r="Y20" s="12">
        <v>23.91</v>
      </c>
      <c r="Z20" s="12">
        <v>22.86</v>
      </c>
      <c r="AA20" s="12">
        <v>23.28</v>
      </c>
      <c r="AB20" s="105">
        <v>3518500</v>
      </c>
      <c r="AC20" s="12">
        <v>23.28</v>
      </c>
      <c r="AD20" s="2">
        <f t="shared" si="2"/>
        <v>1.0500000000000007</v>
      </c>
      <c r="AE20" s="148">
        <f t="shared" si="3"/>
        <v>9.1027308192457301E-3</v>
      </c>
    </row>
    <row r="21" spans="1:31" x14ac:dyDescent="0.25">
      <c r="B21" s="209" t="s">
        <v>117</v>
      </c>
      <c r="C21" s="209" t="s">
        <v>167</v>
      </c>
      <c r="D21" s="210" t="s">
        <v>166</v>
      </c>
      <c r="E21" s="212" t="s">
        <v>168</v>
      </c>
      <c r="F21" s="212" t="s">
        <v>65</v>
      </c>
      <c r="G21" s="253" t="s">
        <v>172</v>
      </c>
      <c r="H21" s="253" t="s">
        <v>90</v>
      </c>
      <c r="I21" s="253" t="s">
        <v>179</v>
      </c>
      <c r="W21" s="143">
        <v>42432</v>
      </c>
      <c r="X21" s="12">
        <v>22.57</v>
      </c>
      <c r="Y21" s="12">
        <v>23.22</v>
      </c>
      <c r="Z21" s="12">
        <v>22.48</v>
      </c>
      <c r="AA21" s="12">
        <v>23.07</v>
      </c>
      <c r="AB21" s="105">
        <v>4064100</v>
      </c>
      <c r="AC21" s="12">
        <v>23.07</v>
      </c>
      <c r="AD21" s="2">
        <f t="shared" si="2"/>
        <v>0.73999999999999844</v>
      </c>
      <c r="AE21" s="148">
        <f t="shared" si="3"/>
        <v>2.2606382978723527E-2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42431</v>
      </c>
      <c r="X22" s="12">
        <v>22.03</v>
      </c>
      <c r="Y22" s="12">
        <v>22.68</v>
      </c>
      <c r="Z22" s="12">
        <v>21.68</v>
      </c>
      <c r="AA22" s="12">
        <v>22.56</v>
      </c>
      <c r="AB22" s="105">
        <v>6998000</v>
      </c>
      <c r="AC22" s="12">
        <v>22.56</v>
      </c>
      <c r="AD22" s="2">
        <f t="shared" si="2"/>
        <v>1</v>
      </c>
      <c r="AE22" s="148">
        <f t="shared" si="3"/>
        <v>2.592087312414737E-2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42430</v>
      </c>
      <c r="X23" s="12">
        <v>20.92</v>
      </c>
      <c r="Y23" s="12">
        <v>22.25</v>
      </c>
      <c r="Z23" s="12">
        <v>20.36</v>
      </c>
      <c r="AA23" s="12">
        <v>21.99</v>
      </c>
      <c r="AB23" s="105">
        <v>13156500</v>
      </c>
      <c r="AC23" s="12">
        <v>21.99</v>
      </c>
      <c r="AD23" s="2">
        <f t="shared" si="2"/>
        <v>1.8900000000000006</v>
      </c>
      <c r="AE23" s="148">
        <f t="shared" si="3"/>
        <v>0.10948536831483335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42429</v>
      </c>
      <c r="X24" s="12">
        <v>19.59</v>
      </c>
      <c r="Y24" s="12">
        <v>20.36</v>
      </c>
      <c r="Z24" s="12">
        <v>19.329999999999998</v>
      </c>
      <c r="AA24" s="12">
        <v>19.82</v>
      </c>
      <c r="AB24" s="105">
        <v>5853100</v>
      </c>
      <c r="AC24" s="12">
        <v>19.82</v>
      </c>
      <c r="AD24" s="2">
        <f t="shared" si="2"/>
        <v>1.0300000000000011</v>
      </c>
      <c r="AE24" s="148">
        <f t="shared" si="3"/>
        <v>1.3292433537832382E-2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42426</v>
      </c>
      <c r="X25" s="12">
        <v>19.61</v>
      </c>
      <c r="Y25" s="12">
        <v>19.75</v>
      </c>
      <c r="Z25" s="12">
        <v>19.239999999999998</v>
      </c>
      <c r="AA25" s="12">
        <v>19.559999999999999</v>
      </c>
      <c r="AB25" s="105">
        <v>2594400</v>
      </c>
      <c r="AC25" s="12">
        <v>19.559999999999999</v>
      </c>
      <c r="AD25" s="2">
        <f t="shared" si="2"/>
        <v>0.51000000000000156</v>
      </c>
      <c r="AE25" s="148">
        <f t="shared" si="3"/>
        <v>4.6224961479197635E-3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42425</v>
      </c>
      <c r="X26" s="12">
        <v>18.98</v>
      </c>
      <c r="Y26" s="12">
        <v>19.52</v>
      </c>
      <c r="Z26" s="12">
        <v>18.600000000000001</v>
      </c>
      <c r="AA26" s="12">
        <v>19.47</v>
      </c>
      <c r="AB26" s="105">
        <v>1938600</v>
      </c>
      <c r="AC26" s="12">
        <v>19.47</v>
      </c>
      <c r="AD26" s="2">
        <f t="shared" si="2"/>
        <v>0.91999999999999815</v>
      </c>
      <c r="AE26" s="148">
        <f t="shared" si="3"/>
        <v>2.4736842105263168E-2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42424</v>
      </c>
      <c r="X27" s="12">
        <v>18</v>
      </c>
      <c r="Y27" s="12">
        <v>19.149999999999999</v>
      </c>
      <c r="Z27" s="12">
        <v>17.829999999999998</v>
      </c>
      <c r="AA27" s="12">
        <v>19</v>
      </c>
      <c r="AB27" s="105">
        <v>3358900</v>
      </c>
      <c r="AC27" s="12">
        <v>19</v>
      </c>
      <c r="AD27" s="2">
        <f t="shared" si="2"/>
        <v>1.3200000000000003</v>
      </c>
      <c r="AE27" s="148">
        <f t="shared" si="3"/>
        <v>4.1095890410958846E-2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42423</v>
      </c>
      <c r="X28" s="12">
        <v>17.8</v>
      </c>
      <c r="Y28" s="12">
        <v>18.73</v>
      </c>
      <c r="Z28" s="12">
        <v>17.600000000000001</v>
      </c>
      <c r="AA28" s="12">
        <v>18.25</v>
      </c>
      <c r="AB28" s="105">
        <v>3344200</v>
      </c>
      <c r="AC28" s="12">
        <v>18.25</v>
      </c>
      <c r="AD28" s="2">
        <f t="shared" si="2"/>
        <v>1.129999999999999</v>
      </c>
      <c r="AE28" s="148">
        <f t="shared" si="3"/>
        <v>3.1656302996042829E-2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42422</v>
      </c>
      <c r="X29" s="12">
        <v>17.190000000000001</v>
      </c>
      <c r="Y29" s="12">
        <v>17.899999999999999</v>
      </c>
      <c r="Z29" s="12">
        <v>17.190000000000001</v>
      </c>
      <c r="AA29" s="12">
        <v>17.690000000000001</v>
      </c>
      <c r="AB29" s="105">
        <v>2137500</v>
      </c>
      <c r="AC29" s="12">
        <v>17.690000000000001</v>
      </c>
      <c r="AD29" s="2">
        <f t="shared" si="2"/>
        <v>0.7099999999999973</v>
      </c>
      <c r="AE29" s="148">
        <f t="shared" si="3"/>
        <v>3.9976484420928937E-2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42419</v>
      </c>
      <c r="X30" s="12">
        <v>16.79</v>
      </c>
      <c r="Y30" s="12">
        <v>17.04</v>
      </c>
      <c r="Z30" s="12">
        <v>16.41</v>
      </c>
      <c r="AA30" s="12">
        <v>17.010000000000002</v>
      </c>
      <c r="AB30" s="105">
        <v>1766600</v>
      </c>
      <c r="AC30" s="12">
        <v>17.010000000000002</v>
      </c>
      <c r="AD30" s="2">
        <f t="shared" si="2"/>
        <v>0.62999999999999901</v>
      </c>
      <c r="AE30" s="148">
        <f t="shared" si="3"/>
        <v>-5.8754406580485696E-4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42418</v>
      </c>
      <c r="X31" s="12">
        <v>17.260000000000002</v>
      </c>
      <c r="Y31" s="12">
        <v>17.329999999999998</v>
      </c>
      <c r="Z31" s="12">
        <v>16.809999999999999</v>
      </c>
      <c r="AA31" s="12">
        <v>17.02</v>
      </c>
      <c r="AB31" s="105">
        <v>1577000</v>
      </c>
      <c r="AC31" s="12">
        <v>17.02</v>
      </c>
      <c r="AD31" s="2">
        <f t="shared" si="2"/>
        <v>0.51999999999999957</v>
      </c>
      <c r="AE31" s="148">
        <f t="shared" si="3"/>
        <v>-2.5200458190148933E-2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42417</v>
      </c>
      <c r="X32" s="12">
        <v>16.98</v>
      </c>
      <c r="Y32" s="12">
        <v>17.46</v>
      </c>
      <c r="Z32" s="12">
        <v>16.87</v>
      </c>
      <c r="AA32" s="12">
        <v>17.46</v>
      </c>
      <c r="AB32" s="105">
        <v>2373000</v>
      </c>
      <c r="AC32" s="12">
        <v>17.46</v>
      </c>
      <c r="AD32" s="2">
        <f t="shared" si="2"/>
        <v>0.58999999999999986</v>
      </c>
      <c r="AE32" s="148">
        <f t="shared" si="3"/>
        <v>4.3634190077704638E-2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42416</v>
      </c>
      <c r="X33" s="12">
        <v>16.39</v>
      </c>
      <c r="Y33" s="12">
        <v>16.84</v>
      </c>
      <c r="Z33" s="12">
        <v>16.149999999999999</v>
      </c>
      <c r="AA33" s="12">
        <v>16.73</v>
      </c>
      <c r="AB33" s="105">
        <v>1301100</v>
      </c>
      <c r="AC33" s="12">
        <v>16.73</v>
      </c>
      <c r="AD33" s="2">
        <f t="shared" si="2"/>
        <v>0.69000000000000128</v>
      </c>
      <c r="AE33" s="148">
        <f t="shared" si="3"/>
        <v>4.0422885572139355E-2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42412</v>
      </c>
      <c r="X34" s="12">
        <v>15.73</v>
      </c>
      <c r="Y34" s="12">
        <v>16.16</v>
      </c>
      <c r="Z34" s="12">
        <v>15.41</v>
      </c>
      <c r="AA34" s="12">
        <v>16.079999999999998</v>
      </c>
      <c r="AB34" s="105">
        <v>1019400</v>
      </c>
      <c r="AC34" s="12">
        <v>16.079999999999998</v>
      </c>
      <c r="AD34" s="2">
        <f t="shared" si="2"/>
        <v>0.75</v>
      </c>
      <c r="AE34" s="148">
        <f t="shared" si="3"/>
        <v>3.7419354838709618E-2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42411</v>
      </c>
      <c r="X35" s="12">
        <v>15.77</v>
      </c>
      <c r="Y35" s="12">
        <v>15.99</v>
      </c>
      <c r="Z35" s="12">
        <v>15.21</v>
      </c>
      <c r="AA35" s="12">
        <v>15.5</v>
      </c>
      <c r="AB35" s="105">
        <v>1553300</v>
      </c>
      <c r="AC35" s="12">
        <v>15.5</v>
      </c>
      <c r="AD35" s="2">
        <f t="shared" si="2"/>
        <v>0.77999999999999936</v>
      </c>
      <c r="AE35" s="148">
        <f t="shared" si="3"/>
        <v>-2.3929471032745675E-2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42410</v>
      </c>
      <c r="X36" s="12">
        <v>15.66</v>
      </c>
      <c r="Y36" s="12">
        <v>16.760000000000002</v>
      </c>
      <c r="Z36" s="12">
        <v>15.51</v>
      </c>
      <c r="AA36" s="12">
        <v>15.88</v>
      </c>
      <c r="AB36" s="105">
        <v>2688100</v>
      </c>
      <c r="AC36" s="12">
        <v>15.88</v>
      </c>
      <c r="AD36" s="2">
        <f t="shared" si="2"/>
        <v>1.2500000000000018</v>
      </c>
      <c r="AE36" s="148">
        <f t="shared" si="3"/>
        <v>1.5345268542199531E-2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42409</v>
      </c>
      <c r="X37" s="12">
        <v>16.04</v>
      </c>
      <c r="Y37" s="12">
        <v>16.36</v>
      </c>
      <c r="Z37" s="12">
        <v>15.26</v>
      </c>
      <c r="AA37" s="12">
        <v>15.64</v>
      </c>
      <c r="AB37" s="105">
        <v>2569200</v>
      </c>
      <c r="AC37" s="12">
        <v>15.64</v>
      </c>
      <c r="AD37" s="2">
        <f t="shared" si="2"/>
        <v>1.0999999999999996</v>
      </c>
      <c r="AE37" s="148">
        <f t="shared" si="3"/>
        <v>-3.5163479333744641E-2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42408</v>
      </c>
      <c r="X38" s="12">
        <v>17.170000000000002</v>
      </c>
      <c r="Y38" s="12">
        <v>17.25</v>
      </c>
      <c r="Z38" s="12">
        <v>15.75</v>
      </c>
      <c r="AA38" s="12">
        <v>16.21</v>
      </c>
      <c r="AB38" s="105">
        <v>3227500</v>
      </c>
      <c r="AC38" s="12">
        <v>16.21</v>
      </c>
      <c r="AD38" s="2">
        <f t="shared" si="2"/>
        <v>1.5</v>
      </c>
      <c r="AE38" s="148">
        <f t="shared" si="3"/>
        <v>-6.9460390355912782E-2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42405</v>
      </c>
      <c r="X39" s="12">
        <v>18.36</v>
      </c>
      <c r="Y39" s="12">
        <v>18.36</v>
      </c>
      <c r="Z39" s="12">
        <v>17.41</v>
      </c>
      <c r="AA39" s="12">
        <v>17.420000000000002</v>
      </c>
      <c r="AB39" s="105">
        <v>2180200</v>
      </c>
      <c r="AC39" s="12">
        <v>17.420000000000002</v>
      </c>
      <c r="AD39" s="2">
        <f t="shared" si="2"/>
        <v>0.94999999999999929</v>
      </c>
      <c r="AE39" s="148">
        <f t="shared" si="3"/>
        <v>-5.8887088060507797E-2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42404</v>
      </c>
      <c r="X40" s="12">
        <v>18.25</v>
      </c>
      <c r="Y40" s="12">
        <v>19.170000000000002</v>
      </c>
      <c r="Z40" s="12">
        <v>18.079999999999998</v>
      </c>
      <c r="AA40" s="12">
        <v>18.510000000000002</v>
      </c>
      <c r="AB40" s="105">
        <v>1483600</v>
      </c>
      <c r="AC40" s="12">
        <v>18.510000000000002</v>
      </c>
      <c r="AD40" s="2">
        <f t="shared" si="2"/>
        <v>1.0900000000000034</v>
      </c>
      <c r="AE40" s="148">
        <f t="shared" si="3"/>
        <v>-3.2310177705976439E-3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42403</v>
      </c>
      <c r="X41" s="12">
        <v>18.399999999999999</v>
      </c>
      <c r="Y41" s="12">
        <v>18.75</v>
      </c>
      <c r="Z41" s="12">
        <v>17.760000000000002</v>
      </c>
      <c r="AA41" s="12">
        <v>18.57</v>
      </c>
      <c r="AB41" s="105">
        <v>2737700</v>
      </c>
      <c r="AC41" s="12">
        <v>18.57</v>
      </c>
      <c r="AD41" s="2">
        <f t="shared" si="2"/>
        <v>0.98999999999999844</v>
      </c>
      <c r="AE41" s="148">
        <f t="shared" si="3"/>
        <v>1.1437908496731986E-2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42402</v>
      </c>
      <c r="X42" s="12">
        <v>18.649999999999999</v>
      </c>
      <c r="Y42" s="12">
        <v>18.95</v>
      </c>
      <c r="Z42" s="12">
        <v>18</v>
      </c>
      <c r="AA42" s="12">
        <v>18.36</v>
      </c>
      <c r="AB42" s="105">
        <v>4078900</v>
      </c>
      <c r="AC42" s="12">
        <v>18.36</v>
      </c>
      <c r="AD42" s="2">
        <f t="shared" si="2"/>
        <v>0.94999999999999929</v>
      </c>
      <c r="AE42" s="148">
        <f t="shared" si="3"/>
        <v>2.857142857142847E-2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42401</v>
      </c>
      <c r="X43" s="12">
        <v>17.63</v>
      </c>
      <c r="Y43" s="12">
        <v>18.04</v>
      </c>
      <c r="Z43" s="12">
        <v>17.350000000000001</v>
      </c>
      <c r="AA43" s="12">
        <v>17.850000000000001</v>
      </c>
      <c r="AB43" s="105">
        <v>2516800</v>
      </c>
      <c r="AC43" s="12">
        <v>17.850000000000001</v>
      </c>
      <c r="AD43" s="2">
        <f t="shared" si="2"/>
        <v>0.68999999999999773</v>
      </c>
      <c r="AE43" s="148">
        <f t="shared" si="3"/>
        <v>2.2459292532286401E-3</v>
      </c>
    </row>
    <row r="44" spans="2:31" ht="20.25" thickBot="1" x14ac:dyDescent="0.35">
      <c r="O44" s="420" t="s">
        <v>78</v>
      </c>
      <c r="P44" s="420"/>
      <c r="T44" s="101" t="s">
        <v>116</v>
      </c>
      <c r="W44" s="143">
        <v>42398</v>
      </c>
      <c r="X44" s="12">
        <v>17.13</v>
      </c>
      <c r="Y44" s="12">
        <v>17.82</v>
      </c>
      <c r="Z44" s="12">
        <v>17.09</v>
      </c>
      <c r="AA44" s="12">
        <v>17.809999999999999</v>
      </c>
      <c r="AB44" s="105">
        <v>2127400</v>
      </c>
      <c r="AC44" s="12">
        <v>17.809999999999999</v>
      </c>
      <c r="AD44" s="2">
        <f t="shared" si="2"/>
        <v>0.73000000000000043</v>
      </c>
      <c r="AE44" s="148">
        <f t="shared" si="3"/>
        <v>4.2129900526623798E-2</v>
      </c>
    </row>
    <row r="45" spans="2:31" ht="15.75" thickTop="1" x14ac:dyDescent="0.25">
      <c r="O45" s="93">
        <v>1.1000000000000001</v>
      </c>
      <c r="P45" s="93">
        <f>O45*$Q$4</f>
        <v>28.358000000000004</v>
      </c>
      <c r="Q45" s="2"/>
      <c r="T45" s="138" t="s">
        <v>101</v>
      </c>
      <c r="U45" s="108">
        <v>25.52</v>
      </c>
      <c r="W45" s="143">
        <v>42397</v>
      </c>
      <c r="X45" s="12">
        <v>17.239999999999998</v>
      </c>
      <c r="Y45" s="12">
        <v>17.29</v>
      </c>
      <c r="Z45" s="12">
        <v>16.84</v>
      </c>
      <c r="AA45" s="12">
        <v>17.09</v>
      </c>
      <c r="AB45" s="105">
        <v>1283600</v>
      </c>
      <c r="AC45" s="12">
        <v>17.09</v>
      </c>
      <c r="AD45" s="2">
        <f t="shared" si="2"/>
        <v>0.44999999999999929</v>
      </c>
      <c r="AE45" s="148">
        <f t="shared" si="3"/>
        <v>5.2941176470588935E-3</v>
      </c>
    </row>
    <row r="46" spans="2:31" x14ac:dyDescent="0.25">
      <c r="O46" s="93">
        <v>1.0900000000000001</v>
      </c>
      <c r="P46" s="93">
        <f t="shared" ref="P46:P65" si="7">O46*$Q$4</f>
        <v>28.100200000000005</v>
      </c>
      <c r="Q46" s="2"/>
      <c r="T46" s="103" t="s">
        <v>102</v>
      </c>
      <c r="U46" s="98" t="s">
        <v>134</v>
      </c>
      <c r="W46" s="143">
        <v>42396</v>
      </c>
      <c r="X46" s="12">
        <v>16.850000000000001</v>
      </c>
      <c r="Y46" s="12">
        <v>17.559999999999999</v>
      </c>
      <c r="Z46" s="12">
        <v>16.61</v>
      </c>
      <c r="AA46" s="12">
        <v>17</v>
      </c>
      <c r="AB46" s="105">
        <v>1625400</v>
      </c>
      <c r="AC46" s="12">
        <v>17</v>
      </c>
      <c r="AD46" s="2">
        <f t="shared" si="2"/>
        <v>0.94999999999999929</v>
      </c>
      <c r="AE46" s="148">
        <f t="shared" si="3"/>
        <v>-2.3474178403755097E-3</v>
      </c>
    </row>
    <row r="47" spans="2:31" x14ac:dyDescent="0.25">
      <c r="O47" s="93">
        <v>1.08</v>
      </c>
      <c r="P47" s="93">
        <f t="shared" si="7"/>
        <v>27.842400000000001</v>
      </c>
      <c r="Q47" s="2"/>
      <c r="T47" s="103" t="s">
        <v>103</v>
      </c>
      <c r="U47" s="98" t="s">
        <v>134</v>
      </c>
      <c r="W47" s="143">
        <v>42395</v>
      </c>
      <c r="X47" s="12">
        <v>16.84</v>
      </c>
      <c r="Y47" s="12">
        <v>17.239999999999998</v>
      </c>
      <c r="Z47" s="12">
        <v>16.37</v>
      </c>
      <c r="AA47" s="12">
        <v>17.04</v>
      </c>
      <c r="AB47" s="105">
        <v>2470900</v>
      </c>
      <c r="AC47" s="12">
        <v>17.04</v>
      </c>
      <c r="AD47" s="2">
        <f t="shared" si="2"/>
        <v>0.86999999999999744</v>
      </c>
      <c r="AE47" s="148">
        <f t="shared" si="3"/>
        <v>2.5270758122743597E-2</v>
      </c>
    </row>
    <row r="48" spans="2:31" x14ac:dyDescent="0.25">
      <c r="O48" s="93">
        <v>1.07</v>
      </c>
      <c r="P48" s="93">
        <f t="shared" si="7"/>
        <v>27.584600000000002</v>
      </c>
      <c r="Q48" s="2"/>
      <c r="T48" s="103" t="s">
        <v>104</v>
      </c>
      <c r="U48" s="98" t="s">
        <v>134</v>
      </c>
      <c r="W48" s="143">
        <v>42394</v>
      </c>
      <c r="X48" s="12">
        <v>16.2</v>
      </c>
      <c r="Y48" s="12">
        <v>16.93</v>
      </c>
      <c r="Z48" s="12">
        <v>15.97</v>
      </c>
      <c r="AA48" s="12">
        <v>16.62</v>
      </c>
      <c r="AB48" s="105">
        <v>3229800</v>
      </c>
      <c r="AC48" s="12">
        <v>16.62</v>
      </c>
      <c r="AD48" s="2">
        <f t="shared" si="2"/>
        <v>0.95999999999999908</v>
      </c>
      <c r="AE48" s="148">
        <f t="shared" si="3"/>
        <v>3.7453183520599342E-2</v>
      </c>
    </row>
    <row r="49" spans="15:31" x14ac:dyDescent="0.25">
      <c r="O49" s="93">
        <v>1.06</v>
      </c>
      <c r="P49" s="93">
        <f t="shared" si="7"/>
        <v>27.326800000000002</v>
      </c>
      <c r="Q49" s="2"/>
      <c r="T49" s="103" t="s">
        <v>105</v>
      </c>
      <c r="U49" s="98">
        <v>26</v>
      </c>
      <c r="W49" s="143">
        <v>42391</v>
      </c>
      <c r="X49" s="12">
        <v>16.239999999999998</v>
      </c>
      <c r="Y49" s="12">
        <v>16.48</v>
      </c>
      <c r="Z49" s="12">
        <v>15.78</v>
      </c>
      <c r="AA49" s="12">
        <v>16.02</v>
      </c>
      <c r="AB49" s="105">
        <v>2178400</v>
      </c>
      <c r="AC49" s="12">
        <v>16.02</v>
      </c>
      <c r="AD49" s="2">
        <f t="shared" si="2"/>
        <v>0.70000000000000107</v>
      </c>
      <c r="AE49" s="148">
        <f t="shared" si="3"/>
        <v>8.8161209068009505E-3</v>
      </c>
    </row>
    <row r="50" spans="15:31" x14ac:dyDescent="0.25">
      <c r="O50" s="93">
        <v>1.05</v>
      </c>
      <c r="P50" s="93">
        <f t="shared" si="7"/>
        <v>27.069000000000003</v>
      </c>
      <c r="Q50" s="2"/>
      <c r="T50" s="103" t="s">
        <v>106</v>
      </c>
      <c r="U50" s="98">
        <v>1.0510600000000001</v>
      </c>
      <c r="W50" s="143">
        <v>42390</v>
      </c>
      <c r="X50" s="12">
        <v>15.73</v>
      </c>
      <c r="Y50" s="12">
        <v>16.350000000000001</v>
      </c>
      <c r="Z50" s="12">
        <v>15.55</v>
      </c>
      <c r="AA50" s="12">
        <v>15.88</v>
      </c>
      <c r="AB50" s="105">
        <v>3821300</v>
      </c>
      <c r="AC50" s="12">
        <v>15.88</v>
      </c>
      <c r="AD50" s="2">
        <f t="shared" si="2"/>
        <v>0.80000000000000071</v>
      </c>
      <c r="AE50" s="148">
        <f t="shared" si="3"/>
        <v>6.3371356147021718E-3</v>
      </c>
    </row>
    <row r="51" spans="15:31" x14ac:dyDescent="0.25">
      <c r="O51" s="93">
        <v>1.04</v>
      </c>
      <c r="P51" s="93">
        <f t="shared" si="7"/>
        <v>26.811200000000003</v>
      </c>
      <c r="Q51" s="2"/>
      <c r="T51" s="103" t="s">
        <v>126</v>
      </c>
      <c r="U51" s="98" t="s">
        <v>252</v>
      </c>
      <c r="W51" s="143">
        <v>42389</v>
      </c>
      <c r="X51" s="12">
        <v>15.43</v>
      </c>
      <c r="Y51" s="12">
        <v>16.079999999999998</v>
      </c>
      <c r="Z51" s="12">
        <v>15.1</v>
      </c>
      <c r="AA51" s="12">
        <v>15.78</v>
      </c>
      <c r="AB51" s="105">
        <v>3859700</v>
      </c>
      <c r="AC51" s="12">
        <v>15.78</v>
      </c>
      <c r="AD51" s="2">
        <f t="shared" si="2"/>
        <v>0.97999999999999865</v>
      </c>
      <c r="AE51" s="148">
        <f t="shared" si="3"/>
        <v>5.0955414012738842E-3</v>
      </c>
    </row>
    <row r="52" spans="15:31" x14ac:dyDescent="0.25">
      <c r="O52" s="93">
        <v>1.03</v>
      </c>
      <c r="P52" s="93">
        <f t="shared" si="7"/>
        <v>26.553400000000003</v>
      </c>
      <c r="Q52" s="2"/>
      <c r="T52" s="103"/>
      <c r="U52" s="98"/>
      <c r="W52" s="143">
        <v>42388</v>
      </c>
      <c r="X52" s="12">
        <v>16.260000000000002</v>
      </c>
      <c r="Y52" s="12">
        <v>16.37</v>
      </c>
      <c r="Z52" s="12">
        <v>15.52</v>
      </c>
      <c r="AA52" s="12">
        <v>15.7</v>
      </c>
      <c r="AB52" s="105">
        <v>3086200</v>
      </c>
      <c r="AC52" s="12">
        <v>15.7</v>
      </c>
      <c r="AD52" s="2">
        <f t="shared" si="2"/>
        <v>0.85000000000000142</v>
      </c>
      <c r="AE52" s="148">
        <f t="shared" si="3"/>
        <v>-2.4844720496894568E-2</v>
      </c>
    </row>
    <row r="53" spans="15:31" x14ac:dyDescent="0.25">
      <c r="O53" s="93">
        <v>1.02</v>
      </c>
      <c r="P53" s="93">
        <f t="shared" si="7"/>
        <v>26.2956</v>
      </c>
      <c r="Q53" s="2"/>
      <c r="T53" s="103" t="s">
        <v>108</v>
      </c>
      <c r="U53" s="98" t="s">
        <v>302</v>
      </c>
      <c r="W53" s="143">
        <v>42384</v>
      </c>
      <c r="X53" s="12">
        <v>15.99</v>
      </c>
      <c r="Y53" s="12">
        <v>16.37</v>
      </c>
      <c r="Z53" s="12">
        <v>15.67</v>
      </c>
      <c r="AA53" s="12">
        <v>16.100000000000001</v>
      </c>
      <c r="AB53" s="105">
        <v>2542700</v>
      </c>
      <c r="AC53" s="12">
        <v>16.100000000000001</v>
      </c>
      <c r="AD53" s="2">
        <f t="shared" si="2"/>
        <v>0.70000000000000107</v>
      </c>
      <c r="AE53" s="148">
        <f t="shared" si="3"/>
        <v>-1.8890920170627545E-2</v>
      </c>
    </row>
    <row r="54" spans="15:31" x14ac:dyDescent="0.25">
      <c r="O54" s="93">
        <v>1.01</v>
      </c>
      <c r="P54" s="93">
        <f t="shared" si="7"/>
        <v>26.037800000000001</v>
      </c>
      <c r="Q54" s="2"/>
      <c r="T54" s="103" t="s">
        <v>109</v>
      </c>
      <c r="U54" s="98" t="s">
        <v>253</v>
      </c>
      <c r="W54" s="143">
        <v>42383</v>
      </c>
      <c r="X54" s="12">
        <v>16.27</v>
      </c>
      <c r="Y54" s="12">
        <v>16.71</v>
      </c>
      <c r="Z54" s="12">
        <v>15.68</v>
      </c>
      <c r="AA54" s="12">
        <v>16.41</v>
      </c>
      <c r="AB54" s="105">
        <v>1552800</v>
      </c>
      <c r="AC54" s="12">
        <v>16.41</v>
      </c>
      <c r="AD54" s="2">
        <f t="shared" si="2"/>
        <v>1.0300000000000011</v>
      </c>
      <c r="AE54" s="148">
        <f t="shared" si="3"/>
        <v>1.0467980295566504E-2</v>
      </c>
    </row>
    <row r="55" spans="15:31" x14ac:dyDescent="0.25">
      <c r="O55" s="93">
        <v>1</v>
      </c>
      <c r="P55" s="93">
        <f t="shared" si="7"/>
        <v>25.78</v>
      </c>
      <c r="Q55" s="2"/>
      <c r="T55" s="103" t="s">
        <v>110</v>
      </c>
      <c r="U55" s="100">
        <v>0</v>
      </c>
      <c r="W55" s="143">
        <v>42382</v>
      </c>
      <c r="X55" s="12">
        <v>16.79</v>
      </c>
      <c r="Y55" s="12">
        <v>17.07</v>
      </c>
      <c r="Z55" s="12">
        <v>16.13</v>
      </c>
      <c r="AA55" s="12">
        <v>16.239999999999998</v>
      </c>
      <c r="AB55" s="105">
        <v>1967700</v>
      </c>
      <c r="AC55" s="12">
        <v>16.239999999999998</v>
      </c>
      <c r="AD55" s="2">
        <f t="shared" si="2"/>
        <v>0.94000000000000128</v>
      </c>
      <c r="AE55" s="148">
        <f t="shared" si="3"/>
        <v>-2.9288702928870425E-2</v>
      </c>
    </row>
    <row r="56" spans="15:31" x14ac:dyDescent="0.25">
      <c r="O56" s="93">
        <v>0.99</v>
      </c>
      <c r="P56" s="93">
        <f t="shared" si="7"/>
        <v>25.522200000000002</v>
      </c>
      <c r="Q56" s="2"/>
      <c r="T56" s="103" t="s">
        <v>113</v>
      </c>
      <c r="U56" s="100">
        <v>2721690</v>
      </c>
      <c r="W56" s="143">
        <v>42381</v>
      </c>
      <c r="X56" s="12">
        <v>16.489999999999998</v>
      </c>
      <c r="Y56" s="12">
        <v>16.91</v>
      </c>
      <c r="Z56" s="12">
        <v>16.399999999999999</v>
      </c>
      <c r="AA56" s="12">
        <v>16.73</v>
      </c>
      <c r="AB56" s="105">
        <v>3124500</v>
      </c>
      <c r="AC56" s="12">
        <v>16.73</v>
      </c>
      <c r="AD56" s="2">
        <f t="shared" si="2"/>
        <v>0.51000000000000156</v>
      </c>
      <c r="AE56" s="148">
        <f t="shared" si="3"/>
        <v>3.2078963602714339E-2</v>
      </c>
    </row>
    <row r="57" spans="15:31" x14ac:dyDescent="0.25">
      <c r="O57" s="93">
        <v>0.98</v>
      </c>
      <c r="P57" s="93">
        <f t="shared" si="7"/>
        <v>25.264400000000002</v>
      </c>
      <c r="Q57" s="2"/>
      <c r="T57" s="103" t="s">
        <v>111</v>
      </c>
      <c r="U57" s="98" t="s">
        <v>329</v>
      </c>
      <c r="W57" s="143">
        <v>42380</v>
      </c>
      <c r="X57" s="12">
        <v>16.66</v>
      </c>
      <c r="Y57" s="12">
        <v>16.760000000000002</v>
      </c>
      <c r="Z57" s="12">
        <v>16.010000000000002</v>
      </c>
      <c r="AA57" s="12">
        <v>16.21</v>
      </c>
      <c r="AB57" s="105">
        <v>1863500</v>
      </c>
      <c r="AC57" s="12">
        <v>16.21</v>
      </c>
      <c r="AD57" s="2">
        <f t="shared" si="2"/>
        <v>0.75</v>
      </c>
      <c r="AE57" s="148">
        <f t="shared" si="3"/>
        <v>-2.0543806646525664E-2</v>
      </c>
    </row>
    <row r="58" spans="15:31" x14ac:dyDescent="0.25">
      <c r="O58" s="93">
        <v>0.97</v>
      </c>
      <c r="P58" s="93">
        <f t="shared" si="7"/>
        <v>25.006599999999999</v>
      </c>
      <c r="T58" s="103" t="s">
        <v>114</v>
      </c>
      <c r="U58" s="98">
        <v>39.69</v>
      </c>
      <c r="W58" s="143">
        <v>42377</v>
      </c>
      <c r="X58" s="12">
        <v>17.28</v>
      </c>
      <c r="Y58" s="12">
        <v>17.32</v>
      </c>
      <c r="Z58" s="12">
        <v>16.440000000000001</v>
      </c>
      <c r="AA58" s="12">
        <v>16.55</v>
      </c>
      <c r="AB58" s="105">
        <v>3105300</v>
      </c>
      <c r="AC58" s="12">
        <v>16.55</v>
      </c>
      <c r="AD58" s="2">
        <f t="shared" si="2"/>
        <v>0.87999999999999901</v>
      </c>
      <c r="AE58" s="148">
        <f t="shared" si="3"/>
        <v>-3.7230948225712601E-2</v>
      </c>
    </row>
    <row r="59" spans="15:31" x14ac:dyDescent="0.25">
      <c r="O59" s="93">
        <v>0.96</v>
      </c>
      <c r="P59" s="93">
        <f t="shared" si="7"/>
        <v>24.748799999999999</v>
      </c>
      <c r="T59" s="103" t="s">
        <v>115</v>
      </c>
      <c r="U59" s="98">
        <v>0.64</v>
      </c>
      <c r="W59" s="143">
        <v>42376</v>
      </c>
      <c r="X59" s="12">
        <v>17.100000000000001</v>
      </c>
      <c r="Y59" s="12">
        <v>17.66</v>
      </c>
      <c r="Z59" s="12">
        <v>17.03</v>
      </c>
      <c r="AA59" s="12">
        <v>17.190000000000001</v>
      </c>
      <c r="AB59" s="105">
        <v>3502700</v>
      </c>
      <c r="AC59" s="12">
        <v>17.190000000000001</v>
      </c>
      <c r="AD59" s="2">
        <f t="shared" si="2"/>
        <v>0.62999999999999901</v>
      </c>
      <c r="AE59" s="148">
        <f t="shared" si="3"/>
        <v>-1.4334862385321112E-2</v>
      </c>
    </row>
    <row r="60" spans="15:31" x14ac:dyDescent="0.25">
      <c r="O60" s="93">
        <v>0.95</v>
      </c>
      <c r="P60" s="93">
        <f t="shared" si="7"/>
        <v>24.491</v>
      </c>
      <c r="T60" s="103" t="s">
        <v>112</v>
      </c>
      <c r="U60" s="98" t="s">
        <v>127</v>
      </c>
      <c r="W60" s="143">
        <v>42375</v>
      </c>
      <c r="X60" s="12">
        <v>17.53</v>
      </c>
      <c r="Y60" s="12">
        <v>17.87</v>
      </c>
      <c r="Z60" s="12">
        <v>17.25</v>
      </c>
      <c r="AA60" s="12">
        <v>17.440000000000001</v>
      </c>
      <c r="AB60" s="105">
        <v>2032800</v>
      </c>
      <c r="AC60" s="12">
        <v>17.440000000000001</v>
      </c>
      <c r="AD60" s="2">
        <f t="shared" si="2"/>
        <v>0.62000000000000099</v>
      </c>
      <c r="AE60" s="148">
        <f t="shared" si="3"/>
        <v>-2.187324733595053E-2</v>
      </c>
    </row>
    <row r="61" spans="15:31" x14ac:dyDescent="0.25">
      <c r="O61" s="93">
        <v>0.94</v>
      </c>
      <c r="P61" s="93">
        <f t="shared" si="7"/>
        <v>24.2332</v>
      </c>
      <c r="W61" s="143">
        <v>42374</v>
      </c>
      <c r="X61" s="12">
        <v>17.920000000000002</v>
      </c>
      <c r="Y61" s="12">
        <v>18</v>
      </c>
      <c r="Z61" s="12">
        <v>17.260000000000002</v>
      </c>
      <c r="AA61" s="12">
        <v>17.829999999999998</v>
      </c>
      <c r="AB61" s="105">
        <v>2730100</v>
      </c>
      <c r="AC61" s="12">
        <v>17.829999999999998</v>
      </c>
      <c r="AD61" s="2">
        <f t="shared" si="2"/>
        <v>0.73999999999999844</v>
      </c>
      <c r="AE61" s="148">
        <f t="shared" si="3"/>
        <v>-5.0223214285716189E-3</v>
      </c>
    </row>
    <row r="62" spans="15:31" x14ac:dyDescent="0.25">
      <c r="O62" s="93">
        <v>0.93</v>
      </c>
      <c r="P62" s="93">
        <f t="shared" si="7"/>
        <v>23.975400000000004</v>
      </c>
      <c r="W62" s="143">
        <v>42373</v>
      </c>
      <c r="X62" s="12">
        <v>17.309999999999999</v>
      </c>
      <c r="Y62" s="12">
        <v>17.96</v>
      </c>
      <c r="Z62" s="12">
        <v>17.16</v>
      </c>
      <c r="AA62" s="12">
        <v>17.920000000000002</v>
      </c>
      <c r="AB62" s="105">
        <v>2686600</v>
      </c>
      <c r="AC62" s="12">
        <v>17.920000000000002</v>
      </c>
      <c r="AD62" s="2">
        <f t="shared" si="2"/>
        <v>0.80000000000000071</v>
      </c>
      <c r="AE62" s="148">
        <f t="shared" si="3"/>
        <v>8.4411930219472353E-3</v>
      </c>
    </row>
    <row r="63" spans="15:31" x14ac:dyDescent="0.25">
      <c r="O63" s="93">
        <v>0.92</v>
      </c>
      <c r="P63" s="93">
        <f t="shared" si="7"/>
        <v>23.717600000000001</v>
      </c>
      <c r="W63" s="143">
        <v>42369</v>
      </c>
      <c r="X63" s="12">
        <v>17.37</v>
      </c>
      <c r="Y63" s="12">
        <v>17.93</v>
      </c>
      <c r="Z63" s="12">
        <v>17.3</v>
      </c>
      <c r="AA63" s="12">
        <v>17.77</v>
      </c>
      <c r="AB63" s="105">
        <v>1930800</v>
      </c>
      <c r="AC63" s="12">
        <v>17.77</v>
      </c>
      <c r="AD63" s="2">
        <f t="shared" si="2"/>
        <v>0.62999999999999901</v>
      </c>
      <c r="AE63" s="148">
        <f t="shared" si="3"/>
        <v>1.8338108882521409E-2</v>
      </c>
    </row>
    <row r="64" spans="15:31" x14ac:dyDescent="0.25">
      <c r="O64" s="93">
        <v>0.91</v>
      </c>
      <c r="P64" s="93">
        <f t="shared" si="7"/>
        <v>23.459800000000001</v>
      </c>
      <c r="W64" s="143">
        <v>42368</v>
      </c>
      <c r="X64" s="12">
        <v>17.63</v>
      </c>
      <c r="Y64" s="12">
        <v>17.739999999999998</v>
      </c>
      <c r="Z64" s="12">
        <v>17.38</v>
      </c>
      <c r="AA64" s="12">
        <v>17.45</v>
      </c>
      <c r="AB64" s="105">
        <v>1190100</v>
      </c>
      <c r="AC64" s="12">
        <v>17.45</v>
      </c>
      <c r="AD64" s="2">
        <f t="shared" si="2"/>
        <v>0.35999999999999943</v>
      </c>
      <c r="AE64" s="148">
        <f t="shared" si="3"/>
        <v>-1.5792442188381384E-2</v>
      </c>
    </row>
    <row r="65" spans="15:31" x14ac:dyDescent="0.25">
      <c r="O65" s="93">
        <v>0.9</v>
      </c>
      <c r="P65" s="93">
        <f t="shared" si="7"/>
        <v>23.202000000000002</v>
      </c>
      <c r="W65" s="143">
        <v>42367</v>
      </c>
      <c r="X65" s="12">
        <v>17.29</v>
      </c>
      <c r="Y65" s="12">
        <v>17.79</v>
      </c>
      <c r="Z65" s="12">
        <v>17.29</v>
      </c>
      <c r="AA65" s="12">
        <v>17.73</v>
      </c>
      <c r="AB65" s="105">
        <v>1701200</v>
      </c>
      <c r="AC65" s="12">
        <v>17.73</v>
      </c>
      <c r="AD65" s="2">
        <f t="shared" si="2"/>
        <v>0.5</v>
      </c>
      <c r="AE65" s="148">
        <f t="shared" si="3"/>
        <v>3.3216783216783341E-2</v>
      </c>
    </row>
    <row r="66" spans="15:31" x14ac:dyDescent="0.25">
      <c r="O66" s="37"/>
      <c r="W66" s="143">
        <v>42366</v>
      </c>
      <c r="X66" s="12">
        <v>17.57</v>
      </c>
      <c r="Y66" s="12">
        <v>17.649999999999999</v>
      </c>
      <c r="Z66" s="12">
        <v>17.059999999999999</v>
      </c>
      <c r="AA66" s="12">
        <v>17.16</v>
      </c>
      <c r="AB66" s="105">
        <v>1387600</v>
      </c>
      <c r="AC66" s="12">
        <v>17.16</v>
      </c>
      <c r="AD66" s="2">
        <f t="shared" si="2"/>
        <v>0.58999999999999986</v>
      </c>
      <c r="AE66" s="148">
        <f t="shared" si="3"/>
        <v>-2.5000000000000022E-2</v>
      </c>
    </row>
    <row r="67" spans="15:31" x14ac:dyDescent="0.25">
      <c r="W67" s="143">
        <v>42362</v>
      </c>
      <c r="X67" s="12">
        <v>17.64</v>
      </c>
      <c r="Y67" s="12">
        <v>17.77</v>
      </c>
      <c r="Z67" s="12">
        <v>17.420000000000002</v>
      </c>
      <c r="AA67" s="12">
        <v>17.600000000000001</v>
      </c>
      <c r="AB67" s="105">
        <v>595300</v>
      </c>
      <c r="AC67" s="12">
        <v>17.600000000000001</v>
      </c>
      <c r="AD67" s="2">
        <f t="shared" ref="AD67:AD68" si="8">Y67-Z67</f>
        <v>0.34999999999999787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23" priority="30">
      <formula>Q7&gt;0</formula>
    </cfRule>
    <cfRule type="expression" dxfId="222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21" priority="23">
      <formula>F27&gt;0</formula>
    </cfRule>
    <cfRule type="expression" dxfId="220" priority="24">
      <formula>F27&lt;0</formula>
    </cfRule>
  </conditionalFormatting>
  <conditionalFormatting sqref="F29:F33">
    <cfRule type="expression" dxfId="219" priority="19">
      <formula>F29&gt;0</formula>
    </cfRule>
    <cfRule type="expression" dxfId="218" priority="20">
      <formula>F29&lt;0</formula>
    </cfRule>
  </conditionalFormatting>
  <conditionalFormatting sqref="F29:F32">
    <cfRule type="expression" dxfId="217" priority="21">
      <formula>F29&gt;0</formula>
    </cfRule>
    <cfRule type="expression" dxfId="216" priority="22">
      <formula>F29&lt;0</formula>
    </cfRule>
  </conditionalFormatting>
  <conditionalFormatting sqref="H27:H33">
    <cfRule type="expression" dxfId="215" priority="17">
      <formula>H27&gt;0</formula>
    </cfRule>
    <cfRule type="expression" dxfId="214" priority="18">
      <formula>H27&lt;0</formula>
    </cfRule>
  </conditionalFormatting>
  <conditionalFormatting sqref="F34">
    <cfRule type="expression" dxfId="213" priority="15">
      <formula>F34&gt;0</formula>
    </cfRule>
    <cfRule type="expression" dxfId="212" priority="16">
      <formula>F34&lt;0</formula>
    </cfRule>
  </conditionalFormatting>
  <conditionalFormatting sqref="H34">
    <cfRule type="expression" dxfId="211" priority="13">
      <formula>H34&gt;0</formula>
    </cfRule>
    <cfRule type="expression" dxfId="210" priority="14">
      <formula>H34&lt;0</formula>
    </cfRule>
  </conditionalFormatting>
  <conditionalFormatting sqref="F36:F43">
    <cfRule type="expression" dxfId="209" priority="11">
      <formula>F36&gt;0</formula>
    </cfRule>
    <cfRule type="expression" dxfId="208" priority="12">
      <formula>F36&lt;0</formula>
    </cfRule>
  </conditionalFormatting>
  <conditionalFormatting sqref="H36:H43">
    <cfRule type="expression" dxfId="207" priority="9">
      <formula>H36&gt;0</formula>
    </cfRule>
    <cfRule type="expression" dxfId="206" priority="10">
      <formula>H36&lt;0</formula>
    </cfRule>
  </conditionalFormatting>
  <conditionalFormatting sqref="F35">
    <cfRule type="expression" dxfId="205" priority="7">
      <formula>F35&gt;0</formula>
    </cfRule>
    <cfRule type="expression" dxfId="204" priority="8">
      <formula>F35&lt;0</formula>
    </cfRule>
  </conditionalFormatting>
  <conditionalFormatting sqref="H35">
    <cfRule type="expression" dxfId="203" priority="5">
      <formula>H35&gt;0</formula>
    </cfRule>
    <cfRule type="expression" dxfId="202" priority="6">
      <formula>H35&lt;0</formula>
    </cfRule>
  </conditionalFormatting>
  <conditionalFormatting sqref="F22:F26">
    <cfRule type="expression" dxfId="201" priority="3">
      <formula>F22&gt;0</formula>
    </cfRule>
    <cfRule type="expression" dxfId="200" priority="4">
      <formula>F22&lt;0</formula>
    </cfRule>
  </conditionalFormatting>
  <conditionalFormatting sqref="H22:H26">
    <cfRule type="expression" dxfId="199" priority="1">
      <formula>H22&gt;0</formula>
    </cfRule>
    <cfRule type="expression" dxfId="198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209</v>
      </c>
      <c r="B2" s="84">
        <v>42376</v>
      </c>
      <c r="C2" s="389">
        <v>60</v>
      </c>
      <c r="D2" s="388">
        <v>41.01</v>
      </c>
      <c r="E2" s="388">
        <v>0</v>
      </c>
      <c r="F2" s="388">
        <f>C2*D2</f>
        <v>2460.6</v>
      </c>
      <c r="G2" s="84">
        <v>42426</v>
      </c>
      <c r="H2" s="324">
        <v>20</v>
      </c>
      <c r="I2" s="325">
        <v>38.450000000000003</v>
      </c>
      <c r="J2" s="325">
        <v>0.02</v>
      </c>
      <c r="K2" s="325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42460</v>
      </c>
      <c r="X2" s="12">
        <v>44.44</v>
      </c>
      <c r="Y2" s="12">
        <v>44.6</v>
      </c>
      <c r="Z2" s="12">
        <v>44.16</v>
      </c>
      <c r="AA2" s="12">
        <v>44.29</v>
      </c>
      <c r="AB2" s="105">
        <v>6004400</v>
      </c>
      <c r="AC2" s="12">
        <v>44.29</v>
      </c>
      <c r="AD2" s="2">
        <f>Y2-Z2</f>
        <v>0.44000000000000483</v>
      </c>
      <c r="AE2" s="148">
        <f>AC2/AC3-1</f>
        <v>-1.8030200585981149E-3</v>
      </c>
    </row>
    <row r="3" spans="1:41" x14ac:dyDescent="0.25">
      <c r="A3" s="26" t="s">
        <v>71</v>
      </c>
      <c r="B3" s="84">
        <v>42403</v>
      </c>
      <c r="C3" s="326">
        <v>20</v>
      </c>
      <c r="D3" s="325">
        <v>35.5</v>
      </c>
      <c r="E3" s="325">
        <v>0</v>
      </c>
      <c r="F3" s="325">
        <f>C3*D3</f>
        <v>710</v>
      </c>
      <c r="G3" s="84">
        <v>42426</v>
      </c>
      <c r="H3" s="387">
        <v>30</v>
      </c>
      <c r="I3" s="388">
        <v>38.75</v>
      </c>
      <c r="J3" s="388">
        <v>0.03</v>
      </c>
      <c r="K3" s="388">
        <f>H3*I3-J3</f>
        <v>1162.47</v>
      </c>
      <c r="L3" s="4"/>
      <c r="O3" t="s">
        <v>58</v>
      </c>
      <c r="Q3" s="255">
        <f>IF(Q2=0, Q4, (F14-K14-M14)/Q2)</f>
        <v>45.54</v>
      </c>
      <c r="T3" s="1">
        <v>42312</v>
      </c>
      <c r="U3" t="s">
        <v>169</v>
      </c>
      <c r="W3" s="143">
        <v>42459</v>
      </c>
      <c r="X3" s="12">
        <v>45.08</v>
      </c>
      <c r="Y3" s="12">
        <v>45.57</v>
      </c>
      <c r="Z3" s="12">
        <v>44.3</v>
      </c>
      <c r="AA3" s="12">
        <v>44.37</v>
      </c>
      <c r="AB3" s="105">
        <v>8016000</v>
      </c>
      <c r="AC3" s="12">
        <v>44.37</v>
      </c>
      <c r="AD3" s="2">
        <f t="shared" ref="AD3:AD66" si="0">Y3-Z3</f>
        <v>1.2700000000000031</v>
      </c>
      <c r="AE3" s="148">
        <f t="shared" ref="AE3:AE66" si="1">AC3/AC4-1</f>
        <v>-1.2903225806451757E-2</v>
      </c>
      <c r="AL3" s="263"/>
      <c r="AO3" s="263"/>
    </row>
    <row r="4" spans="1:41" x14ac:dyDescent="0.25">
      <c r="B4" s="4"/>
      <c r="C4" s="4"/>
      <c r="D4" s="3"/>
      <c r="E4" s="3"/>
      <c r="F4" s="3"/>
      <c r="G4" s="84">
        <v>42447</v>
      </c>
      <c r="H4" s="387">
        <v>30</v>
      </c>
      <c r="I4" s="388">
        <v>43.3</v>
      </c>
      <c r="J4" s="388">
        <v>0.03</v>
      </c>
      <c r="K4" s="388">
        <f>H4*I4-J4</f>
        <v>1298.97</v>
      </c>
      <c r="L4" s="4"/>
      <c r="O4" t="s">
        <v>66</v>
      </c>
      <c r="Q4" s="221">
        <v>45.54</v>
      </c>
      <c r="W4" s="143">
        <v>42458</v>
      </c>
      <c r="X4" s="12">
        <v>43.94</v>
      </c>
      <c r="Y4" s="12">
        <v>44.98</v>
      </c>
      <c r="Z4" s="12">
        <v>43.76</v>
      </c>
      <c r="AA4" s="12">
        <v>44.95</v>
      </c>
      <c r="AB4" s="105">
        <v>5075200</v>
      </c>
      <c r="AC4" s="12">
        <v>44.95</v>
      </c>
      <c r="AD4" s="2">
        <f t="shared" si="0"/>
        <v>1.2199999999999989</v>
      </c>
      <c r="AE4" s="148">
        <f t="shared" si="1"/>
        <v>2.6021456288518596E-2</v>
      </c>
    </row>
    <row r="5" spans="1:41" x14ac:dyDescent="0.25">
      <c r="O5" t="s">
        <v>67</v>
      </c>
      <c r="Q5" s="3">
        <f>Q4*Q2</f>
        <v>0</v>
      </c>
      <c r="W5" s="143">
        <v>42457</v>
      </c>
      <c r="X5" s="12">
        <v>42.96</v>
      </c>
      <c r="Y5" s="12">
        <v>43.83</v>
      </c>
      <c r="Z5" s="12">
        <v>42.79</v>
      </c>
      <c r="AA5" s="12">
        <v>43.81</v>
      </c>
      <c r="AB5" s="105">
        <v>3341200</v>
      </c>
      <c r="AC5" s="12">
        <v>43.81</v>
      </c>
      <c r="AD5" s="2">
        <f t="shared" si="0"/>
        <v>1.0399999999999991</v>
      </c>
      <c r="AE5" s="148">
        <f t="shared" si="1"/>
        <v>1.9311307584923387E-2</v>
      </c>
    </row>
    <row r="6" spans="1:41" x14ac:dyDescent="0.25">
      <c r="O6" t="s">
        <v>64</v>
      </c>
      <c r="Q6" s="2">
        <f>Q3*Q2</f>
        <v>0</v>
      </c>
      <c r="W6" s="143">
        <v>42453</v>
      </c>
      <c r="X6" s="12">
        <v>42.8</v>
      </c>
      <c r="Y6" s="12">
        <v>43.47</v>
      </c>
      <c r="Z6" s="12">
        <v>42.72</v>
      </c>
      <c r="AA6" s="12">
        <v>42.98</v>
      </c>
      <c r="AB6" s="105">
        <v>3828800</v>
      </c>
      <c r="AC6" s="12">
        <v>42.98</v>
      </c>
      <c r="AD6" s="2">
        <f t="shared" si="0"/>
        <v>0.75</v>
      </c>
      <c r="AE6" s="148">
        <f t="shared" si="1"/>
        <v>-2.5527964724996188E-3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42452</v>
      </c>
      <c r="X7" s="12">
        <v>43.06</v>
      </c>
      <c r="Y7" s="12">
        <v>43.36</v>
      </c>
      <c r="Z7" s="12">
        <v>42.81</v>
      </c>
      <c r="AA7" s="12">
        <v>43.09</v>
      </c>
      <c r="AB7" s="105">
        <v>4832200</v>
      </c>
      <c r="AC7" s="12">
        <v>43.09</v>
      </c>
      <c r="AD7" s="2">
        <f t="shared" si="0"/>
        <v>0.54999999999999716</v>
      </c>
      <c r="AE7" s="148">
        <f t="shared" si="1"/>
        <v>-4.1599260457592102E-3</v>
      </c>
    </row>
    <row r="8" spans="1:41" x14ac:dyDescent="0.25">
      <c r="O8" s="13" t="s">
        <v>90</v>
      </c>
      <c r="Q8" s="148">
        <f>(Q4-Q3)/Q3</f>
        <v>0</v>
      </c>
      <c r="W8" s="143">
        <v>42451</v>
      </c>
      <c r="X8" s="12">
        <v>42.84</v>
      </c>
      <c r="Y8" s="12">
        <v>43.61</v>
      </c>
      <c r="Z8" s="12">
        <v>42.69</v>
      </c>
      <c r="AA8" s="12">
        <v>43.27</v>
      </c>
      <c r="AB8" s="105">
        <v>2998700</v>
      </c>
      <c r="AC8" s="12">
        <v>43.27</v>
      </c>
      <c r="AD8" s="2">
        <f t="shared" si="0"/>
        <v>0.92000000000000171</v>
      </c>
      <c r="AE8" s="148">
        <f t="shared" si="1"/>
        <v>2.3164234422052843E-3</v>
      </c>
    </row>
    <row r="9" spans="1:41" x14ac:dyDescent="0.25">
      <c r="Q9" s="148"/>
      <c r="W9" s="143">
        <v>42450</v>
      </c>
      <c r="X9" s="12">
        <v>43.02</v>
      </c>
      <c r="Y9" s="12">
        <v>43.54</v>
      </c>
      <c r="Z9" s="12">
        <v>42.58</v>
      </c>
      <c r="AA9" s="12">
        <v>43.17</v>
      </c>
      <c r="AB9" s="105">
        <v>4825600</v>
      </c>
      <c r="AC9" s="12">
        <v>43.17</v>
      </c>
      <c r="AD9" s="2">
        <f t="shared" si="0"/>
        <v>0.96000000000000085</v>
      </c>
      <c r="AE9" s="148">
        <f t="shared" si="1"/>
        <v>4.4206607724524005E-3</v>
      </c>
    </row>
    <row r="10" spans="1:41" x14ac:dyDescent="0.25">
      <c r="W10" s="143">
        <v>42447</v>
      </c>
      <c r="X10" s="12">
        <v>42.68</v>
      </c>
      <c r="Y10" s="12">
        <v>44.06</v>
      </c>
      <c r="Z10" s="12">
        <v>42.58</v>
      </c>
      <c r="AA10" s="12">
        <v>42.98</v>
      </c>
      <c r="AB10" s="105">
        <v>5605300</v>
      </c>
      <c r="AC10" s="12">
        <v>42.98</v>
      </c>
      <c r="AD10" s="2">
        <f t="shared" si="0"/>
        <v>1.480000000000004</v>
      </c>
      <c r="AE10" s="148">
        <f t="shared" si="1"/>
        <v>8.2101806239736064E-3</v>
      </c>
    </row>
    <row r="11" spans="1:41" x14ac:dyDescent="0.25">
      <c r="W11" s="143">
        <v>42446</v>
      </c>
      <c r="X11" s="12">
        <v>42.13</v>
      </c>
      <c r="Y11" s="12">
        <v>42.97</v>
      </c>
      <c r="Z11" s="12">
        <v>41.79</v>
      </c>
      <c r="AA11" s="12">
        <v>42.63</v>
      </c>
      <c r="AB11" s="105">
        <v>4164200</v>
      </c>
      <c r="AC11" s="12">
        <v>42.63</v>
      </c>
      <c r="AD11" s="2">
        <f t="shared" si="0"/>
        <v>1.1799999999999997</v>
      </c>
      <c r="AE11" s="148">
        <f t="shared" si="1"/>
        <v>1.1148007590132902E-2</v>
      </c>
    </row>
    <row r="12" spans="1:41" x14ac:dyDescent="0.25">
      <c r="W12" s="143">
        <v>42445</v>
      </c>
      <c r="X12" s="12">
        <v>41.19</v>
      </c>
      <c r="Y12" s="12">
        <v>42.39</v>
      </c>
      <c r="Z12" s="12">
        <v>41.04</v>
      </c>
      <c r="AA12" s="12">
        <v>42.16</v>
      </c>
      <c r="AB12" s="105">
        <v>4888000</v>
      </c>
      <c r="AC12" s="12">
        <v>42.16</v>
      </c>
      <c r="AD12" s="2">
        <f t="shared" si="0"/>
        <v>1.3500000000000014</v>
      </c>
      <c r="AE12" s="148">
        <f t="shared" si="1"/>
        <v>1.9095963258399795E-2</v>
      </c>
    </row>
    <row r="13" spans="1:41" x14ac:dyDescent="0.25">
      <c r="W13" s="143">
        <v>42444</v>
      </c>
      <c r="X13" s="12">
        <v>40.97</v>
      </c>
      <c r="Y13" s="12">
        <v>41.54</v>
      </c>
      <c r="Z13" s="12">
        <v>40.700000000000003</v>
      </c>
      <c r="AA13" s="12">
        <v>41.37</v>
      </c>
      <c r="AB13" s="105">
        <v>3050800</v>
      </c>
      <c r="AC13" s="12">
        <v>41.37</v>
      </c>
      <c r="AD13" s="2">
        <f t="shared" si="0"/>
        <v>0.83999999999999631</v>
      </c>
      <c r="AE13" s="148">
        <f t="shared" si="1"/>
        <v>2.4230676035859045E-3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42443</v>
      </c>
      <c r="X14" s="12">
        <v>40.97</v>
      </c>
      <c r="Y14" s="12">
        <v>41.33</v>
      </c>
      <c r="Z14" s="12">
        <v>40.700000000000003</v>
      </c>
      <c r="AA14" s="12">
        <v>41.27</v>
      </c>
      <c r="AB14" s="105">
        <v>3257100</v>
      </c>
      <c r="AC14" s="12">
        <v>41.27</v>
      </c>
      <c r="AD14" s="2">
        <f t="shared" si="0"/>
        <v>0.62999999999999545</v>
      </c>
      <c r="AE14" s="148">
        <f t="shared" si="1"/>
        <v>2.6724975704568443E-3</v>
      </c>
    </row>
    <row r="15" spans="1:41" x14ac:dyDescent="0.25">
      <c r="G15" s="2"/>
      <c r="W15" s="143">
        <v>42440</v>
      </c>
      <c r="X15" s="12">
        <v>40.25</v>
      </c>
      <c r="Y15" s="12">
        <v>41.21</v>
      </c>
      <c r="Z15" s="12">
        <v>40.06</v>
      </c>
      <c r="AA15" s="12">
        <v>41.16</v>
      </c>
      <c r="AB15" s="105">
        <v>6646900</v>
      </c>
      <c r="AC15" s="12">
        <v>41.16</v>
      </c>
      <c r="AD15" s="2">
        <f t="shared" si="0"/>
        <v>1.1499999999999986</v>
      </c>
      <c r="AE15" s="148">
        <f t="shared" si="1"/>
        <v>3.4170854271356799E-2</v>
      </c>
    </row>
    <row r="16" spans="1:41" x14ac:dyDescent="0.25">
      <c r="B16" s="209" t="s">
        <v>117</v>
      </c>
      <c r="C16" s="209" t="s">
        <v>167</v>
      </c>
      <c r="D16" s="210" t="s">
        <v>166</v>
      </c>
      <c r="E16" s="212" t="s">
        <v>168</v>
      </c>
      <c r="F16" s="213" t="s">
        <v>65</v>
      </c>
      <c r="G16" s="253" t="s">
        <v>172</v>
      </c>
      <c r="H16" s="213" t="s">
        <v>90</v>
      </c>
      <c r="I16" s="213" t="s">
        <v>179</v>
      </c>
      <c r="W16" s="143">
        <v>42439</v>
      </c>
      <c r="X16" s="12">
        <v>40.159999999999997</v>
      </c>
      <c r="Y16" s="12">
        <v>40.159999999999997</v>
      </c>
      <c r="Z16" s="12">
        <v>39.049999999999997</v>
      </c>
      <c r="AA16" s="12">
        <v>39.799999999999997</v>
      </c>
      <c r="AB16" s="105">
        <v>4870900</v>
      </c>
      <c r="AC16" s="12">
        <v>39.799999999999997</v>
      </c>
      <c r="AD16" s="2">
        <f t="shared" si="0"/>
        <v>1.1099999999999994</v>
      </c>
      <c r="AE16" s="148">
        <f t="shared" si="1"/>
        <v>-1.2547051442911572E-3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42438</v>
      </c>
      <c r="X17" s="12">
        <v>38.979999999999997</v>
      </c>
      <c r="Y17" s="12">
        <v>39.869999999999997</v>
      </c>
      <c r="Z17" s="12">
        <v>38.82</v>
      </c>
      <c r="AA17" s="12">
        <v>39.85</v>
      </c>
      <c r="AB17" s="105">
        <v>6918600</v>
      </c>
      <c r="AC17" s="12">
        <v>39.85</v>
      </c>
      <c r="AD17" s="2">
        <f t="shared" si="0"/>
        <v>1.0499999999999972</v>
      </c>
      <c r="AE17" s="148">
        <f t="shared" si="1"/>
        <v>2.9715762273901714E-2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42437</v>
      </c>
      <c r="X18" s="12">
        <v>39.229999999999997</v>
      </c>
      <c r="Y18" s="12">
        <v>39.229999999999997</v>
      </c>
      <c r="Z18" s="12">
        <v>38.14</v>
      </c>
      <c r="AA18" s="12">
        <v>38.700000000000003</v>
      </c>
      <c r="AB18" s="105">
        <v>4893300</v>
      </c>
      <c r="AC18" s="12">
        <v>38.700000000000003</v>
      </c>
      <c r="AD18" s="2">
        <f t="shared" si="0"/>
        <v>1.0899999999999963</v>
      </c>
      <c r="AE18" s="148">
        <f t="shared" si="1"/>
        <v>-2.2480424349583195E-2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42436</v>
      </c>
      <c r="X19" s="12">
        <v>40.909999999999997</v>
      </c>
      <c r="Y19" s="12">
        <v>40.909999999999997</v>
      </c>
      <c r="Z19" s="12">
        <v>39.39</v>
      </c>
      <c r="AA19" s="12">
        <v>39.590000000000003</v>
      </c>
      <c r="AB19" s="105">
        <v>5208600</v>
      </c>
      <c r="AC19" s="12">
        <v>39.590000000000003</v>
      </c>
      <c r="AD19" s="2">
        <f t="shared" si="0"/>
        <v>1.519999999999996</v>
      </c>
      <c r="AE19" s="148">
        <f t="shared" si="1"/>
        <v>-3.3918984870668467E-2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42433</v>
      </c>
      <c r="X20" s="12">
        <v>41.3</v>
      </c>
      <c r="Y20" s="12">
        <v>42.09</v>
      </c>
      <c r="Z20" s="12">
        <v>40.799999999999997</v>
      </c>
      <c r="AA20" s="12">
        <v>40.98</v>
      </c>
      <c r="AB20" s="105">
        <v>5515800</v>
      </c>
      <c r="AC20" s="12">
        <v>40.98</v>
      </c>
      <c r="AD20" s="2">
        <f t="shared" si="0"/>
        <v>1.2900000000000063</v>
      </c>
      <c r="AE20" s="148">
        <f t="shared" si="1"/>
        <v>-7.2674418604652402E-3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42432</v>
      </c>
      <c r="X21" s="12">
        <v>40.369999999999997</v>
      </c>
      <c r="Y21" s="12">
        <v>41.3</v>
      </c>
      <c r="Z21" s="12">
        <v>40.06</v>
      </c>
      <c r="AA21" s="12">
        <v>41.28</v>
      </c>
      <c r="AB21" s="105">
        <v>5540900</v>
      </c>
      <c r="AC21" s="12">
        <v>41.28</v>
      </c>
      <c r="AD21" s="2">
        <f t="shared" si="0"/>
        <v>1.2399999999999949</v>
      </c>
      <c r="AE21" s="148">
        <f t="shared" si="1"/>
        <v>2.4063507814438001E-2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42431</v>
      </c>
      <c r="X22" s="12">
        <v>39.42</v>
      </c>
      <c r="Y22" s="12">
        <v>40.4</v>
      </c>
      <c r="Z22" s="12">
        <v>39.159999999999997</v>
      </c>
      <c r="AA22" s="12">
        <v>40.31</v>
      </c>
      <c r="AB22" s="105">
        <v>4569800</v>
      </c>
      <c r="AC22" s="12">
        <v>40.31</v>
      </c>
      <c r="AD22" s="2">
        <f t="shared" si="0"/>
        <v>1.240000000000002</v>
      </c>
      <c r="AE22" s="148">
        <f t="shared" si="1"/>
        <v>2.02480384712731E-2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42430</v>
      </c>
      <c r="X23" s="12">
        <v>38.33</v>
      </c>
      <c r="Y23" s="12">
        <v>39.68</v>
      </c>
      <c r="Z23" s="12">
        <v>37.96</v>
      </c>
      <c r="AA23" s="12">
        <v>39.51</v>
      </c>
      <c r="AB23" s="105">
        <v>4079100</v>
      </c>
      <c r="AC23" s="12">
        <v>39.51</v>
      </c>
      <c r="AD23" s="2">
        <f t="shared" si="0"/>
        <v>1.7199999999999989</v>
      </c>
      <c r="AE23" s="148">
        <f t="shared" si="1"/>
        <v>3.946329913180735E-2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42429</v>
      </c>
      <c r="X24" s="12">
        <v>38.520000000000003</v>
      </c>
      <c r="Y24" s="12">
        <v>38.92</v>
      </c>
      <c r="Z24" s="12">
        <v>37.83</v>
      </c>
      <c r="AA24" s="12">
        <v>38.01</v>
      </c>
      <c r="AB24" s="105">
        <v>4834000</v>
      </c>
      <c r="AC24" s="12">
        <v>38.01</v>
      </c>
      <c r="AD24" s="2">
        <f t="shared" si="0"/>
        <v>1.0900000000000034</v>
      </c>
      <c r="AE24" s="148">
        <f t="shared" si="1"/>
        <v>-1.7067494181536191E-2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42426</v>
      </c>
      <c r="X25" s="12">
        <v>37.93</v>
      </c>
      <c r="Y25" s="12">
        <v>39.18</v>
      </c>
      <c r="Z25" s="12">
        <v>37.9</v>
      </c>
      <c r="AA25" s="12">
        <v>38.67</v>
      </c>
      <c r="AB25" s="105">
        <v>6248200</v>
      </c>
      <c r="AC25" s="12">
        <v>38.67</v>
      </c>
      <c r="AD25" s="2">
        <f t="shared" si="0"/>
        <v>1.2800000000000011</v>
      </c>
      <c r="AE25" s="148">
        <f t="shared" si="1"/>
        <v>2.1124900977026684E-2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42425</v>
      </c>
      <c r="X26" s="12">
        <v>37.53</v>
      </c>
      <c r="Y26" s="12">
        <v>38.04</v>
      </c>
      <c r="Z26" s="12">
        <v>36.72</v>
      </c>
      <c r="AA26" s="12">
        <v>37.869999999999997</v>
      </c>
      <c r="AB26" s="105">
        <v>5487100</v>
      </c>
      <c r="AC26" s="12">
        <v>37.869999999999997</v>
      </c>
      <c r="AD26" s="2">
        <f t="shared" si="0"/>
        <v>1.3200000000000003</v>
      </c>
      <c r="AE26" s="148" t="e">
        <f t="shared" si="1"/>
        <v>#DIV/0!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247</v>
      </c>
      <c r="W27" s="143">
        <v>42425</v>
      </c>
      <c r="X27" s="12" t="s">
        <v>231</v>
      </c>
      <c r="Y27" s="12"/>
      <c r="Z27" s="12"/>
      <c r="AA27" s="12"/>
      <c r="AB27" s="105"/>
      <c r="AC27" s="12"/>
      <c r="AD27" s="2">
        <f t="shared" si="0"/>
        <v>0</v>
      </c>
      <c r="AE27" s="148">
        <f t="shared" si="1"/>
        <v>-1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61"/>
      <c r="I28" s="261"/>
      <c r="W28" s="143">
        <v>42424</v>
      </c>
      <c r="X28" s="12">
        <v>37.5</v>
      </c>
      <c r="Y28" s="12">
        <v>37.86</v>
      </c>
      <c r="Z28" s="12">
        <v>37.08</v>
      </c>
      <c r="AA28" s="12">
        <v>37.74</v>
      </c>
      <c r="AB28" s="105">
        <v>2755300</v>
      </c>
      <c r="AC28" s="12">
        <v>37.549999999999997</v>
      </c>
      <c r="AD28" s="2">
        <f t="shared" si="0"/>
        <v>0.78000000000000114</v>
      </c>
      <c r="AE28" s="148">
        <f t="shared" si="1"/>
        <v>-3.450106157112609E-3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42423</v>
      </c>
      <c r="X29" s="12">
        <v>37.82</v>
      </c>
      <c r="Y29" s="12">
        <v>38.1</v>
      </c>
      <c r="Z29" s="12">
        <v>37.520000000000003</v>
      </c>
      <c r="AA29" s="12">
        <v>37.869999999999997</v>
      </c>
      <c r="AB29" s="105">
        <v>3719900</v>
      </c>
      <c r="AC29" s="12">
        <v>37.68</v>
      </c>
      <c r="AD29" s="2">
        <f t="shared" si="0"/>
        <v>0.57999999999999829</v>
      </c>
      <c r="AE29" s="148">
        <f t="shared" si="1"/>
        <v>-6.3291139240506666E-3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42422</v>
      </c>
      <c r="X30" s="12">
        <v>37.97</v>
      </c>
      <c r="Y30" s="12">
        <v>38.799999999999997</v>
      </c>
      <c r="Z30" s="12">
        <v>37.89</v>
      </c>
      <c r="AA30" s="12">
        <v>38.11</v>
      </c>
      <c r="AB30" s="105">
        <v>3529700</v>
      </c>
      <c r="AC30" s="12">
        <v>37.92</v>
      </c>
      <c r="AD30" s="2">
        <f t="shared" si="0"/>
        <v>0.90999999999999659</v>
      </c>
      <c r="AE30" s="148">
        <f t="shared" si="1"/>
        <v>1.7440300509793394E-2</v>
      </c>
    </row>
    <row r="31" spans="2:31" x14ac:dyDescent="0.25">
      <c r="W31" s="143">
        <v>42419</v>
      </c>
      <c r="X31" s="12">
        <v>37.44</v>
      </c>
      <c r="Y31" s="12">
        <v>37.58</v>
      </c>
      <c r="Z31" s="12">
        <v>36.85</v>
      </c>
      <c r="AA31" s="12">
        <v>37.46</v>
      </c>
      <c r="AB31" s="105">
        <v>3507900</v>
      </c>
      <c r="AC31" s="12">
        <v>37.270000000000003</v>
      </c>
      <c r="AD31" s="2">
        <f t="shared" si="0"/>
        <v>0.72999999999999687</v>
      </c>
      <c r="AE31" s="148">
        <f t="shared" si="1"/>
        <v>-1.0720986330742255E-3</v>
      </c>
    </row>
    <row r="32" spans="2:31" x14ac:dyDescent="0.25">
      <c r="W32" s="143">
        <v>42418</v>
      </c>
      <c r="X32" s="12">
        <v>37.299999999999997</v>
      </c>
      <c r="Y32" s="12">
        <v>37.549999999999997</v>
      </c>
      <c r="Z32" s="12">
        <v>36.89</v>
      </c>
      <c r="AA32" s="12">
        <v>37.5</v>
      </c>
      <c r="AB32" s="105">
        <v>4634700</v>
      </c>
      <c r="AC32" s="12">
        <v>37.31</v>
      </c>
      <c r="AD32" s="2">
        <f t="shared" si="0"/>
        <v>0.65999999999999659</v>
      </c>
      <c r="AE32" s="148">
        <f t="shared" si="1"/>
        <v>1.879699248120259E-3</v>
      </c>
    </row>
    <row r="33" spans="15:31" x14ac:dyDescent="0.25">
      <c r="W33" s="143">
        <v>42417</v>
      </c>
      <c r="X33" s="12">
        <v>36.130000000000003</v>
      </c>
      <c r="Y33" s="12">
        <v>37.799999999999997</v>
      </c>
      <c r="Z33" s="12">
        <v>36.03</v>
      </c>
      <c r="AA33" s="12">
        <v>37.43</v>
      </c>
      <c r="AB33" s="105">
        <v>6600900</v>
      </c>
      <c r="AC33" s="12">
        <v>37.24</v>
      </c>
      <c r="AD33" s="2">
        <f t="shared" si="0"/>
        <v>1.769999999999996</v>
      </c>
      <c r="AE33" s="148">
        <f t="shared" si="1"/>
        <v>3.9642657733109932E-2</v>
      </c>
    </row>
    <row r="34" spans="15:31" x14ac:dyDescent="0.25">
      <c r="W34" s="143">
        <v>42416</v>
      </c>
      <c r="X34" s="12">
        <v>35.270000000000003</v>
      </c>
      <c r="Y34" s="12">
        <v>36.1</v>
      </c>
      <c r="Z34" s="12">
        <v>34.840000000000003</v>
      </c>
      <c r="AA34" s="12">
        <v>36</v>
      </c>
      <c r="AB34" s="105">
        <v>4754300</v>
      </c>
      <c r="AC34" s="12">
        <v>35.82</v>
      </c>
      <c r="AD34" s="2">
        <f t="shared" si="0"/>
        <v>1.259999999999998</v>
      </c>
      <c r="AE34" s="148">
        <f t="shared" si="1"/>
        <v>3.4960993932389606E-2</v>
      </c>
    </row>
    <row r="35" spans="15:31" x14ac:dyDescent="0.25">
      <c r="W35" s="143">
        <v>42412</v>
      </c>
      <c r="X35" s="12">
        <v>33.76</v>
      </c>
      <c r="Y35" s="12">
        <v>34.81</v>
      </c>
      <c r="Z35" s="12">
        <v>33.42</v>
      </c>
      <c r="AA35" s="12">
        <v>34.79</v>
      </c>
      <c r="AB35" s="105">
        <v>4006900</v>
      </c>
      <c r="AC35" s="12">
        <v>34.61</v>
      </c>
      <c r="AD35" s="2">
        <f t="shared" si="0"/>
        <v>1.3900000000000006</v>
      </c>
      <c r="AE35" s="148">
        <f t="shared" si="1"/>
        <v>3.0366180410836385E-2</v>
      </c>
    </row>
    <row r="36" spans="15:31" x14ac:dyDescent="0.25">
      <c r="W36" s="143">
        <v>42411</v>
      </c>
      <c r="X36" s="12">
        <v>34.020000000000003</v>
      </c>
      <c r="Y36" s="12">
        <v>34.520000000000003</v>
      </c>
      <c r="Z36" s="12">
        <v>33.26</v>
      </c>
      <c r="AA36" s="12">
        <v>33.76</v>
      </c>
      <c r="AB36" s="105">
        <v>4834700</v>
      </c>
      <c r="AC36" s="12">
        <v>33.590000000000003</v>
      </c>
      <c r="AD36" s="2">
        <f t="shared" si="0"/>
        <v>1.2600000000000051</v>
      </c>
      <c r="AE36" s="148">
        <f t="shared" si="1"/>
        <v>-3.1709426347650504E-2</v>
      </c>
    </row>
    <row r="37" spans="15:31" x14ac:dyDescent="0.25">
      <c r="W37" s="143">
        <v>42410</v>
      </c>
      <c r="X37" s="12">
        <v>34.549999999999997</v>
      </c>
      <c r="Y37" s="12">
        <v>35.24</v>
      </c>
      <c r="Z37" s="12">
        <v>34.299999999999997</v>
      </c>
      <c r="AA37" s="12">
        <v>34.869999999999997</v>
      </c>
      <c r="AB37" s="105">
        <v>3657400</v>
      </c>
      <c r="AC37" s="12">
        <v>34.69</v>
      </c>
      <c r="AD37" s="2">
        <f t="shared" si="0"/>
        <v>0.94000000000000483</v>
      </c>
      <c r="AE37" s="148">
        <f t="shared" si="1"/>
        <v>1.7302052785923561E-2</v>
      </c>
    </row>
    <row r="38" spans="15:31" x14ac:dyDescent="0.25">
      <c r="W38" s="143">
        <v>42409</v>
      </c>
      <c r="X38" s="12">
        <v>33.92</v>
      </c>
      <c r="Y38" s="12">
        <v>34.700000000000003</v>
      </c>
      <c r="Z38" s="12">
        <v>33.43</v>
      </c>
      <c r="AA38" s="12">
        <v>34.270000000000003</v>
      </c>
      <c r="AB38" s="105">
        <v>8404600</v>
      </c>
      <c r="AC38" s="12">
        <v>34.1</v>
      </c>
      <c r="AD38" s="2">
        <f t="shared" si="0"/>
        <v>1.2700000000000031</v>
      </c>
      <c r="AE38" s="148">
        <f t="shared" si="1"/>
        <v>2.9334115576418185E-4</v>
      </c>
    </row>
    <row r="39" spans="15:31" x14ac:dyDescent="0.25">
      <c r="W39" s="143">
        <v>42408</v>
      </c>
      <c r="X39" s="12">
        <v>36.049999999999997</v>
      </c>
      <c r="Y39" s="12">
        <v>36.119999999999997</v>
      </c>
      <c r="Z39" s="12">
        <v>33.770000000000003</v>
      </c>
      <c r="AA39" s="12">
        <v>34.26</v>
      </c>
      <c r="AB39" s="105">
        <v>9930400</v>
      </c>
      <c r="AC39" s="12">
        <v>34.090000000000003</v>
      </c>
      <c r="AD39" s="2">
        <f t="shared" si="0"/>
        <v>2.3499999999999943</v>
      </c>
      <c r="AE39" s="148">
        <f t="shared" si="1"/>
        <v>-5.9586206896551586E-2</v>
      </c>
    </row>
    <row r="40" spans="15:31" x14ac:dyDescent="0.25">
      <c r="W40" s="143">
        <v>42405</v>
      </c>
      <c r="X40" s="12">
        <v>37.31</v>
      </c>
      <c r="Y40" s="12">
        <v>37.61</v>
      </c>
      <c r="Z40" s="12">
        <v>36.39</v>
      </c>
      <c r="AA40" s="12">
        <v>36.43</v>
      </c>
      <c r="AB40" s="105">
        <v>7357000</v>
      </c>
      <c r="AC40" s="12">
        <v>36.25</v>
      </c>
      <c r="AD40" s="2">
        <f t="shared" si="0"/>
        <v>1.2199999999999989</v>
      </c>
      <c r="AE40" s="148">
        <f t="shared" si="1"/>
        <v>-2.8931154567372053E-2</v>
      </c>
    </row>
    <row r="41" spans="15:31" x14ac:dyDescent="0.25">
      <c r="W41" s="143">
        <v>42404</v>
      </c>
      <c r="X41" s="12">
        <v>36.21</v>
      </c>
      <c r="Y41" s="12">
        <v>37.57</v>
      </c>
      <c r="Z41" s="12">
        <v>36.049999999999997</v>
      </c>
      <c r="AA41" s="12">
        <v>37.520000000000003</v>
      </c>
      <c r="AB41" s="105">
        <v>6034400</v>
      </c>
      <c r="AC41" s="12">
        <v>37.33</v>
      </c>
      <c r="AD41" s="2">
        <f t="shared" si="0"/>
        <v>1.5200000000000031</v>
      </c>
      <c r="AE41" s="148">
        <f t="shared" si="1"/>
        <v>3.5506241331484167E-2</v>
      </c>
    </row>
    <row r="42" spans="15:31" x14ac:dyDescent="0.25">
      <c r="W42" s="143">
        <v>42403</v>
      </c>
      <c r="X42" s="12">
        <v>37.65</v>
      </c>
      <c r="Y42" s="12">
        <v>37.71</v>
      </c>
      <c r="Z42" s="12">
        <v>35.47</v>
      </c>
      <c r="AA42" s="12">
        <v>36.229999999999997</v>
      </c>
      <c r="AB42" s="105">
        <v>6553900</v>
      </c>
      <c r="AC42" s="12">
        <v>36.049999999999997</v>
      </c>
      <c r="AD42" s="2">
        <f t="shared" si="0"/>
        <v>2.240000000000002</v>
      </c>
      <c r="AE42" s="148">
        <f t="shared" si="1"/>
        <v>-2.7253103076092966E-2</v>
      </c>
    </row>
    <row r="43" spans="15:31" x14ac:dyDescent="0.25">
      <c r="W43" s="143">
        <v>42402</v>
      </c>
      <c r="X43" s="12">
        <v>38.380000000000003</v>
      </c>
      <c r="Y43" s="12">
        <v>38.51</v>
      </c>
      <c r="Z43" s="12">
        <v>37.06</v>
      </c>
      <c r="AA43" s="12">
        <v>37.25</v>
      </c>
      <c r="AB43" s="105">
        <v>5731000</v>
      </c>
      <c r="AC43" s="12">
        <v>37.06</v>
      </c>
      <c r="AD43" s="2">
        <f t="shared" si="0"/>
        <v>1.4499999999999957</v>
      </c>
      <c r="AE43" s="148">
        <f t="shared" si="1"/>
        <v>-4.5091471270291117E-2</v>
      </c>
    </row>
    <row r="44" spans="15:31" x14ac:dyDescent="0.25">
      <c r="W44" s="143">
        <v>42401</v>
      </c>
      <c r="X44" s="12">
        <v>39.18</v>
      </c>
      <c r="Y44" s="12">
        <v>39.42</v>
      </c>
      <c r="Z44" s="12">
        <v>38.479999999999997</v>
      </c>
      <c r="AA44" s="12">
        <v>39.01</v>
      </c>
      <c r="AB44" s="105">
        <v>8183300</v>
      </c>
      <c r="AC44" s="12">
        <v>38.81</v>
      </c>
      <c r="AD44" s="2">
        <f t="shared" si="0"/>
        <v>0.94000000000000483</v>
      </c>
      <c r="AE44" s="148">
        <f t="shared" si="1"/>
        <v>5.9616381544842501E-3</v>
      </c>
    </row>
    <row r="45" spans="15:31" x14ac:dyDescent="0.25">
      <c r="O45" s="37"/>
      <c r="R45" s="37"/>
      <c r="W45" s="143">
        <v>42398</v>
      </c>
      <c r="X45" s="12">
        <v>37.24</v>
      </c>
      <c r="Y45" s="12">
        <v>38.840000000000003</v>
      </c>
      <c r="Z45" s="12">
        <v>37</v>
      </c>
      <c r="AA45" s="12">
        <v>38.78</v>
      </c>
      <c r="AB45" s="105">
        <v>9700900</v>
      </c>
      <c r="AC45" s="12">
        <v>38.58</v>
      </c>
      <c r="AD45" s="2">
        <f t="shared" si="0"/>
        <v>1.8400000000000034</v>
      </c>
      <c r="AE45" s="148">
        <f t="shared" si="1"/>
        <v>3.3762057877813501E-2</v>
      </c>
    </row>
    <row r="46" spans="15:31" ht="20.25" thickBot="1" x14ac:dyDescent="0.35">
      <c r="O46" s="279" t="s">
        <v>78</v>
      </c>
      <c r="P46" s="279"/>
      <c r="Q46" s="37"/>
      <c r="R46" s="37"/>
      <c r="T46" s="101" t="s">
        <v>116</v>
      </c>
      <c r="W46" s="143">
        <v>42397</v>
      </c>
      <c r="X46" s="12">
        <v>37.35</v>
      </c>
      <c r="Y46" s="12">
        <v>37.770000000000003</v>
      </c>
      <c r="Z46" s="12">
        <v>36.520000000000003</v>
      </c>
      <c r="AA46" s="12">
        <v>37.51</v>
      </c>
      <c r="AB46" s="105">
        <v>6026200</v>
      </c>
      <c r="AC46" s="12">
        <v>37.32</v>
      </c>
      <c r="AD46" s="2">
        <f t="shared" si="0"/>
        <v>1.25</v>
      </c>
      <c r="AE46" s="148">
        <f t="shared" si="1"/>
        <v>9.7402597402598268E-3</v>
      </c>
    </row>
    <row r="47" spans="15:31" ht="15.75" thickTop="1" x14ac:dyDescent="0.25">
      <c r="O47" s="93">
        <v>1.1000000000000001</v>
      </c>
      <c r="P47" s="93">
        <f>O47*$Q$4</f>
        <v>50.094000000000001</v>
      </c>
      <c r="Q47" s="37"/>
      <c r="R47" s="37"/>
      <c r="T47" s="138" t="s">
        <v>101</v>
      </c>
      <c r="U47" s="108">
        <v>44.29</v>
      </c>
      <c r="W47" s="143">
        <v>42396</v>
      </c>
      <c r="X47" s="12">
        <v>37.92</v>
      </c>
      <c r="Y47" s="12">
        <v>38.31</v>
      </c>
      <c r="Z47" s="12">
        <v>36.96</v>
      </c>
      <c r="AA47" s="12">
        <v>37.15</v>
      </c>
      <c r="AB47" s="105">
        <v>5122700</v>
      </c>
      <c r="AC47" s="12">
        <v>36.96</v>
      </c>
      <c r="AD47" s="2">
        <f t="shared" si="0"/>
        <v>1.3500000000000014</v>
      </c>
      <c r="AE47" s="148">
        <f t="shared" si="1"/>
        <v>-2.7112397999473625E-2</v>
      </c>
    </row>
    <row r="48" spans="15:31" x14ac:dyDescent="0.25">
      <c r="O48" s="93">
        <v>1.0900000000000001</v>
      </c>
      <c r="P48" s="93">
        <f t="shared" ref="P48:P67" si="12">O48*$Q$4</f>
        <v>49.638600000000004</v>
      </c>
      <c r="Q48" s="37"/>
      <c r="R48" s="37"/>
      <c r="T48" s="103" t="s">
        <v>102</v>
      </c>
      <c r="U48" s="98" t="s">
        <v>134</v>
      </c>
      <c r="W48" s="143">
        <v>42395</v>
      </c>
      <c r="X48" s="12">
        <v>37.22</v>
      </c>
      <c r="Y48" s="12">
        <v>38.24</v>
      </c>
      <c r="Z48" s="12">
        <v>37.11</v>
      </c>
      <c r="AA48" s="12">
        <v>38.18</v>
      </c>
      <c r="AB48" s="105">
        <v>5461300</v>
      </c>
      <c r="AC48" s="12">
        <v>37.99</v>
      </c>
      <c r="AD48" s="2">
        <f t="shared" si="0"/>
        <v>1.1300000000000026</v>
      </c>
      <c r="AE48" s="148">
        <f t="shared" si="1"/>
        <v>2.8424472116946431E-2</v>
      </c>
    </row>
    <row r="49" spans="15:31" x14ac:dyDescent="0.25">
      <c r="O49" s="93">
        <v>1.08</v>
      </c>
      <c r="P49" s="93">
        <f t="shared" si="12"/>
        <v>49.183199999999999</v>
      </c>
      <c r="Q49" s="37"/>
      <c r="R49" s="37"/>
      <c r="T49" s="103" t="s">
        <v>103</v>
      </c>
      <c r="U49" s="98" t="s">
        <v>134</v>
      </c>
      <c r="W49" s="143">
        <v>42394</v>
      </c>
      <c r="X49" s="12">
        <v>36.799999999999997</v>
      </c>
      <c r="Y49" s="12">
        <v>37.479999999999997</v>
      </c>
      <c r="Z49" s="12">
        <v>36.67</v>
      </c>
      <c r="AA49" s="12">
        <v>37.130000000000003</v>
      </c>
      <c r="AB49" s="105">
        <v>5988300</v>
      </c>
      <c r="AC49" s="12">
        <v>36.94</v>
      </c>
      <c r="AD49" s="2">
        <f t="shared" si="0"/>
        <v>0.80999999999999517</v>
      </c>
      <c r="AE49" s="148">
        <f t="shared" si="1"/>
        <v>4.350190320826508E-3</v>
      </c>
    </row>
    <row r="50" spans="15:31" x14ac:dyDescent="0.25">
      <c r="O50" s="93">
        <v>1.07</v>
      </c>
      <c r="P50" s="93">
        <f t="shared" si="12"/>
        <v>48.727800000000002</v>
      </c>
      <c r="Q50" s="93"/>
      <c r="R50" s="37"/>
      <c r="T50" s="103" t="s">
        <v>104</v>
      </c>
      <c r="U50" s="98" t="s">
        <v>134</v>
      </c>
      <c r="W50" s="143">
        <v>42391</v>
      </c>
      <c r="X50" s="12">
        <v>37.39</v>
      </c>
      <c r="Y50" s="12">
        <v>37.799999999999997</v>
      </c>
      <c r="Z50" s="12">
        <v>36.590000000000003</v>
      </c>
      <c r="AA50" s="12">
        <v>36.97</v>
      </c>
      <c r="AB50" s="105">
        <v>3676100</v>
      </c>
      <c r="AC50" s="12">
        <v>36.78</v>
      </c>
      <c r="AD50" s="2">
        <f t="shared" si="0"/>
        <v>1.2099999999999937</v>
      </c>
      <c r="AE50" s="148">
        <f t="shared" si="1"/>
        <v>3.2733224222587509E-3</v>
      </c>
    </row>
    <row r="51" spans="15:31" x14ac:dyDescent="0.25">
      <c r="O51" s="93">
        <v>1.06</v>
      </c>
      <c r="P51" s="93">
        <f t="shared" si="12"/>
        <v>48.272400000000005</v>
      </c>
      <c r="Q51" s="93"/>
      <c r="R51" s="37"/>
      <c r="T51" s="103" t="s">
        <v>105</v>
      </c>
      <c r="U51" s="98">
        <v>48.93</v>
      </c>
      <c r="W51" s="143">
        <v>42390</v>
      </c>
      <c r="X51" s="12">
        <v>36.18</v>
      </c>
      <c r="Y51" s="12">
        <v>37.49</v>
      </c>
      <c r="Z51" s="12">
        <v>35.630000000000003</v>
      </c>
      <c r="AA51" s="12">
        <v>36.85</v>
      </c>
      <c r="AB51" s="105">
        <v>7980800</v>
      </c>
      <c r="AC51" s="12">
        <v>36.659999999999997</v>
      </c>
      <c r="AD51" s="2">
        <f t="shared" si="0"/>
        <v>1.8599999999999994</v>
      </c>
      <c r="AE51" s="148">
        <f t="shared" si="1"/>
        <v>2.145444413485631E-2</v>
      </c>
    </row>
    <row r="52" spans="15:31" x14ac:dyDescent="0.25">
      <c r="O52" s="93">
        <v>1.05</v>
      </c>
      <c r="P52" s="93">
        <f t="shared" si="12"/>
        <v>47.817</v>
      </c>
      <c r="Q52" s="93"/>
      <c r="R52" s="37"/>
      <c r="T52" s="103" t="s">
        <v>106</v>
      </c>
      <c r="U52" s="98">
        <v>1.1141700000000001</v>
      </c>
      <c r="W52" s="143">
        <v>42389</v>
      </c>
      <c r="X52" s="12">
        <v>35.58</v>
      </c>
      <c r="Y52" s="12">
        <v>36.43</v>
      </c>
      <c r="Z52" s="12">
        <v>34.5</v>
      </c>
      <c r="AA52" s="12">
        <v>36.07</v>
      </c>
      <c r="AB52" s="105">
        <v>8847100</v>
      </c>
      <c r="AC52" s="12">
        <v>35.89</v>
      </c>
      <c r="AD52" s="2">
        <f t="shared" si="0"/>
        <v>1.9299999999999997</v>
      </c>
      <c r="AE52" s="148">
        <f t="shared" si="1"/>
        <v>-3.6091060521933338E-3</v>
      </c>
    </row>
    <row r="53" spans="15:31" x14ac:dyDescent="0.25">
      <c r="O53" s="93">
        <v>1.04</v>
      </c>
      <c r="P53" s="93">
        <f t="shared" si="12"/>
        <v>47.361600000000003</v>
      </c>
      <c r="Q53" s="93"/>
      <c r="R53" s="37"/>
      <c r="T53" s="103" t="s">
        <v>126</v>
      </c>
      <c r="U53" s="98" t="s">
        <v>227</v>
      </c>
      <c r="W53" s="143">
        <v>42388</v>
      </c>
      <c r="X53" s="12">
        <v>37.68</v>
      </c>
      <c r="Y53" s="12">
        <v>37.840000000000003</v>
      </c>
      <c r="Z53" s="12">
        <v>35.630000000000003</v>
      </c>
      <c r="AA53" s="12">
        <v>36.200000000000003</v>
      </c>
      <c r="AB53" s="105">
        <v>5970700</v>
      </c>
      <c r="AC53" s="12">
        <v>36.020000000000003</v>
      </c>
      <c r="AD53" s="2">
        <f t="shared" si="0"/>
        <v>2.2100000000000009</v>
      </c>
      <c r="AE53" s="148">
        <f t="shared" si="1"/>
        <v>-2.4905251759610003E-2</v>
      </c>
    </row>
    <row r="54" spans="15:31" x14ac:dyDescent="0.25">
      <c r="O54" s="93">
        <v>1.03</v>
      </c>
      <c r="P54" s="93">
        <f t="shared" si="12"/>
        <v>46.906199999999998</v>
      </c>
      <c r="Q54" s="93"/>
      <c r="R54" s="37"/>
      <c r="T54" s="103"/>
      <c r="U54" s="98"/>
      <c r="W54" s="143">
        <v>42384</v>
      </c>
      <c r="X54" s="12">
        <v>36.369999999999997</v>
      </c>
      <c r="Y54" s="12">
        <v>37.19</v>
      </c>
      <c r="Z54" s="12">
        <v>36.1</v>
      </c>
      <c r="AA54" s="12">
        <v>37.130000000000003</v>
      </c>
      <c r="AB54" s="105">
        <v>6538600</v>
      </c>
      <c r="AC54" s="12">
        <v>36.94</v>
      </c>
      <c r="AD54" s="2">
        <f t="shared" si="0"/>
        <v>1.0899999999999963</v>
      </c>
      <c r="AE54" s="148">
        <f t="shared" si="1"/>
        <v>-9.3858943416466056E-3</v>
      </c>
    </row>
    <row r="55" spans="15:31" x14ac:dyDescent="0.25">
      <c r="O55" s="93">
        <v>1.02</v>
      </c>
      <c r="P55" s="93">
        <f t="shared" si="12"/>
        <v>46.450800000000001</v>
      </c>
      <c r="Q55" s="93"/>
      <c r="R55" s="37"/>
      <c r="T55" s="103" t="s">
        <v>108</v>
      </c>
      <c r="U55" s="98" t="s">
        <v>302</v>
      </c>
      <c r="W55" s="143">
        <v>42383</v>
      </c>
      <c r="X55" s="12">
        <v>37.61</v>
      </c>
      <c r="Y55" s="12">
        <v>38.04</v>
      </c>
      <c r="Z55" s="12">
        <v>36.880000000000003</v>
      </c>
      <c r="AA55" s="12">
        <v>37.479999999999997</v>
      </c>
      <c r="AB55" s="105">
        <v>8768300</v>
      </c>
      <c r="AC55" s="12">
        <v>37.29</v>
      </c>
      <c r="AD55" s="2">
        <f t="shared" si="0"/>
        <v>1.1599999999999966</v>
      </c>
      <c r="AE55" s="148">
        <f t="shared" si="1"/>
        <v>-1.2969825304393945E-2</v>
      </c>
    </row>
    <row r="56" spans="15:31" x14ac:dyDescent="0.25">
      <c r="O56" s="93">
        <v>1.01</v>
      </c>
      <c r="P56" s="93">
        <f t="shared" si="12"/>
        <v>45.995399999999997</v>
      </c>
      <c r="Q56" s="93"/>
      <c r="R56" s="37"/>
      <c r="T56" s="103" t="s">
        <v>109</v>
      </c>
      <c r="U56" s="98" t="s">
        <v>232</v>
      </c>
      <c r="W56" s="143">
        <v>42382</v>
      </c>
      <c r="X56" s="12">
        <v>40.15</v>
      </c>
      <c r="Y56" s="12">
        <v>40.78</v>
      </c>
      <c r="Z56" s="12">
        <v>37.93</v>
      </c>
      <c r="AA56" s="12">
        <v>37.97</v>
      </c>
      <c r="AB56" s="105">
        <v>7430300</v>
      </c>
      <c r="AC56" s="12">
        <v>37.78</v>
      </c>
      <c r="AD56" s="2">
        <f t="shared" si="0"/>
        <v>2.8500000000000014</v>
      </c>
      <c r="AE56" s="148">
        <f t="shared" si="1"/>
        <v>-5.0037716872014082E-2</v>
      </c>
    </row>
    <row r="57" spans="15:31" x14ac:dyDescent="0.25">
      <c r="O57" s="93">
        <v>1</v>
      </c>
      <c r="P57" s="93">
        <f t="shared" si="12"/>
        <v>45.54</v>
      </c>
      <c r="Q57" s="93"/>
      <c r="R57" s="37"/>
      <c r="T57" s="103" t="s">
        <v>110</v>
      </c>
      <c r="U57" s="100">
        <v>2803</v>
      </c>
      <c r="W57" s="143">
        <v>42381</v>
      </c>
      <c r="X57" s="12">
        <v>39.81</v>
      </c>
      <c r="Y57" s="12">
        <v>40.049999999999997</v>
      </c>
      <c r="Z57" s="12">
        <v>38.869999999999997</v>
      </c>
      <c r="AA57" s="12">
        <v>39.97</v>
      </c>
      <c r="AB57" s="105">
        <v>3923000</v>
      </c>
      <c r="AC57" s="12">
        <v>39.770000000000003</v>
      </c>
      <c r="AD57" s="2">
        <f t="shared" si="0"/>
        <v>1.1799999999999997</v>
      </c>
      <c r="AE57" s="148">
        <f t="shared" si="1"/>
        <v>1.5836526181353783E-2</v>
      </c>
    </row>
    <row r="58" spans="15:31" x14ac:dyDescent="0.25">
      <c r="O58" s="93">
        <v>0.99</v>
      </c>
      <c r="P58" s="93">
        <f t="shared" si="12"/>
        <v>45.084600000000002</v>
      </c>
      <c r="Q58" s="93"/>
      <c r="R58" s="37"/>
      <c r="T58" s="103" t="s">
        <v>113</v>
      </c>
      <c r="U58" s="100">
        <v>5521240</v>
      </c>
      <c r="W58" s="143">
        <v>42380</v>
      </c>
      <c r="X58" s="12">
        <v>39.409999999999997</v>
      </c>
      <c r="Y58" s="12">
        <v>39.74</v>
      </c>
      <c r="Z58" s="12">
        <v>38.43</v>
      </c>
      <c r="AA58" s="12">
        <v>39.35</v>
      </c>
      <c r="AB58" s="105">
        <v>5387200</v>
      </c>
      <c r="AC58" s="12">
        <v>39.15</v>
      </c>
      <c r="AD58" s="2">
        <f t="shared" si="0"/>
        <v>1.3100000000000023</v>
      </c>
      <c r="AE58" s="148">
        <f t="shared" si="1"/>
        <v>-7.6569678407356623E-4</v>
      </c>
    </row>
    <row r="59" spans="15:31" x14ac:dyDescent="0.25">
      <c r="O59" s="93">
        <v>0.98</v>
      </c>
      <c r="P59" s="93">
        <f t="shared" si="12"/>
        <v>44.629199999999997</v>
      </c>
      <c r="Q59" s="93"/>
      <c r="T59" s="103" t="s">
        <v>111</v>
      </c>
      <c r="U59" s="98" t="s">
        <v>330</v>
      </c>
      <c r="W59" s="143">
        <v>42377</v>
      </c>
      <c r="X59" s="12">
        <v>40.79</v>
      </c>
      <c r="Y59" s="12">
        <v>40.79</v>
      </c>
      <c r="Z59" s="12">
        <v>39.28</v>
      </c>
      <c r="AA59" s="12">
        <v>39.380000000000003</v>
      </c>
      <c r="AB59" s="105">
        <v>5811000</v>
      </c>
      <c r="AC59" s="12">
        <v>39.18</v>
      </c>
      <c r="AD59" s="2">
        <f t="shared" si="0"/>
        <v>1.509999999999998</v>
      </c>
      <c r="AE59" s="148">
        <f t="shared" si="1"/>
        <v>-2.3673062546723189E-2</v>
      </c>
    </row>
    <row r="60" spans="15:31" x14ac:dyDescent="0.25">
      <c r="O60" s="93">
        <v>0.97</v>
      </c>
      <c r="P60" s="93">
        <f t="shared" si="12"/>
        <v>44.1738</v>
      </c>
      <c r="Q60" s="93"/>
      <c r="T60" s="103" t="s">
        <v>114</v>
      </c>
      <c r="U60" s="98">
        <v>34.229999999999997</v>
      </c>
      <c r="W60" s="143">
        <v>42376</v>
      </c>
      <c r="X60" s="12">
        <v>41.62</v>
      </c>
      <c r="Y60" s="12">
        <v>41.62</v>
      </c>
      <c r="Z60" s="12">
        <v>40.15</v>
      </c>
      <c r="AA60" s="12">
        <v>40.33</v>
      </c>
      <c r="AB60" s="105">
        <v>6087500</v>
      </c>
      <c r="AC60" s="12">
        <v>40.130000000000003</v>
      </c>
      <c r="AD60" s="2">
        <f t="shared" si="0"/>
        <v>1.4699999999999989</v>
      </c>
      <c r="AE60" s="148">
        <f t="shared" si="1"/>
        <v>-4.4751249702451701E-2</v>
      </c>
    </row>
    <row r="61" spans="15:31" x14ac:dyDescent="0.25">
      <c r="O61" s="93">
        <v>0.96</v>
      </c>
      <c r="P61" s="93">
        <f t="shared" si="12"/>
        <v>43.718399999999995</v>
      </c>
      <c r="Q61" s="93"/>
      <c r="T61" s="103" t="s">
        <v>115</v>
      </c>
      <c r="U61" s="98">
        <v>1.29</v>
      </c>
      <c r="W61" s="143">
        <v>42375</v>
      </c>
      <c r="X61" s="12">
        <v>42.77</v>
      </c>
      <c r="Y61" s="12">
        <v>42.97</v>
      </c>
      <c r="Z61" s="12">
        <v>41.78</v>
      </c>
      <c r="AA61" s="12">
        <v>42.22</v>
      </c>
      <c r="AB61" s="105">
        <v>5857700</v>
      </c>
      <c r="AC61" s="12">
        <v>42.01</v>
      </c>
      <c r="AD61" s="2">
        <f t="shared" si="0"/>
        <v>1.1899999999999977</v>
      </c>
      <c r="AE61" s="148">
        <f t="shared" si="1"/>
        <v>-2.7546296296296457E-2</v>
      </c>
    </row>
    <row r="62" spans="15:31" x14ac:dyDescent="0.25">
      <c r="O62" s="93">
        <v>0.95</v>
      </c>
      <c r="P62" s="93">
        <f t="shared" si="12"/>
        <v>43.262999999999998</v>
      </c>
      <c r="Q62" s="93"/>
      <c r="T62" s="103" t="s">
        <v>112</v>
      </c>
      <c r="U62" s="98" t="s">
        <v>331</v>
      </c>
      <c r="W62" s="143">
        <v>42374</v>
      </c>
      <c r="X62" s="12">
        <v>43.46</v>
      </c>
      <c r="Y62" s="12">
        <v>43.83</v>
      </c>
      <c r="Z62" s="12">
        <v>43.03</v>
      </c>
      <c r="AA62" s="12">
        <v>43.42</v>
      </c>
      <c r="AB62" s="105">
        <v>3693100</v>
      </c>
      <c r="AC62" s="12">
        <v>43.2</v>
      </c>
      <c r="AD62" s="2">
        <f t="shared" si="0"/>
        <v>0.79999999999999716</v>
      </c>
      <c r="AE62" s="148">
        <f t="shared" si="1"/>
        <v>-4.6274872744089812E-4</v>
      </c>
    </row>
    <row r="63" spans="15:31" x14ac:dyDescent="0.25">
      <c r="O63" s="93">
        <v>0.94</v>
      </c>
      <c r="P63" s="93">
        <f t="shared" si="12"/>
        <v>42.807599999999994</v>
      </c>
      <c r="Q63" s="93"/>
      <c r="W63" s="143">
        <v>42373</v>
      </c>
      <c r="X63" s="12">
        <v>43.31</v>
      </c>
      <c r="Y63" s="12">
        <v>43.57</v>
      </c>
      <c r="Z63" s="12">
        <v>42.47</v>
      </c>
      <c r="AA63" s="12">
        <v>43.44</v>
      </c>
      <c r="AB63" s="105">
        <v>5525900</v>
      </c>
      <c r="AC63" s="12">
        <v>43.22</v>
      </c>
      <c r="AD63" s="2">
        <f t="shared" si="0"/>
        <v>1.1000000000000014</v>
      </c>
      <c r="AE63" s="148">
        <f t="shared" si="1"/>
        <v>-1.459188326493388E-2</v>
      </c>
    </row>
    <row r="64" spans="15:31" x14ac:dyDescent="0.25">
      <c r="O64" s="93">
        <v>0.93</v>
      </c>
      <c r="P64" s="93">
        <f t="shared" si="12"/>
        <v>42.352200000000003</v>
      </c>
      <c r="Q64" s="93"/>
      <c r="W64" s="143">
        <v>42369</v>
      </c>
      <c r="X64" s="12">
        <v>43.63</v>
      </c>
      <c r="Y64" s="12">
        <v>44.63</v>
      </c>
      <c r="Z64" s="12">
        <v>43.42</v>
      </c>
      <c r="AA64" s="12">
        <v>44.08</v>
      </c>
      <c r="AB64" s="105">
        <v>2155000</v>
      </c>
      <c r="AC64" s="12">
        <v>43.86</v>
      </c>
      <c r="AD64" s="2">
        <f t="shared" si="0"/>
        <v>1.2100000000000009</v>
      </c>
      <c r="AE64" s="148">
        <f t="shared" si="1"/>
        <v>7.5809786354237296E-3</v>
      </c>
    </row>
    <row r="65" spans="15:31" x14ac:dyDescent="0.25">
      <c r="O65" s="93">
        <v>0.92</v>
      </c>
      <c r="P65" s="93">
        <f t="shared" si="12"/>
        <v>41.896799999999999</v>
      </c>
      <c r="Q65" s="93"/>
      <c r="W65" s="143">
        <v>42368</v>
      </c>
      <c r="X65" s="12">
        <v>44.29</v>
      </c>
      <c r="Y65" s="12">
        <v>44.29</v>
      </c>
      <c r="Z65" s="12">
        <v>43.74</v>
      </c>
      <c r="AA65" s="12">
        <v>43.75</v>
      </c>
      <c r="AB65" s="105">
        <v>1795900</v>
      </c>
      <c r="AC65" s="12">
        <v>43.53</v>
      </c>
      <c r="AD65" s="2">
        <f t="shared" si="0"/>
        <v>0.54999999999999716</v>
      </c>
      <c r="AE65" s="148">
        <f t="shared" si="1"/>
        <v>-1.113130395274875E-2</v>
      </c>
    </row>
    <row r="66" spans="15:31" x14ac:dyDescent="0.25">
      <c r="O66" s="93">
        <v>0.91</v>
      </c>
      <c r="P66" s="93">
        <f t="shared" si="12"/>
        <v>41.441400000000002</v>
      </c>
      <c r="Q66" s="93"/>
      <c r="W66" s="143">
        <v>42367</v>
      </c>
      <c r="X66" s="12">
        <v>44.58</v>
      </c>
      <c r="Y66" s="12">
        <v>44.76</v>
      </c>
      <c r="Z66" s="12">
        <v>43.91</v>
      </c>
      <c r="AA66" s="12">
        <v>44.24</v>
      </c>
      <c r="AB66" s="105">
        <v>3038300</v>
      </c>
      <c r="AC66" s="12">
        <v>44.02</v>
      </c>
      <c r="AD66" s="2">
        <f t="shared" si="0"/>
        <v>0.85000000000000142</v>
      </c>
      <c r="AE66" s="148">
        <f t="shared" si="1"/>
        <v>-2.9445073612682782E-3</v>
      </c>
    </row>
    <row r="67" spans="15:31" x14ac:dyDescent="0.25">
      <c r="O67" s="93">
        <v>0.9</v>
      </c>
      <c r="P67" s="93">
        <f t="shared" si="12"/>
        <v>40.985999999999997</v>
      </c>
      <c r="Q67" s="93"/>
      <c r="W67" s="143">
        <v>42366</v>
      </c>
      <c r="X67" s="12">
        <v>43.61</v>
      </c>
      <c r="Y67" s="12">
        <v>44.4</v>
      </c>
      <c r="Z67" s="12">
        <v>43.17</v>
      </c>
      <c r="AA67" s="12">
        <v>44.37</v>
      </c>
      <c r="AB67" s="105">
        <v>2934600</v>
      </c>
      <c r="AC67" s="12">
        <v>44.15</v>
      </c>
      <c r="AD67" s="2">
        <f t="shared" ref="AD67:AD68" si="13">Y67-Z67</f>
        <v>1.2299999999999969</v>
      </c>
      <c r="AE67" s="148">
        <f t="shared" ref="AE67" si="14">AC67/AC68-1</f>
        <v>1.7515556579857039E-2</v>
      </c>
    </row>
    <row r="68" spans="15:31" x14ac:dyDescent="0.25">
      <c r="O68" s="37"/>
      <c r="W68" s="143">
        <v>42362</v>
      </c>
      <c r="X68" s="12">
        <v>44.15</v>
      </c>
      <c r="Y68" s="12">
        <v>44.31</v>
      </c>
      <c r="Z68" s="12">
        <v>43.53</v>
      </c>
      <c r="AA68" s="12">
        <v>43.61</v>
      </c>
      <c r="AB68" s="105">
        <v>1184500</v>
      </c>
      <c r="AC68" s="12">
        <v>43.39</v>
      </c>
      <c r="AD68" s="2">
        <f t="shared" si="13"/>
        <v>0.78000000000000114</v>
      </c>
      <c r="AE68" s="148" t="e">
        <f>AC68/AC69-1</f>
        <v>#DIV/0!</v>
      </c>
    </row>
    <row r="69" spans="15:31" x14ac:dyDescent="0.25">
      <c r="O69" s="37"/>
      <c r="W69" s="327" t="s">
        <v>125</v>
      </c>
      <c r="AB69" s="265"/>
    </row>
  </sheetData>
  <conditionalFormatting sqref="O47:O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97" priority="27">
      <formula>F21&gt;0</formula>
    </cfRule>
    <cfRule type="expression" dxfId="196" priority="28">
      <formula>F21&lt;0</formula>
    </cfRule>
  </conditionalFormatting>
  <conditionalFormatting sqref="H21:H23">
    <cfRule type="expression" dxfId="195" priority="25">
      <formula>H21&gt;0</formula>
    </cfRule>
    <cfRule type="expression" dxfId="194" priority="26">
      <formula>H21&lt;0</formula>
    </cfRule>
  </conditionalFormatting>
  <conditionalFormatting sqref="H24">
    <cfRule type="expression" dxfId="193" priority="23">
      <formula>H24&gt;0</formula>
    </cfRule>
    <cfRule type="expression" dxfId="192" priority="24">
      <formula>H24&lt;0</formula>
    </cfRule>
  </conditionalFormatting>
  <conditionalFormatting sqref="H25">
    <cfRule type="expression" dxfId="191" priority="21">
      <formula>H25&gt;0</formula>
    </cfRule>
    <cfRule type="expression" dxfId="190" priority="22">
      <formula>H25&lt;0</formula>
    </cfRule>
  </conditionalFormatting>
  <conditionalFormatting sqref="H26:H30">
    <cfRule type="expression" dxfId="189" priority="19">
      <formula>H26&gt;0</formula>
    </cfRule>
    <cfRule type="expression" dxfId="188" priority="20">
      <formula>H26&lt;0</formula>
    </cfRule>
  </conditionalFormatting>
  <conditionalFormatting sqref="F17:F20">
    <cfRule type="expression" dxfId="187" priority="17">
      <formula>F17&gt;0</formula>
    </cfRule>
    <cfRule type="expression" dxfId="186" priority="18">
      <formula>F17&lt;0</formula>
    </cfRule>
  </conditionalFormatting>
  <conditionalFormatting sqref="H17:H20">
    <cfRule type="expression" dxfId="185" priority="15">
      <formula>H17&gt;0</formula>
    </cfRule>
    <cfRule type="expression" dxfId="184" priority="16">
      <formula>H17&lt;0</formula>
    </cfRule>
  </conditionalFormatting>
  <conditionalFormatting sqref="Q7">
    <cfRule type="expression" dxfId="183" priority="13">
      <formula>Q7&gt;0</formula>
    </cfRule>
    <cfRule type="expression" dxfId="182" priority="14">
      <formula>Q7&lt;0</formula>
    </cfRule>
  </conditionalFormatting>
  <conditionalFormatting sqref="F26:F27">
    <cfRule type="expression" dxfId="181" priority="11">
      <formula>F26&gt;0</formula>
    </cfRule>
    <cfRule type="expression" dxfId="180" priority="12">
      <formula>F26&lt;0</formula>
    </cfRule>
  </conditionalFormatting>
  <conditionalFormatting sqref="I21:I23">
    <cfRule type="expression" dxfId="179" priority="9">
      <formula>I21&gt;0</formula>
    </cfRule>
    <cfRule type="expression" dxfId="178" priority="10">
      <formula>I21&lt;0</formula>
    </cfRule>
  </conditionalFormatting>
  <conditionalFormatting sqref="I24">
    <cfRule type="expression" dxfId="177" priority="7">
      <formula>I24&gt;0</formula>
    </cfRule>
    <cfRule type="expression" dxfId="176" priority="8">
      <formula>I24&lt;0</formula>
    </cfRule>
  </conditionalFormatting>
  <conditionalFormatting sqref="I25">
    <cfRule type="expression" dxfId="175" priority="5">
      <formula>I25&gt;0</formula>
    </cfRule>
    <cfRule type="expression" dxfId="174" priority="6">
      <formula>I25&lt;0</formula>
    </cfRule>
  </conditionalFormatting>
  <conditionalFormatting sqref="I26:I30">
    <cfRule type="expression" dxfId="173" priority="3">
      <formula>I26&gt;0</formula>
    </cfRule>
    <cfRule type="expression" dxfId="172" priority="4">
      <formula>I26&lt;0</formula>
    </cfRule>
  </conditionalFormatting>
  <conditionalFormatting sqref="I17:I20">
    <cfRule type="expression" dxfId="171" priority="1">
      <formula>I17&gt;0</formula>
    </cfRule>
    <cfRule type="expression" dxfId="170" priority="2">
      <formula>I17&lt;0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42460</v>
      </c>
      <c r="X2" s="12">
        <v>56.87</v>
      </c>
      <c r="Y2" s="12">
        <v>57.54</v>
      </c>
      <c r="Z2" s="12">
        <v>56.84</v>
      </c>
      <c r="AA2" s="12">
        <v>56.96</v>
      </c>
      <c r="AB2" s="105">
        <v>1907600</v>
      </c>
      <c r="AC2" s="12">
        <v>56.96</v>
      </c>
      <c r="AD2" s="2">
        <f>Y2-Z2</f>
        <v>0.69999999999999574</v>
      </c>
      <c r="AE2" s="148">
        <f>AC2/AC3-1</f>
        <v>1.5825567082821124E-3</v>
      </c>
      <c r="AP2" t="s">
        <v>185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56.97</v>
      </c>
      <c r="T3" s="1">
        <v>42312</v>
      </c>
      <c r="U3" t="s">
        <v>169</v>
      </c>
      <c r="W3" s="143">
        <v>42459</v>
      </c>
      <c r="X3" s="12">
        <v>56.9</v>
      </c>
      <c r="Y3" s="12">
        <v>57.19</v>
      </c>
      <c r="Z3" s="12">
        <v>56.41</v>
      </c>
      <c r="AA3" s="12">
        <v>56.87</v>
      </c>
      <c r="AB3" s="105">
        <v>1516400</v>
      </c>
      <c r="AC3" s="12">
        <v>56.87</v>
      </c>
      <c r="AD3" s="2">
        <f t="shared" ref="AD3:AD66" si="1">Y3-Z3</f>
        <v>0.78000000000000114</v>
      </c>
      <c r="AE3" s="148">
        <f t="shared" ref="AE3:AE66" si="2">AC3/AC4-1</f>
        <v>8.8699662941280621E-3</v>
      </c>
      <c r="AI3" t="s">
        <v>187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56.97</v>
      </c>
      <c r="W4" s="143">
        <v>42458</v>
      </c>
      <c r="X4" s="12">
        <v>56.14</v>
      </c>
      <c r="Y4" s="12">
        <v>56.4</v>
      </c>
      <c r="Z4" s="12">
        <v>55.7</v>
      </c>
      <c r="AA4" s="12">
        <v>56.37</v>
      </c>
      <c r="AB4" s="105">
        <v>1655900</v>
      </c>
      <c r="AC4" s="12">
        <v>56.37</v>
      </c>
      <c r="AD4" s="2">
        <f t="shared" si="1"/>
        <v>0.69999999999999574</v>
      </c>
      <c r="AE4" s="148">
        <f t="shared" si="2"/>
        <v>1.7771459036786119E-3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42457</v>
      </c>
      <c r="X5" s="12">
        <v>55.74</v>
      </c>
      <c r="Y5" s="12">
        <v>56.66</v>
      </c>
      <c r="Z5" s="12">
        <v>55.48</v>
      </c>
      <c r="AA5" s="12">
        <v>56.27</v>
      </c>
      <c r="AB5" s="105">
        <v>1604400</v>
      </c>
      <c r="AC5" s="12">
        <v>56.27</v>
      </c>
      <c r="AD5" s="2">
        <f t="shared" si="1"/>
        <v>1.1799999999999997</v>
      </c>
      <c r="AE5" s="148">
        <f t="shared" si="2"/>
        <v>1.332613001980909E-2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42453</v>
      </c>
      <c r="X6" s="12">
        <v>55.81</v>
      </c>
      <c r="Y6" s="12">
        <v>55.82</v>
      </c>
      <c r="Z6" s="12">
        <v>55.05</v>
      </c>
      <c r="AA6" s="12">
        <v>55.53</v>
      </c>
      <c r="AB6" s="105">
        <v>1994700</v>
      </c>
      <c r="AC6" s="12">
        <v>55.53</v>
      </c>
      <c r="AD6" s="2">
        <f t="shared" si="1"/>
        <v>0.77000000000000313</v>
      </c>
      <c r="AE6" s="148">
        <f t="shared" si="2"/>
        <v>-7.1517968889682759E-3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42452</v>
      </c>
      <c r="X7" s="12">
        <v>56.04</v>
      </c>
      <c r="Y7" s="12">
        <v>56.55</v>
      </c>
      <c r="Z7" s="12">
        <v>55.38</v>
      </c>
      <c r="AA7" s="12">
        <v>55.93</v>
      </c>
      <c r="AB7" s="105">
        <v>2081700</v>
      </c>
      <c r="AC7" s="12">
        <v>55.93</v>
      </c>
      <c r="AD7" s="2">
        <f t="shared" si="1"/>
        <v>1.1699999999999946</v>
      </c>
      <c r="AE7" s="148">
        <f t="shared" si="2"/>
        <v>-1.9628836545324546E-3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42451</v>
      </c>
      <c r="X8" s="12">
        <v>56.59</v>
      </c>
      <c r="Y8" s="12">
        <v>56.75</v>
      </c>
      <c r="Z8" s="12">
        <v>55.37</v>
      </c>
      <c r="AA8" s="12">
        <v>56.04</v>
      </c>
      <c r="AB8" s="105">
        <v>1843000</v>
      </c>
      <c r="AC8" s="12">
        <v>56.04</v>
      </c>
      <c r="AD8" s="2">
        <f t="shared" si="1"/>
        <v>1.3800000000000026</v>
      </c>
      <c r="AE8" s="148">
        <f t="shared" si="2"/>
        <v>-1.5460295151089265E-2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42450</v>
      </c>
      <c r="X9" s="12">
        <v>56.77</v>
      </c>
      <c r="Y9" s="12">
        <v>57.48</v>
      </c>
      <c r="Z9" s="12">
        <v>56.65</v>
      </c>
      <c r="AA9" s="12">
        <v>56.92</v>
      </c>
      <c r="AB9" s="105">
        <v>1419300</v>
      </c>
      <c r="AC9" s="12">
        <v>56.92</v>
      </c>
      <c r="AD9" s="2">
        <f t="shared" si="1"/>
        <v>0.82999999999999829</v>
      </c>
      <c r="AE9" s="148">
        <f t="shared" si="2"/>
        <v>-8.7765490609093E-4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42447</v>
      </c>
      <c r="X10" s="12">
        <v>57.17</v>
      </c>
      <c r="Y10" s="12">
        <v>57.54</v>
      </c>
      <c r="Z10" s="12">
        <v>56.22</v>
      </c>
      <c r="AA10" s="12">
        <v>56.97</v>
      </c>
      <c r="AB10" s="105">
        <v>2974600</v>
      </c>
      <c r="AC10" s="12">
        <v>56.97</v>
      </c>
      <c r="AD10" s="2">
        <f t="shared" si="1"/>
        <v>1.3200000000000003</v>
      </c>
      <c r="AE10" s="148">
        <f t="shared" si="2"/>
        <v>3.1695721077653616E-3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42446</v>
      </c>
      <c r="X11" s="12">
        <v>56.08</v>
      </c>
      <c r="Y11" s="12">
        <v>57.09</v>
      </c>
      <c r="Z11" s="12">
        <v>56.07</v>
      </c>
      <c r="AA11" s="12">
        <v>56.79</v>
      </c>
      <c r="AB11" s="105">
        <v>2531800</v>
      </c>
      <c r="AC11" s="12">
        <v>56.79</v>
      </c>
      <c r="AD11" s="2">
        <f t="shared" si="1"/>
        <v>1.0200000000000031</v>
      </c>
      <c r="AE11" s="148">
        <f t="shared" si="2"/>
        <v>1.3021762397431358E-2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42445</v>
      </c>
      <c r="X12" s="12">
        <v>57</v>
      </c>
      <c r="Y12" s="12">
        <v>57.15</v>
      </c>
      <c r="Z12" s="12">
        <v>55.2</v>
      </c>
      <c r="AA12" s="12">
        <v>56.06</v>
      </c>
      <c r="AB12" s="105">
        <v>3585000</v>
      </c>
      <c r="AC12" s="12">
        <v>56.06</v>
      </c>
      <c r="AD12" s="2">
        <f t="shared" si="1"/>
        <v>1.9499999999999957</v>
      </c>
      <c r="AE12" s="148">
        <f t="shared" si="2"/>
        <v>-2.1469715482632212E-2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42444</v>
      </c>
      <c r="X13" s="12">
        <v>58.23</v>
      </c>
      <c r="Y13" s="12">
        <v>58.46</v>
      </c>
      <c r="Z13" s="12">
        <v>56.66</v>
      </c>
      <c r="AA13" s="12">
        <v>57.29</v>
      </c>
      <c r="AB13" s="105">
        <v>2411300</v>
      </c>
      <c r="AC13" s="12">
        <v>57.29</v>
      </c>
      <c r="AD13" s="2">
        <f t="shared" si="1"/>
        <v>1.8000000000000043</v>
      </c>
      <c r="AE13" s="148">
        <f t="shared" si="2"/>
        <v>-2.1352921079603737E-2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42443</v>
      </c>
      <c r="X14" s="12">
        <v>58.52</v>
      </c>
      <c r="Y14" s="12">
        <v>59.49</v>
      </c>
      <c r="Z14" s="12">
        <v>58.47</v>
      </c>
      <c r="AA14" s="12">
        <v>58.54</v>
      </c>
      <c r="AB14" s="105">
        <v>2516900</v>
      </c>
      <c r="AC14" s="12">
        <v>58.54</v>
      </c>
      <c r="AD14" s="2">
        <f t="shared" si="1"/>
        <v>1.0200000000000031</v>
      </c>
      <c r="AE14" s="148">
        <f t="shared" si="2"/>
        <v>6.8376068376063692E-4</v>
      </c>
    </row>
    <row r="15" spans="1:43" x14ac:dyDescent="0.25">
      <c r="B15" s="1"/>
      <c r="C15" s="4"/>
      <c r="W15" s="143">
        <v>42440</v>
      </c>
      <c r="X15" s="12">
        <v>58.01</v>
      </c>
      <c r="Y15" s="12">
        <v>58.6</v>
      </c>
      <c r="Z15" s="12">
        <v>57.66</v>
      </c>
      <c r="AA15" s="12">
        <v>58.5</v>
      </c>
      <c r="AB15" s="105">
        <v>2286200</v>
      </c>
      <c r="AC15" s="12">
        <v>58.5</v>
      </c>
      <c r="AD15" s="2">
        <f t="shared" si="1"/>
        <v>0.94000000000000483</v>
      </c>
      <c r="AE15" s="148">
        <f t="shared" si="2"/>
        <v>1.9696705595258823E-2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42439</v>
      </c>
      <c r="X16" s="12">
        <v>58.19</v>
      </c>
      <c r="Y16" s="12">
        <v>58.32</v>
      </c>
      <c r="Z16" s="12">
        <v>56.53</v>
      </c>
      <c r="AA16" s="12">
        <v>57.37</v>
      </c>
      <c r="AB16" s="105">
        <v>3203900</v>
      </c>
      <c r="AC16" s="12">
        <v>57.37</v>
      </c>
      <c r="AD16" s="2">
        <f t="shared" si="1"/>
        <v>1.7899999999999991</v>
      </c>
      <c r="AE16" s="148">
        <f t="shared" si="2"/>
        <v>-1.3243894048847626E-2</v>
      </c>
    </row>
    <row r="17" spans="2:31" x14ac:dyDescent="0.25">
      <c r="G17" s="2"/>
      <c r="W17" s="143">
        <v>42438</v>
      </c>
      <c r="X17" s="12">
        <v>57.27</v>
      </c>
      <c r="Y17" s="12">
        <v>58.5</v>
      </c>
      <c r="Z17" s="12">
        <v>56.73</v>
      </c>
      <c r="AA17" s="12">
        <v>58.14</v>
      </c>
      <c r="AB17" s="105">
        <v>2958000</v>
      </c>
      <c r="AC17" s="12">
        <v>58.14</v>
      </c>
      <c r="AD17" s="2">
        <f t="shared" si="1"/>
        <v>1.7700000000000031</v>
      </c>
      <c r="AE17" s="148">
        <f t="shared" si="2"/>
        <v>2.4493392070484621E-2</v>
      </c>
    </row>
    <row r="18" spans="2:31" x14ac:dyDescent="0.25">
      <c r="B18" s="209" t="s">
        <v>117</v>
      </c>
      <c r="C18" s="209" t="s">
        <v>167</v>
      </c>
      <c r="D18" s="210" t="s">
        <v>166</v>
      </c>
      <c r="E18" s="212" t="s">
        <v>168</v>
      </c>
      <c r="F18" s="213" t="s">
        <v>65</v>
      </c>
      <c r="G18" s="253" t="s">
        <v>172</v>
      </c>
      <c r="H18" s="213" t="s">
        <v>90</v>
      </c>
      <c r="W18" s="143">
        <v>42437</v>
      </c>
      <c r="X18" s="12">
        <v>57.08</v>
      </c>
      <c r="Y18" s="12">
        <v>57.61</v>
      </c>
      <c r="Z18" s="12">
        <v>56.34</v>
      </c>
      <c r="AA18" s="12">
        <v>56.75</v>
      </c>
      <c r="AB18" s="105">
        <v>2278300</v>
      </c>
      <c r="AC18" s="12">
        <v>56.75</v>
      </c>
      <c r="AD18" s="2">
        <f t="shared" si="1"/>
        <v>1.269999999999996</v>
      </c>
      <c r="AE18" s="148">
        <f t="shared" si="2"/>
        <v>-1.184050148006266E-2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42436</v>
      </c>
      <c r="X19" s="12">
        <v>57.14</v>
      </c>
      <c r="Y19" s="12">
        <v>57.7</v>
      </c>
      <c r="Z19" s="12">
        <v>56.77</v>
      </c>
      <c r="AA19" s="12">
        <v>57.43</v>
      </c>
      <c r="AB19" s="105">
        <v>2010100</v>
      </c>
      <c r="AC19" s="12">
        <v>57.43</v>
      </c>
      <c r="AD19" s="2">
        <f t="shared" si="1"/>
        <v>0.92999999999999972</v>
      </c>
      <c r="AE19" s="148">
        <f t="shared" si="2"/>
        <v>4.7235829251224271E-3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42433</v>
      </c>
      <c r="X20" s="12">
        <v>57.52</v>
      </c>
      <c r="Y20" s="12">
        <v>57.86</v>
      </c>
      <c r="Z20" s="12">
        <v>56.87</v>
      </c>
      <c r="AA20" s="12">
        <v>57.16</v>
      </c>
      <c r="AB20" s="105">
        <v>2317700</v>
      </c>
      <c r="AC20" s="12">
        <v>57.16</v>
      </c>
      <c r="AD20" s="2">
        <f t="shared" si="1"/>
        <v>0.99000000000000199</v>
      </c>
      <c r="AE20" s="148">
        <f t="shared" si="2"/>
        <v>-5.2456723203364586E-4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42432</v>
      </c>
      <c r="X21" s="12">
        <v>57.75</v>
      </c>
      <c r="Y21" s="12">
        <v>57.76</v>
      </c>
      <c r="Z21" s="12">
        <v>56.71</v>
      </c>
      <c r="AA21" s="12">
        <v>57.19</v>
      </c>
      <c r="AB21" s="105">
        <v>3155500</v>
      </c>
      <c r="AC21" s="12">
        <v>57.19</v>
      </c>
      <c r="AD21" s="2">
        <f t="shared" si="1"/>
        <v>1.0499999999999972</v>
      </c>
      <c r="AE21" s="148">
        <f t="shared" si="2"/>
        <v>-1.1237897648686102E-2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42431</v>
      </c>
      <c r="X22" s="12">
        <v>57.35</v>
      </c>
      <c r="Y22" s="12">
        <v>57.87</v>
      </c>
      <c r="Z22" s="12">
        <v>56.62</v>
      </c>
      <c r="AA22" s="12">
        <v>57.84</v>
      </c>
      <c r="AB22" s="105">
        <v>2704800</v>
      </c>
      <c r="AC22" s="12">
        <v>57.84</v>
      </c>
      <c r="AD22" s="2">
        <f t="shared" si="1"/>
        <v>1.25</v>
      </c>
      <c r="AE22" s="148">
        <f t="shared" si="2"/>
        <v>9.6002792808518311E-3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42430</v>
      </c>
      <c r="X23" s="12">
        <v>56.99</v>
      </c>
      <c r="Y23" s="12">
        <v>57.74</v>
      </c>
      <c r="Z23" s="12">
        <v>56.76</v>
      </c>
      <c r="AA23" s="12">
        <v>57.29</v>
      </c>
      <c r="AB23" s="105">
        <v>3547300</v>
      </c>
      <c r="AC23" s="12">
        <v>57.29</v>
      </c>
      <c r="AD23" s="2">
        <f t="shared" si="1"/>
        <v>0.98000000000000398</v>
      </c>
      <c r="AE23" s="148">
        <f t="shared" si="2"/>
        <v>1.1297440423654104E-2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42429</v>
      </c>
      <c r="X24" s="12">
        <v>56.75</v>
      </c>
      <c r="Y24" s="12">
        <v>57.39</v>
      </c>
      <c r="Z24" s="12">
        <v>56.33</v>
      </c>
      <c r="AA24" s="12">
        <v>56.65</v>
      </c>
      <c r="AB24" s="105">
        <v>4104800</v>
      </c>
      <c r="AC24" s="12">
        <v>56.65</v>
      </c>
      <c r="AD24" s="2">
        <f t="shared" si="1"/>
        <v>1.0600000000000023</v>
      </c>
      <c r="AE24" s="148">
        <f t="shared" si="2"/>
        <v>1.237186284906322E-3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42426</v>
      </c>
      <c r="X25" s="12">
        <v>56.52</v>
      </c>
      <c r="Y25" s="12">
        <v>57.24</v>
      </c>
      <c r="Z25" s="12">
        <v>55.43</v>
      </c>
      <c r="AA25" s="12">
        <v>56.58</v>
      </c>
      <c r="AB25" s="105">
        <v>3848700</v>
      </c>
      <c r="AC25" s="12">
        <v>56.58</v>
      </c>
      <c r="AD25" s="2">
        <f t="shared" si="1"/>
        <v>1.8100000000000023</v>
      </c>
      <c r="AE25" s="148">
        <f t="shared" si="2"/>
        <v>1.9479369576766992E-3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42425</v>
      </c>
      <c r="X26" s="12">
        <v>55.22</v>
      </c>
      <c r="Y26" s="12">
        <v>56.66</v>
      </c>
      <c r="Z26" s="12">
        <v>55.02</v>
      </c>
      <c r="AA26" s="12">
        <v>56.47</v>
      </c>
      <c r="AB26" s="105">
        <v>3634400</v>
      </c>
      <c r="AC26" s="12">
        <v>56.47</v>
      </c>
      <c r="AD26" s="2">
        <f t="shared" si="1"/>
        <v>1.6399999999999935</v>
      </c>
      <c r="AE26" s="148">
        <f t="shared" si="2"/>
        <v>1.8578643578643694E-2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42424</v>
      </c>
      <c r="X27" s="12">
        <v>54.2</v>
      </c>
      <c r="Y27" s="12">
        <v>55.83</v>
      </c>
      <c r="Z27" s="12">
        <v>54.12</v>
      </c>
      <c r="AA27" s="12">
        <v>55.44</v>
      </c>
      <c r="AB27" s="105">
        <v>3494900</v>
      </c>
      <c r="AC27" s="12">
        <v>55.44</v>
      </c>
      <c r="AD27" s="2">
        <f t="shared" si="1"/>
        <v>1.7100000000000009</v>
      </c>
      <c r="AE27" s="148">
        <f t="shared" si="2"/>
        <v>1.2232974255979467E-2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42423</v>
      </c>
      <c r="X28" s="12">
        <v>54.56</v>
      </c>
      <c r="Y28" s="12">
        <v>55.77</v>
      </c>
      <c r="Z28" s="12">
        <v>54.15</v>
      </c>
      <c r="AA28" s="12">
        <v>54.77</v>
      </c>
      <c r="AB28" s="105">
        <v>3179800</v>
      </c>
      <c r="AC28" s="12">
        <v>54.77</v>
      </c>
      <c r="AD28" s="2">
        <f t="shared" si="1"/>
        <v>1.6200000000000045</v>
      </c>
      <c r="AE28" s="148">
        <f t="shared" si="2"/>
        <v>-9.1207588471353684E-4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42422</v>
      </c>
      <c r="X29" s="12">
        <v>53.01</v>
      </c>
      <c r="Y29" s="12">
        <v>55</v>
      </c>
      <c r="Z29" s="12">
        <v>52.74</v>
      </c>
      <c r="AA29" s="12">
        <v>54.82</v>
      </c>
      <c r="AB29" s="105">
        <v>4837900</v>
      </c>
      <c r="AC29" s="12">
        <v>54.82</v>
      </c>
      <c r="AD29" s="2">
        <f t="shared" si="1"/>
        <v>2.259999999999998</v>
      </c>
      <c r="AE29" s="148">
        <f t="shared" si="2"/>
        <v>3.9635880902711973E-2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42419</v>
      </c>
      <c r="X30" s="12">
        <v>52.78</v>
      </c>
      <c r="Y30" s="12">
        <v>53.28</v>
      </c>
      <c r="Z30" s="12">
        <v>51.91</v>
      </c>
      <c r="AA30" s="12">
        <v>52.73</v>
      </c>
      <c r="AB30" s="105">
        <v>2631600</v>
      </c>
      <c r="AC30" s="12">
        <v>52.73</v>
      </c>
      <c r="AD30" s="2">
        <f t="shared" si="1"/>
        <v>1.3700000000000045</v>
      </c>
      <c r="AE30" s="148">
        <f t="shared" si="2"/>
        <v>-9.5792637114952006E-3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42418</v>
      </c>
      <c r="X31" s="12">
        <v>52.54</v>
      </c>
      <c r="Y31" s="12">
        <v>53.93</v>
      </c>
      <c r="Z31" s="12">
        <v>52.07</v>
      </c>
      <c r="AA31" s="12">
        <v>53.24</v>
      </c>
      <c r="AB31" s="105">
        <v>4843200</v>
      </c>
      <c r="AC31" s="12">
        <v>53.24</v>
      </c>
      <c r="AD31" s="2">
        <f t="shared" si="1"/>
        <v>1.8599999999999994</v>
      </c>
      <c r="AE31" s="148">
        <f t="shared" si="2"/>
        <v>1.4288435892551021E-2</v>
      </c>
    </row>
    <row r="32" spans="2:31" x14ac:dyDescent="0.25">
      <c r="W32" s="143">
        <v>42417</v>
      </c>
      <c r="X32" s="12">
        <v>51.78</v>
      </c>
      <c r="Y32" s="12">
        <v>52.54</v>
      </c>
      <c r="Z32" s="12">
        <v>51.55</v>
      </c>
      <c r="AA32" s="12">
        <v>52.49</v>
      </c>
      <c r="AB32" s="105">
        <v>4791400</v>
      </c>
      <c r="AC32" s="12">
        <v>52.49</v>
      </c>
      <c r="AD32" s="2">
        <f t="shared" si="1"/>
        <v>0.99000000000000199</v>
      </c>
      <c r="AE32" s="148">
        <f t="shared" si="2"/>
        <v>3.4081954294720385E-2</v>
      </c>
    </row>
    <row r="33" spans="15:31" x14ac:dyDescent="0.25">
      <c r="W33" s="143">
        <v>42416</v>
      </c>
      <c r="X33" s="12">
        <v>50.05</v>
      </c>
      <c r="Y33" s="12">
        <v>51.6</v>
      </c>
      <c r="Z33" s="12">
        <v>49.25</v>
      </c>
      <c r="AA33" s="12">
        <v>50.76</v>
      </c>
      <c r="AB33" s="105">
        <v>3891000</v>
      </c>
      <c r="AC33" s="12">
        <v>50.76</v>
      </c>
      <c r="AD33" s="2">
        <f t="shared" si="1"/>
        <v>2.3500000000000014</v>
      </c>
      <c r="AE33" s="148">
        <f t="shared" si="2"/>
        <v>2.4006455517449954E-2</v>
      </c>
    </row>
    <row r="34" spans="15:31" x14ac:dyDescent="0.25">
      <c r="W34" s="143">
        <v>42412</v>
      </c>
      <c r="X34" s="12">
        <v>49.57</v>
      </c>
      <c r="Y34" s="12">
        <v>50</v>
      </c>
      <c r="Z34" s="12">
        <v>48.13</v>
      </c>
      <c r="AA34" s="12">
        <v>49.57</v>
      </c>
      <c r="AB34" s="105">
        <v>4214200</v>
      </c>
      <c r="AC34" s="12">
        <v>49.57</v>
      </c>
      <c r="AD34" s="2">
        <f t="shared" si="1"/>
        <v>1.8699999999999974</v>
      </c>
      <c r="AE34" s="148">
        <f t="shared" si="2"/>
        <v>8.7505087505086454E-3</v>
      </c>
    </row>
    <row r="35" spans="15:31" x14ac:dyDescent="0.25">
      <c r="W35" s="143">
        <v>42411</v>
      </c>
      <c r="X35" s="12">
        <v>49.72</v>
      </c>
      <c r="Y35" s="12">
        <v>50.44</v>
      </c>
      <c r="Z35" s="12">
        <v>48.6</v>
      </c>
      <c r="AA35" s="12">
        <v>49.14</v>
      </c>
      <c r="AB35" s="105">
        <v>4508200</v>
      </c>
      <c r="AC35" s="12">
        <v>49.14</v>
      </c>
      <c r="AD35" s="2">
        <f t="shared" si="1"/>
        <v>1.8399999999999963</v>
      </c>
      <c r="AE35" s="148">
        <f t="shared" si="2"/>
        <v>-2.0334928229664984E-2</v>
      </c>
    </row>
    <row r="36" spans="15:31" x14ac:dyDescent="0.25">
      <c r="W36" s="143">
        <v>42410</v>
      </c>
      <c r="X36" s="12">
        <v>51</v>
      </c>
      <c r="Y36" s="12">
        <v>51.64</v>
      </c>
      <c r="Z36" s="12">
        <v>49.54</v>
      </c>
      <c r="AA36" s="12">
        <v>50.16</v>
      </c>
      <c r="AB36" s="105">
        <v>3698800</v>
      </c>
      <c r="AC36" s="12">
        <v>50.16</v>
      </c>
      <c r="AD36" s="2">
        <f t="shared" si="1"/>
        <v>2.1000000000000014</v>
      </c>
      <c r="AE36" s="148">
        <f t="shared" si="2"/>
        <v>-1.3935894883535527E-3</v>
      </c>
    </row>
    <row r="37" spans="15:31" x14ac:dyDescent="0.25">
      <c r="W37" s="143">
        <v>42409</v>
      </c>
      <c r="X37" s="12">
        <v>48.32</v>
      </c>
      <c r="Y37" s="12">
        <v>50.87</v>
      </c>
      <c r="Z37" s="12">
        <v>48.32</v>
      </c>
      <c r="AA37" s="12">
        <v>50.23</v>
      </c>
      <c r="AB37" s="105">
        <v>4482600</v>
      </c>
      <c r="AC37" s="12">
        <v>50.23</v>
      </c>
      <c r="AD37" s="2">
        <f t="shared" si="1"/>
        <v>2.5499999999999972</v>
      </c>
      <c r="AE37" s="148">
        <f t="shared" si="2"/>
        <v>5.9760956175280988E-4</v>
      </c>
    </row>
    <row r="38" spans="15:31" x14ac:dyDescent="0.25">
      <c r="W38" s="143">
        <v>42408</v>
      </c>
      <c r="X38" s="12">
        <v>51.46</v>
      </c>
      <c r="Y38" s="12">
        <v>52.07</v>
      </c>
      <c r="Z38" s="12">
        <v>49.34</v>
      </c>
      <c r="AA38" s="12">
        <v>50.2</v>
      </c>
      <c r="AB38" s="105">
        <v>5403600</v>
      </c>
      <c r="AC38" s="12">
        <v>50.2</v>
      </c>
      <c r="AD38" s="2">
        <f t="shared" si="1"/>
        <v>2.7299999999999969</v>
      </c>
      <c r="AE38" s="148">
        <f t="shared" si="2"/>
        <v>-3.1635802469135776E-2</v>
      </c>
    </row>
    <row r="39" spans="15:31" x14ac:dyDescent="0.25">
      <c r="W39" s="143">
        <v>42405</v>
      </c>
      <c r="X39" s="12">
        <v>51.38</v>
      </c>
      <c r="Y39" s="12">
        <v>52.47</v>
      </c>
      <c r="Z39" s="12">
        <v>50.73</v>
      </c>
      <c r="AA39" s="12">
        <v>51.84</v>
      </c>
      <c r="AB39" s="105">
        <v>5363000</v>
      </c>
      <c r="AC39" s="12">
        <v>51.84</v>
      </c>
      <c r="AD39" s="2">
        <f t="shared" si="1"/>
        <v>1.740000000000002</v>
      </c>
      <c r="AE39" s="148">
        <f t="shared" si="2"/>
        <v>2.3201856148493682E-3</v>
      </c>
    </row>
    <row r="40" spans="15:31" x14ac:dyDescent="0.25">
      <c r="W40" s="143">
        <v>42404</v>
      </c>
      <c r="X40" s="12">
        <v>51.1</v>
      </c>
      <c r="Y40" s="12">
        <v>52.15</v>
      </c>
      <c r="Z40" s="12">
        <v>50.7</v>
      </c>
      <c r="AA40" s="12">
        <v>51.72</v>
      </c>
      <c r="AB40" s="105">
        <v>6332400</v>
      </c>
      <c r="AC40" s="12">
        <v>51.72</v>
      </c>
      <c r="AD40" s="2">
        <f t="shared" si="1"/>
        <v>1.4499999999999957</v>
      </c>
      <c r="AE40" s="148">
        <f t="shared" si="2"/>
        <v>0</v>
      </c>
    </row>
    <row r="41" spans="15:31" x14ac:dyDescent="0.25">
      <c r="W41" s="143">
        <v>42403</v>
      </c>
      <c r="X41" s="12">
        <v>49.84</v>
      </c>
      <c r="Y41" s="12">
        <v>52.63</v>
      </c>
      <c r="Z41" s="12">
        <v>49.24</v>
      </c>
      <c r="AA41" s="12">
        <v>51.72</v>
      </c>
      <c r="AB41" s="105">
        <v>11622900</v>
      </c>
      <c r="AC41" s="12">
        <v>51.72</v>
      </c>
      <c r="AD41" s="2">
        <f t="shared" si="1"/>
        <v>3.3900000000000006</v>
      </c>
      <c r="AE41" s="148">
        <f t="shared" si="2"/>
        <v>3.2129315505887046E-2</v>
      </c>
    </row>
    <row r="42" spans="15:31" x14ac:dyDescent="0.25">
      <c r="W42" s="143">
        <v>42402</v>
      </c>
      <c r="X42" s="12">
        <v>47.11</v>
      </c>
      <c r="Y42" s="12">
        <v>51.05</v>
      </c>
      <c r="Z42" s="12">
        <v>46.44</v>
      </c>
      <c r="AA42" s="12">
        <v>50.11</v>
      </c>
      <c r="AB42" s="105">
        <v>28498600</v>
      </c>
      <c r="AC42" s="12">
        <v>50.11</v>
      </c>
      <c r="AD42" s="2">
        <f t="shared" si="1"/>
        <v>4.6099999999999994</v>
      </c>
      <c r="AE42" s="148">
        <f t="shared" si="2"/>
        <v>0.23911968348170132</v>
      </c>
    </row>
    <row r="43" spans="15:31" x14ac:dyDescent="0.25">
      <c r="W43" s="143">
        <v>42401</v>
      </c>
      <c r="X43" s="12">
        <v>39.93</v>
      </c>
      <c r="Y43" s="12">
        <v>40.78</v>
      </c>
      <c r="Z43" s="12">
        <v>39.619999999999997</v>
      </c>
      <c r="AA43" s="12">
        <v>40.44</v>
      </c>
      <c r="AB43" s="105">
        <v>4745900</v>
      </c>
      <c r="AC43" s="12">
        <v>40.44</v>
      </c>
      <c r="AD43" s="2">
        <f t="shared" si="1"/>
        <v>1.1600000000000037</v>
      </c>
      <c r="AE43" s="148">
        <f t="shared" si="2"/>
        <v>1.3533834586466176E-2</v>
      </c>
    </row>
    <row r="44" spans="15:31" x14ac:dyDescent="0.25">
      <c r="W44" s="143">
        <v>42398</v>
      </c>
      <c r="X44" s="12">
        <v>38.89</v>
      </c>
      <c r="Y44" s="12">
        <v>40</v>
      </c>
      <c r="Z44" s="12">
        <v>38.69</v>
      </c>
      <c r="AA44" s="12">
        <v>39.9</v>
      </c>
      <c r="AB44" s="105">
        <v>3167800</v>
      </c>
      <c r="AC44" s="12">
        <v>39.9</v>
      </c>
      <c r="AD44" s="2">
        <f t="shared" si="1"/>
        <v>1.3100000000000023</v>
      </c>
      <c r="AE44" s="148">
        <f t="shared" si="2"/>
        <v>3.0209140201394424E-2</v>
      </c>
    </row>
    <row r="45" spans="15:31" x14ac:dyDescent="0.25">
      <c r="O45" s="37"/>
      <c r="R45" s="37"/>
      <c r="W45" s="143">
        <v>42397</v>
      </c>
      <c r="X45" s="12">
        <v>38.700000000000003</v>
      </c>
      <c r="Y45" s="12">
        <v>39.049999999999997</v>
      </c>
      <c r="Z45" s="12">
        <v>37.79</v>
      </c>
      <c r="AA45" s="12">
        <v>38.729999999999997</v>
      </c>
      <c r="AB45" s="105">
        <v>2444700</v>
      </c>
      <c r="AC45" s="12">
        <v>38.729999999999997</v>
      </c>
      <c r="AD45" s="2">
        <f t="shared" si="1"/>
        <v>1.259999999999998</v>
      </c>
      <c r="AE45" s="148">
        <f t="shared" si="2"/>
        <v>1.8406521167499301E-2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42396</v>
      </c>
      <c r="X46" s="12">
        <v>37.57</v>
      </c>
      <c r="Y46" s="12">
        <v>39.08</v>
      </c>
      <c r="Z46" s="12">
        <v>37.33</v>
      </c>
      <c r="AA46" s="12">
        <v>38.03</v>
      </c>
      <c r="AB46" s="105">
        <v>2869500</v>
      </c>
      <c r="AC46" s="12">
        <v>38.03</v>
      </c>
      <c r="AD46" s="2">
        <f t="shared" si="1"/>
        <v>1.75</v>
      </c>
      <c r="AE46" s="148">
        <f t="shared" si="2"/>
        <v>6.3508864779042717E-3</v>
      </c>
    </row>
    <row r="47" spans="15:31" ht="15.75" thickTop="1" x14ac:dyDescent="0.25">
      <c r="O47" s="93">
        <v>1.1000000000000001</v>
      </c>
      <c r="P47" s="93">
        <f>O47*$Q$4</f>
        <v>62.667000000000002</v>
      </c>
      <c r="Q47" s="37"/>
      <c r="R47" s="37"/>
      <c r="T47" s="138" t="s">
        <v>101</v>
      </c>
      <c r="U47" s="108">
        <v>56.96</v>
      </c>
      <c r="W47" s="143">
        <v>42395</v>
      </c>
      <c r="X47" s="12">
        <v>37.07</v>
      </c>
      <c r="Y47" s="12">
        <v>38.11</v>
      </c>
      <c r="Z47" s="12">
        <v>36.729999999999997</v>
      </c>
      <c r="AA47" s="12">
        <v>37.79</v>
      </c>
      <c r="AB47" s="105">
        <v>2547000</v>
      </c>
      <c r="AC47" s="12">
        <v>37.79</v>
      </c>
      <c r="AD47" s="2">
        <f t="shared" si="1"/>
        <v>1.3800000000000026</v>
      </c>
      <c r="AE47" s="148">
        <f t="shared" si="2"/>
        <v>2.8859243125510581E-2</v>
      </c>
    </row>
    <row r="48" spans="15:31" x14ac:dyDescent="0.25">
      <c r="O48" s="93">
        <v>1.0900000000000001</v>
      </c>
      <c r="P48" s="93">
        <f t="shared" ref="P48:P67" si="8">O48*$Q$4</f>
        <v>62.097300000000004</v>
      </c>
      <c r="Q48" s="37"/>
      <c r="R48" s="37"/>
      <c r="T48" s="103" t="s">
        <v>102</v>
      </c>
      <c r="U48" s="98" t="s">
        <v>134</v>
      </c>
      <c r="W48" s="143">
        <v>42394</v>
      </c>
      <c r="X48" s="12">
        <v>38.119999999999997</v>
      </c>
      <c r="Y48" s="12">
        <v>38.369999999999997</v>
      </c>
      <c r="Z48" s="12">
        <v>36.57</v>
      </c>
      <c r="AA48" s="12">
        <v>36.729999999999997</v>
      </c>
      <c r="AB48" s="105">
        <v>3301500</v>
      </c>
      <c r="AC48" s="12">
        <v>36.729999999999997</v>
      </c>
      <c r="AD48" s="2">
        <f t="shared" si="1"/>
        <v>1.7999999999999972</v>
      </c>
      <c r="AE48" s="148">
        <f t="shared" si="2"/>
        <v>-4.3738609737047685E-2</v>
      </c>
    </row>
    <row r="49" spans="15:31" x14ac:dyDescent="0.25">
      <c r="O49" s="93">
        <v>1.08</v>
      </c>
      <c r="P49" s="93">
        <f t="shared" si="8"/>
        <v>61.5276</v>
      </c>
      <c r="Q49" s="37"/>
      <c r="R49" s="37"/>
      <c r="T49" s="103" t="s">
        <v>103</v>
      </c>
      <c r="U49" s="98" t="s">
        <v>332</v>
      </c>
      <c r="W49" s="143">
        <v>42391</v>
      </c>
      <c r="X49" s="12">
        <v>38.06</v>
      </c>
      <c r="Y49" s="12">
        <v>38.78</v>
      </c>
      <c r="Z49" s="12">
        <v>37.89</v>
      </c>
      <c r="AA49" s="12">
        <v>38.409999999999997</v>
      </c>
      <c r="AB49" s="105">
        <v>2042100</v>
      </c>
      <c r="AC49" s="12">
        <v>38.409999999999997</v>
      </c>
      <c r="AD49" s="2">
        <f t="shared" si="1"/>
        <v>0.89000000000000057</v>
      </c>
      <c r="AE49" s="148">
        <f t="shared" si="2"/>
        <v>2.3993601706211676E-2</v>
      </c>
    </row>
    <row r="50" spans="15:31" x14ac:dyDescent="0.25">
      <c r="O50" s="93">
        <v>1.07</v>
      </c>
      <c r="P50" s="93">
        <f t="shared" si="8"/>
        <v>60.957900000000002</v>
      </c>
      <c r="Q50" s="93"/>
      <c r="R50" s="37"/>
      <c r="T50" s="103" t="s">
        <v>104</v>
      </c>
      <c r="U50" s="98" t="s">
        <v>333</v>
      </c>
      <c r="W50" s="143">
        <v>42390</v>
      </c>
      <c r="X50" s="12">
        <v>37</v>
      </c>
      <c r="Y50" s="12">
        <v>38.36</v>
      </c>
      <c r="Z50" s="12">
        <v>36.43</v>
      </c>
      <c r="AA50" s="12">
        <v>37.51</v>
      </c>
      <c r="AB50" s="105">
        <v>3488000</v>
      </c>
      <c r="AC50" s="12">
        <v>37.51</v>
      </c>
      <c r="AD50" s="2">
        <f t="shared" si="1"/>
        <v>1.9299999999999997</v>
      </c>
      <c r="AE50" s="148">
        <f t="shared" si="2"/>
        <v>2.7952863798300864E-2</v>
      </c>
    </row>
    <row r="51" spans="15:31" x14ac:dyDescent="0.25">
      <c r="O51" s="93">
        <v>1.06</v>
      </c>
      <c r="P51" s="93">
        <f t="shared" si="8"/>
        <v>60.388200000000005</v>
      </c>
      <c r="Q51" s="93"/>
      <c r="R51" s="37"/>
      <c r="T51" s="103" t="s">
        <v>105</v>
      </c>
      <c r="U51" s="98">
        <v>57.5</v>
      </c>
      <c r="W51" s="143">
        <v>42389</v>
      </c>
      <c r="X51" s="12">
        <v>35</v>
      </c>
      <c r="Y51" s="12">
        <v>36.89</v>
      </c>
      <c r="Z51" s="12">
        <v>34.83</v>
      </c>
      <c r="AA51" s="12">
        <v>36.49</v>
      </c>
      <c r="AB51" s="105">
        <v>3312100</v>
      </c>
      <c r="AC51" s="12">
        <v>36.49</v>
      </c>
      <c r="AD51" s="2">
        <f t="shared" si="1"/>
        <v>2.0600000000000023</v>
      </c>
      <c r="AE51" s="148">
        <f t="shared" si="2"/>
        <v>2.0413870246085208E-2</v>
      </c>
    </row>
    <row r="52" spans="15:31" x14ac:dyDescent="0.25">
      <c r="O52" s="93">
        <v>1.05</v>
      </c>
      <c r="P52" s="93">
        <f t="shared" si="8"/>
        <v>59.8185</v>
      </c>
      <c r="Q52" s="93"/>
      <c r="R52" s="37"/>
      <c r="T52" s="103" t="s">
        <v>106</v>
      </c>
      <c r="U52" s="98">
        <v>0.21054999999999999</v>
      </c>
      <c r="W52" s="143">
        <v>42388</v>
      </c>
      <c r="X52" s="12">
        <v>36.15</v>
      </c>
      <c r="Y52" s="12">
        <v>36.369999999999997</v>
      </c>
      <c r="Z52" s="12">
        <v>35.33</v>
      </c>
      <c r="AA52" s="12">
        <v>35.76</v>
      </c>
      <c r="AB52" s="105">
        <v>2950800</v>
      </c>
      <c r="AC52" s="12">
        <v>35.76</v>
      </c>
      <c r="AD52" s="2">
        <f t="shared" si="1"/>
        <v>1.0399999999999991</v>
      </c>
      <c r="AE52" s="148">
        <f t="shared" si="2"/>
        <v>5.3415799831317834E-3</v>
      </c>
    </row>
    <row r="53" spans="15:31" x14ac:dyDescent="0.25">
      <c r="O53" s="93">
        <v>1.04</v>
      </c>
      <c r="P53" s="93">
        <f t="shared" si="8"/>
        <v>59.248800000000003</v>
      </c>
      <c r="Q53" s="93"/>
      <c r="R53" s="37"/>
      <c r="T53" s="103" t="s">
        <v>126</v>
      </c>
      <c r="U53" s="98" t="s">
        <v>245</v>
      </c>
      <c r="W53" s="143">
        <v>42384</v>
      </c>
      <c r="X53" s="12">
        <v>35.049999999999997</v>
      </c>
      <c r="Y53" s="12">
        <v>36.03</v>
      </c>
      <c r="Z53" s="12">
        <v>34.909999999999997</v>
      </c>
      <c r="AA53" s="12">
        <v>35.57</v>
      </c>
      <c r="AB53" s="105">
        <v>3917900</v>
      </c>
      <c r="AC53" s="12">
        <v>35.57</v>
      </c>
      <c r="AD53" s="2">
        <f t="shared" si="1"/>
        <v>1.1200000000000045</v>
      </c>
      <c r="AE53" s="148">
        <f t="shared" si="2"/>
        <v>-1.4954306286347196E-2</v>
      </c>
    </row>
    <row r="54" spans="15:31" x14ac:dyDescent="0.25">
      <c r="O54" s="93">
        <v>1.03</v>
      </c>
      <c r="P54" s="93">
        <f t="shared" si="8"/>
        <v>58.679099999999998</v>
      </c>
      <c r="Q54" s="93"/>
      <c r="R54" s="37"/>
      <c r="T54" s="103"/>
      <c r="U54" s="98"/>
      <c r="W54" s="143">
        <v>42383</v>
      </c>
      <c r="X54" s="12">
        <v>36.26</v>
      </c>
      <c r="Y54" s="12">
        <v>36.619999999999997</v>
      </c>
      <c r="Z54" s="12">
        <v>35.020000000000003</v>
      </c>
      <c r="AA54" s="12">
        <v>36.11</v>
      </c>
      <c r="AB54" s="105">
        <v>2752200</v>
      </c>
      <c r="AC54" s="12">
        <v>36.11</v>
      </c>
      <c r="AD54" s="2">
        <f t="shared" si="1"/>
        <v>1.5999999999999943</v>
      </c>
      <c r="AE54" s="148">
        <f t="shared" si="2"/>
        <v>-1.1065006915629283E-3</v>
      </c>
    </row>
    <row r="55" spans="15:31" x14ac:dyDescent="0.25">
      <c r="O55" s="93">
        <v>1.02</v>
      </c>
      <c r="P55" s="93">
        <f t="shared" si="8"/>
        <v>58.109400000000001</v>
      </c>
      <c r="Q55" s="93"/>
      <c r="R55" s="37"/>
      <c r="T55" s="103" t="s">
        <v>108</v>
      </c>
      <c r="U55" s="98" t="s">
        <v>302</v>
      </c>
      <c r="W55" s="143">
        <v>42382</v>
      </c>
      <c r="X55" s="12">
        <v>37.67</v>
      </c>
      <c r="Y55" s="12">
        <v>38.119999999999997</v>
      </c>
      <c r="Z55" s="12">
        <v>36.06</v>
      </c>
      <c r="AA55" s="12">
        <v>36.15</v>
      </c>
      <c r="AB55" s="105">
        <v>3043900</v>
      </c>
      <c r="AC55" s="12">
        <v>36.15</v>
      </c>
      <c r="AD55" s="2">
        <f t="shared" si="1"/>
        <v>2.0599999999999952</v>
      </c>
      <c r="AE55" s="148">
        <f t="shared" si="2"/>
        <v>-3.6513859275053462E-2</v>
      </c>
    </row>
    <row r="56" spans="15:31" x14ac:dyDescent="0.25">
      <c r="O56" s="93">
        <v>1.01</v>
      </c>
      <c r="P56" s="93">
        <f t="shared" si="8"/>
        <v>57.539699999999996</v>
      </c>
      <c r="Q56" s="93"/>
      <c r="R56" s="37"/>
      <c r="T56" s="103" t="s">
        <v>109</v>
      </c>
      <c r="U56" s="98" t="s">
        <v>287</v>
      </c>
      <c r="W56" s="143">
        <v>42381</v>
      </c>
      <c r="X56" s="12">
        <v>37.71</v>
      </c>
      <c r="Y56" s="12">
        <v>37.99</v>
      </c>
      <c r="Z56" s="12">
        <v>36.81</v>
      </c>
      <c r="AA56" s="12">
        <v>37.520000000000003</v>
      </c>
      <c r="AB56" s="105">
        <v>1876200</v>
      </c>
      <c r="AC56" s="12">
        <v>37.520000000000003</v>
      </c>
      <c r="AD56" s="2">
        <f t="shared" si="1"/>
        <v>1.1799999999999997</v>
      </c>
      <c r="AE56" s="148">
        <f t="shared" si="2"/>
        <v>1.0231556273559539E-2</v>
      </c>
    </row>
    <row r="57" spans="15:31" x14ac:dyDescent="0.25">
      <c r="O57" s="93">
        <v>1</v>
      </c>
      <c r="P57" s="93">
        <f t="shared" si="8"/>
        <v>56.97</v>
      </c>
      <c r="Q57" s="93"/>
      <c r="R57" s="37"/>
      <c r="T57" s="103" t="s">
        <v>110</v>
      </c>
      <c r="U57" s="100">
        <v>0</v>
      </c>
      <c r="W57" s="143">
        <v>42380</v>
      </c>
      <c r="X57" s="12">
        <v>37.58</v>
      </c>
      <c r="Y57" s="12">
        <v>38.22</v>
      </c>
      <c r="Z57" s="12">
        <v>36.590000000000003</v>
      </c>
      <c r="AA57" s="12">
        <v>37.14</v>
      </c>
      <c r="AB57" s="105">
        <v>3564900</v>
      </c>
      <c r="AC57" s="12">
        <v>37.14</v>
      </c>
      <c r="AD57" s="2">
        <f t="shared" si="1"/>
        <v>1.6299999999999955</v>
      </c>
      <c r="AE57" s="148">
        <f t="shared" si="2"/>
        <v>-1.7200317544323829E-2</v>
      </c>
    </row>
    <row r="58" spans="15:31" x14ac:dyDescent="0.25">
      <c r="O58" s="93">
        <v>0.99</v>
      </c>
      <c r="P58" s="93">
        <f t="shared" si="8"/>
        <v>56.400300000000001</v>
      </c>
      <c r="Q58" s="93"/>
      <c r="R58" s="37"/>
      <c r="T58" s="103" t="s">
        <v>113</v>
      </c>
      <c r="U58" s="100">
        <v>3756920</v>
      </c>
      <c r="W58" s="143">
        <v>42377</v>
      </c>
      <c r="X58" s="12">
        <v>39.130000000000003</v>
      </c>
      <c r="Y58" s="12">
        <v>39.35</v>
      </c>
      <c r="Z58" s="12">
        <v>37.729999999999997</v>
      </c>
      <c r="AA58" s="12">
        <v>37.79</v>
      </c>
      <c r="AB58" s="105">
        <v>3952800</v>
      </c>
      <c r="AC58" s="12">
        <v>37.79</v>
      </c>
      <c r="AD58" s="2">
        <f t="shared" si="1"/>
        <v>1.6200000000000045</v>
      </c>
      <c r="AE58" s="148">
        <f t="shared" si="2"/>
        <v>-3.003080082135523E-2</v>
      </c>
    </row>
    <row r="59" spans="15:31" x14ac:dyDescent="0.25">
      <c r="O59" s="93">
        <v>0.98</v>
      </c>
      <c r="P59" s="93">
        <f t="shared" si="8"/>
        <v>55.830599999999997</v>
      </c>
      <c r="Q59" s="93"/>
      <c r="T59" s="103" t="s">
        <v>111</v>
      </c>
      <c r="U59" s="98" t="s">
        <v>334</v>
      </c>
      <c r="W59" s="143">
        <v>42376</v>
      </c>
      <c r="X59" s="12">
        <v>39.020000000000003</v>
      </c>
      <c r="Y59" s="12">
        <v>40.28</v>
      </c>
      <c r="Z59" s="12">
        <v>38.729999999999997</v>
      </c>
      <c r="AA59" s="12">
        <v>38.96</v>
      </c>
      <c r="AB59" s="105">
        <v>2807100</v>
      </c>
      <c r="AC59" s="12">
        <v>38.96</v>
      </c>
      <c r="AD59" s="2">
        <f t="shared" si="1"/>
        <v>1.5500000000000043</v>
      </c>
      <c r="AE59" s="148">
        <f t="shared" si="2"/>
        <v>-2.0120724346076369E-2</v>
      </c>
    </row>
    <row r="60" spans="15:31" x14ac:dyDescent="0.25">
      <c r="O60" s="93">
        <v>0.97</v>
      </c>
      <c r="P60" s="93">
        <f t="shared" si="8"/>
        <v>55.260899999999999</v>
      </c>
      <c r="Q60" s="93"/>
      <c r="T60" s="103" t="s">
        <v>114</v>
      </c>
      <c r="U60" s="98">
        <v>13.14</v>
      </c>
      <c r="W60" s="143">
        <v>42375</v>
      </c>
      <c r="X60" s="12">
        <v>39.979999999999997</v>
      </c>
      <c r="Y60" s="12">
        <v>40.86</v>
      </c>
      <c r="Z60" s="12">
        <v>39.29</v>
      </c>
      <c r="AA60" s="12">
        <v>39.76</v>
      </c>
      <c r="AB60" s="105">
        <v>3715900</v>
      </c>
      <c r="AC60" s="12">
        <v>39.76</v>
      </c>
      <c r="AD60" s="2">
        <f t="shared" si="1"/>
        <v>1.5700000000000003</v>
      </c>
      <c r="AE60" s="148">
        <f t="shared" si="2"/>
        <v>-2.3575638506876273E-2</v>
      </c>
    </row>
    <row r="61" spans="15:31" x14ac:dyDescent="0.25">
      <c r="O61" s="93">
        <v>0.96</v>
      </c>
      <c r="P61" s="93">
        <f t="shared" si="8"/>
        <v>54.691199999999995</v>
      </c>
      <c r="Q61" s="93"/>
      <c r="T61" s="103" t="s">
        <v>115</v>
      </c>
      <c r="U61" s="98">
        <v>4.34</v>
      </c>
      <c r="W61" s="143">
        <v>42374</v>
      </c>
      <c r="X61" s="12">
        <v>40.5</v>
      </c>
      <c r="Y61" s="12">
        <v>40.79</v>
      </c>
      <c r="Z61" s="12">
        <v>39.4</v>
      </c>
      <c r="AA61" s="12">
        <v>40.72</v>
      </c>
      <c r="AB61" s="105">
        <v>2374100</v>
      </c>
      <c r="AC61" s="12">
        <v>40.72</v>
      </c>
      <c r="AD61" s="2">
        <f t="shared" si="1"/>
        <v>1.3900000000000006</v>
      </c>
      <c r="AE61" s="148">
        <f t="shared" si="2"/>
        <v>8.6698043101314237E-3</v>
      </c>
    </row>
    <row r="62" spans="15:31" x14ac:dyDescent="0.25">
      <c r="O62" s="93">
        <v>0.95</v>
      </c>
      <c r="P62" s="93">
        <f t="shared" si="8"/>
        <v>54.121499999999997</v>
      </c>
      <c r="Q62" s="93"/>
      <c r="T62" s="103" t="s">
        <v>112</v>
      </c>
      <c r="U62" s="98" t="s">
        <v>127</v>
      </c>
      <c r="W62" s="143">
        <v>42373</v>
      </c>
      <c r="X62" s="12">
        <v>39.39</v>
      </c>
      <c r="Y62" s="12">
        <v>40.51</v>
      </c>
      <c r="Z62" s="12">
        <v>39.229999999999997</v>
      </c>
      <c r="AA62" s="12">
        <v>40.369999999999997</v>
      </c>
      <c r="AB62" s="105">
        <v>2544300</v>
      </c>
      <c r="AC62" s="12">
        <v>40.369999999999997</v>
      </c>
      <c r="AD62" s="2">
        <f t="shared" si="1"/>
        <v>1.2800000000000011</v>
      </c>
      <c r="AE62" s="148">
        <f t="shared" si="2"/>
        <v>7.738392411382744E-3</v>
      </c>
    </row>
    <row r="63" spans="15:31" x14ac:dyDescent="0.25">
      <c r="O63" s="93">
        <v>0.94</v>
      </c>
      <c r="P63" s="93">
        <f t="shared" si="8"/>
        <v>53.551799999999993</v>
      </c>
      <c r="Q63" s="93"/>
      <c r="W63" s="143">
        <v>42369</v>
      </c>
      <c r="X63" s="12">
        <v>40.08</v>
      </c>
      <c r="Y63" s="12">
        <v>40.49</v>
      </c>
      <c r="Z63" s="12">
        <v>39.869999999999997</v>
      </c>
      <c r="AA63" s="12">
        <v>40.06</v>
      </c>
      <c r="AB63" s="105">
        <v>1849500</v>
      </c>
      <c r="AC63" s="12">
        <v>40.06</v>
      </c>
      <c r="AD63" s="2">
        <f t="shared" si="1"/>
        <v>0.62000000000000455</v>
      </c>
      <c r="AE63" s="148">
        <f t="shared" si="2"/>
        <v>-3.9781203381401564E-3</v>
      </c>
    </row>
    <row r="64" spans="15:31" x14ac:dyDescent="0.25">
      <c r="O64" s="93">
        <v>0.93</v>
      </c>
      <c r="P64" s="93">
        <f t="shared" si="8"/>
        <v>52.982100000000003</v>
      </c>
      <c r="Q64" s="93"/>
      <c r="W64" s="143">
        <v>42368</v>
      </c>
      <c r="X64" s="12">
        <v>41</v>
      </c>
      <c r="Y64" s="12">
        <v>41.4</v>
      </c>
      <c r="Z64" s="12">
        <v>40.1</v>
      </c>
      <c r="AA64" s="12">
        <v>40.22</v>
      </c>
      <c r="AB64" s="105">
        <v>1864100</v>
      </c>
      <c r="AC64" s="12">
        <v>40.22</v>
      </c>
      <c r="AD64" s="2">
        <f t="shared" si="1"/>
        <v>1.2999999999999972</v>
      </c>
      <c r="AE64" s="148">
        <f t="shared" si="2"/>
        <v>-1.9263594245305993E-2</v>
      </c>
    </row>
    <row r="65" spans="15:31" x14ac:dyDescent="0.25">
      <c r="O65" s="93">
        <v>0.92</v>
      </c>
      <c r="P65" s="93">
        <f t="shared" si="8"/>
        <v>52.412399999999998</v>
      </c>
      <c r="Q65" s="93"/>
      <c r="W65" s="143">
        <v>42367</v>
      </c>
      <c r="X65" s="12">
        <v>40.89</v>
      </c>
      <c r="Y65" s="12">
        <v>41.21</v>
      </c>
      <c r="Z65" s="12">
        <v>40.74</v>
      </c>
      <c r="AA65" s="12">
        <v>41.01</v>
      </c>
      <c r="AB65" s="105">
        <v>1440000</v>
      </c>
      <c r="AC65" s="12">
        <v>41.01</v>
      </c>
      <c r="AD65" s="2">
        <f t="shared" si="1"/>
        <v>0.46999999999999886</v>
      </c>
      <c r="AE65" s="148">
        <f t="shared" si="2"/>
        <v>9.3526950529163599E-3</v>
      </c>
    </row>
    <row r="66" spans="15:31" x14ac:dyDescent="0.25">
      <c r="O66" s="93">
        <v>0.91</v>
      </c>
      <c r="P66" s="93">
        <f t="shared" si="8"/>
        <v>51.842700000000001</v>
      </c>
      <c r="Q66" s="93"/>
      <c r="W66" s="143">
        <v>42366</v>
      </c>
      <c r="X66" s="12">
        <v>40.64</v>
      </c>
      <c r="Y66" s="12">
        <v>41.33</v>
      </c>
      <c r="Z66" s="12">
        <v>40.119999999999997</v>
      </c>
      <c r="AA66" s="12">
        <v>40.630000000000003</v>
      </c>
      <c r="AB66" s="105">
        <v>1989500</v>
      </c>
      <c r="AC66" s="12">
        <v>40.630000000000003</v>
      </c>
      <c r="AD66" s="2">
        <f t="shared" si="1"/>
        <v>1.2100000000000009</v>
      </c>
      <c r="AE66" s="148">
        <f t="shared" si="2"/>
        <v>-5.6289769946157309E-3</v>
      </c>
    </row>
    <row r="67" spans="15:31" x14ac:dyDescent="0.25">
      <c r="O67" s="93">
        <v>0.9</v>
      </c>
      <c r="P67" s="93">
        <f t="shared" si="8"/>
        <v>51.273000000000003</v>
      </c>
      <c r="Q67" s="93"/>
      <c r="W67" s="143">
        <v>42362</v>
      </c>
      <c r="X67" s="12">
        <v>41.53</v>
      </c>
      <c r="Y67" s="12">
        <v>41.57</v>
      </c>
      <c r="Z67" s="12">
        <v>40.83</v>
      </c>
      <c r="AA67" s="12">
        <v>40.86</v>
      </c>
      <c r="AB67" s="105">
        <v>823000</v>
      </c>
      <c r="AC67" s="12">
        <v>40.86</v>
      </c>
      <c r="AD67" s="2">
        <f t="shared" ref="AD67:AD68" si="9">Y67-Z67</f>
        <v>0.74000000000000199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9" priority="23">
      <formula>Q7&gt;0</formula>
    </cfRule>
    <cfRule type="expression" dxfId="168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7" priority="15">
      <formula>F29&gt;0</formula>
    </cfRule>
    <cfRule type="expression" dxfId="166" priority="16">
      <formula>F29&lt;0</formula>
    </cfRule>
  </conditionalFormatting>
  <conditionalFormatting sqref="H29:H31">
    <cfRule type="expression" dxfId="165" priority="7">
      <formula>H29&gt;0</formula>
    </cfRule>
    <cfRule type="expression" dxfId="164" priority="8">
      <formula>H29&lt;0</formula>
    </cfRule>
  </conditionalFormatting>
  <conditionalFormatting sqref="F19:F28">
    <cfRule type="expression" dxfId="163" priority="3">
      <formula>F19&gt;0</formula>
    </cfRule>
    <cfRule type="expression" dxfId="162" priority="4">
      <formula>F19&lt;0</formula>
    </cfRule>
  </conditionalFormatting>
  <conditionalFormatting sqref="H19:H28">
    <cfRule type="expression" dxfId="161" priority="1">
      <formula>H19&gt;0</formula>
    </cfRule>
    <cfRule type="expression" dxfId="16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42460</v>
      </c>
      <c r="Y2" s="11">
        <v>67.75</v>
      </c>
      <c r="Z2" s="11">
        <v>67.92</v>
      </c>
      <c r="AA2" s="11">
        <v>67.25</v>
      </c>
      <c r="AB2" s="11">
        <v>67.37</v>
      </c>
      <c r="AC2" s="114">
        <v>1674000</v>
      </c>
      <c r="AD2" s="11">
        <v>67.37</v>
      </c>
      <c r="AE2" s="2">
        <f>Z2-AA2</f>
        <v>0.67000000000000171</v>
      </c>
      <c r="AF2" s="148">
        <f>AD2/AD3-1</f>
        <v>-5.1683402244535603E-3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68.23</v>
      </c>
      <c r="T3" s="95"/>
      <c r="X3" s="120">
        <v>42459</v>
      </c>
      <c r="Y3" s="11">
        <v>67.260000000000005</v>
      </c>
      <c r="Z3" s="11">
        <v>67.900000000000006</v>
      </c>
      <c r="AA3" s="11">
        <v>67.150000000000006</v>
      </c>
      <c r="AB3" s="11">
        <v>67.72</v>
      </c>
      <c r="AC3" s="114">
        <v>1802900</v>
      </c>
      <c r="AD3" s="11">
        <v>67.72</v>
      </c>
      <c r="AE3" s="2">
        <f t="shared" ref="AE3:AE66" si="2">Z3-AA3</f>
        <v>0.75</v>
      </c>
      <c r="AF3" s="148">
        <f t="shared" ref="AF3:AF66" si="3">AD3/AD4-1</f>
        <v>8.3382966051221974E-3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68.23</v>
      </c>
      <c r="X4" s="120">
        <v>42458</v>
      </c>
      <c r="Y4" s="11">
        <v>66.819999999999993</v>
      </c>
      <c r="Z4" s="11">
        <v>67.25</v>
      </c>
      <c r="AA4" s="11">
        <v>66.53</v>
      </c>
      <c r="AB4" s="11">
        <v>67.16</v>
      </c>
      <c r="AC4" s="114">
        <v>1563800</v>
      </c>
      <c r="AD4" s="11">
        <v>67.16</v>
      </c>
      <c r="AE4" s="2">
        <f t="shared" si="2"/>
        <v>0.71999999999999886</v>
      </c>
      <c r="AF4" s="148">
        <f t="shared" si="3"/>
        <v>5.0882969170906733E-3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42457</v>
      </c>
      <c r="Y5" s="11">
        <v>66.34</v>
      </c>
      <c r="Z5" s="11">
        <v>66.989999999999995</v>
      </c>
      <c r="AA5" s="11">
        <v>66.209999999999994</v>
      </c>
      <c r="AB5" s="11">
        <v>66.819999999999993</v>
      </c>
      <c r="AC5" s="114">
        <v>1725000</v>
      </c>
      <c r="AD5" s="11">
        <v>66.819999999999993</v>
      </c>
      <c r="AE5" s="2">
        <f t="shared" si="2"/>
        <v>0.78000000000000114</v>
      </c>
      <c r="AF5" s="148">
        <f t="shared" si="3"/>
        <v>9.518054086719907E-3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42453</v>
      </c>
      <c r="Y6" s="11">
        <v>66.47</v>
      </c>
      <c r="Z6" s="11">
        <v>66.489999999999995</v>
      </c>
      <c r="AA6" s="11">
        <v>65.94</v>
      </c>
      <c r="AB6" s="11">
        <v>66.19</v>
      </c>
      <c r="AC6" s="114">
        <v>1396500</v>
      </c>
      <c r="AD6" s="11">
        <v>66.19</v>
      </c>
      <c r="AE6" s="2">
        <f t="shared" si="2"/>
        <v>0.54999999999999716</v>
      </c>
      <c r="AF6" s="148">
        <f t="shared" si="3"/>
        <v>-7.0507050705069796E-3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42452</v>
      </c>
      <c r="Y7" s="11">
        <v>66.91</v>
      </c>
      <c r="Z7" s="11">
        <v>67.010000000000005</v>
      </c>
      <c r="AA7" s="11">
        <v>66.52</v>
      </c>
      <c r="AB7" s="11">
        <v>66.66</v>
      </c>
      <c r="AC7" s="114">
        <v>2075900</v>
      </c>
      <c r="AD7" s="11">
        <v>66.66</v>
      </c>
      <c r="AE7" s="2">
        <f t="shared" si="2"/>
        <v>0.49000000000000909</v>
      </c>
      <c r="AF7" s="148">
        <f t="shared" si="3"/>
        <v>-3.8852361028094418E-3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42451</v>
      </c>
      <c r="Y8" s="11">
        <v>66.900000000000006</v>
      </c>
      <c r="Z8" s="11">
        <v>67.239999999999995</v>
      </c>
      <c r="AA8" s="11">
        <v>66.67</v>
      </c>
      <c r="AB8" s="11">
        <v>66.92</v>
      </c>
      <c r="AC8" s="114">
        <v>1547000</v>
      </c>
      <c r="AD8" s="11">
        <v>66.92</v>
      </c>
      <c r="AE8" s="2">
        <f t="shared" si="2"/>
        <v>0.56999999999999318</v>
      </c>
      <c r="AF8" s="148">
        <f t="shared" si="3"/>
        <v>1.1968880909634105E-3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218</v>
      </c>
      <c r="Q9" s="148">
        <f>VALUE(TRIM(CLEAN(MID(U55, FIND("(", U55)+1, 5))))</f>
        <v>1.9800000000000002E-2</v>
      </c>
      <c r="X9" s="120">
        <v>42450</v>
      </c>
      <c r="Y9" s="11">
        <v>66.930000000000007</v>
      </c>
      <c r="Z9" s="11">
        <v>67.16</v>
      </c>
      <c r="AA9" s="11">
        <v>66.59</v>
      </c>
      <c r="AB9" s="11">
        <v>66.84</v>
      </c>
      <c r="AC9" s="114">
        <v>1256700</v>
      </c>
      <c r="AD9" s="11">
        <v>66.84</v>
      </c>
      <c r="AE9" s="2">
        <f t="shared" si="2"/>
        <v>0.56999999999999318</v>
      </c>
      <c r="AF9" s="148">
        <f t="shared" si="3"/>
        <v>-5.8009817045961976E-3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42447</v>
      </c>
      <c r="Y10" s="11">
        <v>67.400000000000006</v>
      </c>
      <c r="Z10" s="11">
        <v>67.760000000000005</v>
      </c>
      <c r="AA10" s="11">
        <v>66.66</v>
      </c>
      <c r="AB10" s="11">
        <v>67.23</v>
      </c>
      <c r="AC10" s="114">
        <v>3737100</v>
      </c>
      <c r="AD10" s="11">
        <v>67.23</v>
      </c>
      <c r="AE10" s="2">
        <f t="shared" si="2"/>
        <v>1.1000000000000085</v>
      </c>
      <c r="AF10" s="148">
        <f t="shared" si="3"/>
        <v>4.4642857142851433E-4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42446</v>
      </c>
      <c r="Y11" s="11">
        <v>66.33</v>
      </c>
      <c r="Z11" s="11">
        <v>67.45</v>
      </c>
      <c r="AA11" s="11">
        <v>66.069999999999993</v>
      </c>
      <c r="AB11" s="11">
        <v>67.2</v>
      </c>
      <c r="AC11" s="114">
        <v>2334100</v>
      </c>
      <c r="AD11" s="11">
        <v>67.2</v>
      </c>
      <c r="AE11" s="2">
        <f t="shared" si="2"/>
        <v>1.3800000000000097</v>
      </c>
      <c r="AF11" s="148">
        <f t="shared" si="3"/>
        <v>1.3880506940253445E-2</v>
      </c>
    </row>
    <row r="12" spans="1:32" x14ac:dyDescent="0.25">
      <c r="X12" s="120">
        <v>42445</v>
      </c>
      <c r="Y12" s="11">
        <v>65.72</v>
      </c>
      <c r="Z12" s="11">
        <v>66.53</v>
      </c>
      <c r="AA12" s="11">
        <v>65.47</v>
      </c>
      <c r="AB12" s="11">
        <v>66.28</v>
      </c>
      <c r="AC12" s="114">
        <v>2146600</v>
      </c>
      <c r="AD12" s="11">
        <v>66.28</v>
      </c>
      <c r="AE12" s="2">
        <f t="shared" si="2"/>
        <v>1.0600000000000023</v>
      </c>
      <c r="AF12" s="148">
        <f t="shared" si="3"/>
        <v>5.4611650485436591E-3</v>
      </c>
    </row>
    <row r="13" spans="1:32" x14ac:dyDescent="0.25">
      <c r="X13" s="120">
        <v>42444</v>
      </c>
      <c r="Y13" s="11">
        <v>64.510000000000005</v>
      </c>
      <c r="Z13" s="11">
        <v>66.06</v>
      </c>
      <c r="AA13" s="11">
        <v>64.38</v>
      </c>
      <c r="AB13" s="11">
        <v>65.92</v>
      </c>
      <c r="AC13" s="114">
        <v>2367500</v>
      </c>
      <c r="AD13" s="11">
        <v>65.92</v>
      </c>
      <c r="AE13" s="2">
        <f t="shared" si="2"/>
        <v>1.6800000000000068</v>
      </c>
      <c r="AF13" s="148">
        <f t="shared" si="3"/>
        <v>1.493456505003854E-2</v>
      </c>
    </row>
    <row r="14" spans="1:32" x14ac:dyDescent="0.25">
      <c r="X14" s="120">
        <v>42443</v>
      </c>
      <c r="Y14" s="11">
        <v>65.19</v>
      </c>
      <c r="Z14" s="11">
        <v>65.41</v>
      </c>
      <c r="AA14" s="11">
        <v>64.53</v>
      </c>
      <c r="AB14" s="11">
        <v>64.95</v>
      </c>
      <c r="AC14" s="114">
        <v>1743100</v>
      </c>
      <c r="AD14" s="11">
        <v>64.95</v>
      </c>
      <c r="AE14" s="2">
        <f t="shared" si="2"/>
        <v>0.87999999999999545</v>
      </c>
      <c r="AF14" s="148">
        <f t="shared" si="3"/>
        <v>-8.6996336996335577E-3</v>
      </c>
    </row>
    <row r="15" spans="1:32" x14ac:dyDescent="0.25">
      <c r="X15" s="120">
        <v>42440</v>
      </c>
      <c r="Y15" s="11">
        <v>64.930000000000007</v>
      </c>
      <c r="Z15" s="11">
        <v>65.709999999999994</v>
      </c>
      <c r="AA15" s="11">
        <v>64.709999999999994</v>
      </c>
      <c r="AB15" s="11">
        <v>65.52</v>
      </c>
      <c r="AC15" s="114">
        <v>2227700</v>
      </c>
      <c r="AD15" s="11">
        <v>65.52</v>
      </c>
      <c r="AE15" s="2">
        <f t="shared" si="2"/>
        <v>1</v>
      </c>
      <c r="AF15" s="148">
        <f t="shared" si="3"/>
        <v>1.9607843137254832E-2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42439</v>
      </c>
      <c r="Y16" s="11">
        <v>64.59</v>
      </c>
      <c r="Z16" s="11">
        <v>65.02</v>
      </c>
      <c r="AA16" s="11">
        <v>63.73</v>
      </c>
      <c r="AB16" s="11">
        <v>64.260000000000005</v>
      </c>
      <c r="AC16" s="114">
        <v>3071400</v>
      </c>
      <c r="AD16" s="11">
        <v>64.260000000000005</v>
      </c>
      <c r="AE16" s="2">
        <f t="shared" si="2"/>
        <v>1.2899999999999991</v>
      </c>
      <c r="AF16" s="148">
        <f t="shared" si="3"/>
        <v>-4.1841004184099972E-3</v>
      </c>
    </row>
    <row r="17" spans="1:32" x14ac:dyDescent="0.25">
      <c r="X17" s="120">
        <v>42438</v>
      </c>
      <c r="Y17" s="11">
        <v>64.790000000000006</v>
      </c>
      <c r="Z17" s="11">
        <v>64.92</v>
      </c>
      <c r="AA17" s="11">
        <v>64.33</v>
      </c>
      <c r="AB17" s="11">
        <v>64.53</v>
      </c>
      <c r="AC17" s="114">
        <v>1496600</v>
      </c>
      <c r="AD17" s="11">
        <v>64.53</v>
      </c>
      <c r="AE17" s="2">
        <f t="shared" si="2"/>
        <v>0.59000000000000341</v>
      </c>
      <c r="AF17" s="148">
        <f t="shared" si="3"/>
        <v>-7.7423350882621644E-4</v>
      </c>
    </row>
    <row r="18" spans="1:32" x14ac:dyDescent="0.25">
      <c r="B18" s="209" t="s">
        <v>117</v>
      </c>
      <c r="C18" s="209" t="s">
        <v>167</v>
      </c>
      <c r="D18" s="210" t="s">
        <v>166</v>
      </c>
      <c r="E18" s="212" t="s">
        <v>168</v>
      </c>
      <c r="F18" s="213" t="s">
        <v>65</v>
      </c>
      <c r="G18" s="253" t="s">
        <v>172</v>
      </c>
      <c r="H18" s="253" t="s">
        <v>90</v>
      </c>
      <c r="X18" s="120">
        <v>42437</v>
      </c>
      <c r="Y18" s="11">
        <v>64.760000000000005</v>
      </c>
      <c r="Z18" s="11">
        <v>65.040000000000006</v>
      </c>
      <c r="AA18" s="11">
        <v>64.53</v>
      </c>
      <c r="AB18" s="11">
        <v>64.58</v>
      </c>
      <c r="AC18" s="114">
        <v>1789700</v>
      </c>
      <c r="AD18" s="11">
        <v>64.58</v>
      </c>
      <c r="AE18" s="2">
        <f t="shared" si="2"/>
        <v>0.51000000000000512</v>
      </c>
      <c r="AF18" s="148">
        <f t="shared" si="3"/>
        <v>-6.9198831308626696E-3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42436</v>
      </c>
      <c r="Y19" s="11">
        <v>64.81</v>
      </c>
      <c r="Z19" s="11">
        <v>65.319999999999993</v>
      </c>
      <c r="AA19" s="11">
        <v>64.75</v>
      </c>
      <c r="AB19" s="11">
        <v>65.03</v>
      </c>
      <c r="AC19" s="114">
        <v>1603600</v>
      </c>
      <c r="AD19" s="11">
        <v>65.03</v>
      </c>
      <c r="AE19" s="2">
        <f t="shared" si="2"/>
        <v>0.56999999999999318</v>
      </c>
      <c r="AF19" s="148">
        <f t="shared" si="3"/>
        <v>-5.3533190578157752E-3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42433</v>
      </c>
      <c r="Y20" s="11">
        <v>65.3</v>
      </c>
      <c r="Z20" s="11">
        <v>65.59</v>
      </c>
      <c r="AA20" s="11">
        <v>64.849999999999994</v>
      </c>
      <c r="AB20" s="11">
        <v>65.38</v>
      </c>
      <c r="AC20" s="114">
        <v>1628300</v>
      </c>
      <c r="AD20" s="11">
        <v>65.38</v>
      </c>
      <c r="AE20" s="2">
        <f t="shared" si="2"/>
        <v>0.74000000000000909</v>
      </c>
      <c r="AF20" s="148">
        <f t="shared" si="3"/>
        <v>1.07181136120027E-3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42432</v>
      </c>
      <c r="Y21" s="11">
        <v>65.400000000000006</v>
      </c>
      <c r="Z21" s="11">
        <v>65.47</v>
      </c>
      <c r="AA21" s="11">
        <v>65</v>
      </c>
      <c r="AB21" s="11">
        <v>65.31</v>
      </c>
      <c r="AC21" s="114">
        <v>1985400</v>
      </c>
      <c r="AD21" s="11">
        <v>65.31</v>
      </c>
      <c r="AE21" s="2">
        <f t="shared" si="2"/>
        <v>0.46999999999999886</v>
      </c>
      <c r="AF21" s="148">
        <f t="shared" si="3"/>
        <v>-1.5288182235131398E-3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42431</v>
      </c>
      <c r="Y22" s="11">
        <v>64.73</v>
      </c>
      <c r="Z22" s="11">
        <v>65.42</v>
      </c>
      <c r="AA22" s="11">
        <v>64.64</v>
      </c>
      <c r="AB22" s="11">
        <v>65.41</v>
      </c>
      <c r="AC22" s="114">
        <v>2215600</v>
      </c>
      <c r="AD22" s="11">
        <v>65.41</v>
      </c>
      <c r="AE22" s="2">
        <f t="shared" si="2"/>
        <v>0.78000000000000114</v>
      </c>
      <c r="AF22" s="148">
        <f t="shared" si="3"/>
        <v>9.257830581700377E-3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42430</v>
      </c>
      <c r="Y23" s="11">
        <v>63.84</v>
      </c>
      <c r="Z23" s="11">
        <v>64.81</v>
      </c>
      <c r="AA23" s="11">
        <v>63.59</v>
      </c>
      <c r="AB23" s="11">
        <v>64.81</v>
      </c>
      <c r="AC23" s="114">
        <v>2167700</v>
      </c>
      <c r="AD23" s="11">
        <v>64.81</v>
      </c>
      <c r="AE23" s="2">
        <f t="shared" si="2"/>
        <v>1.2199999999999989</v>
      </c>
      <c r="AF23" s="148">
        <f t="shared" si="3"/>
        <v>2.1273242987708718E-2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42429</v>
      </c>
      <c r="Y24" s="11">
        <v>64.12</v>
      </c>
      <c r="Z24" s="11">
        <v>64.31</v>
      </c>
      <c r="AA24" s="11">
        <v>63.45</v>
      </c>
      <c r="AB24" s="11">
        <v>63.46</v>
      </c>
      <c r="AC24" s="114">
        <v>2285100</v>
      </c>
      <c r="AD24" s="11">
        <v>63.46</v>
      </c>
      <c r="AE24" s="2">
        <f t="shared" si="2"/>
        <v>0.85999999999999943</v>
      </c>
      <c r="AF24" s="148">
        <f t="shared" si="3"/>
        <v>-1.3370646766169059E-2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42426</v>
      </c>
      <c r="Y25" s="11">
        <v>64.53</v>
      </c>
      <c r="Z25" s="11">
        <v>64.709999999999994</v>
      </c>
      <c r="AA25" s="11">
        <v>64.209999999999994</v>
      </c>
      <c r="AB25" s="11">
        <v>64.319999999999993</v>
      </c>
      <c r="AC25" s="114">
        <v>2391400</v>
      </c>
      <c r="AD25" s="11">
        <v>64.319999999999993</v>
      </c>
      <c r="AE25" s="2">
        <f t="shared" si="2"/>
        <v>0.5</v>
      </c>
      <c r="AF25" s="148">
        <f t="shared" si="3"/>
        <v>-1.3972985561249152E-3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42425</v>
      </c>
      <c r="Y26" s="11">
        <v>63.92</v>
      </c>
      <c r="Z26" s="11">
        <v>64.44</v>
      </c>
      <c r="AA26" s="11">
        <v>63.67</v>
      </c>
      <c r="AB26" s="11">
        <v>64.41</v>
      </c>
      <c r="AC26" s="114">
        <v>1936100</v>
      </c>
      <c r="AD26" s="11">
        <v>64.41</v>
      </c>
      <c r="AE26" s="2">
        <f t="shared" si="2"/>
        <v>0.76999999999999602</v>
      </c>
      <c r="AF26" s="148" t="e">
        <f t="shared" si="3"/>
        <v>#DIV/0!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42425</v>
      </c>
      <c r="Y27" s="11" t="s">
        <v>246</v>
      </c>
      <c r="Z27" s="11"/>
      <c r="AA27" s="11"/>
      <c r="AB27" s="11"/>
      <c r="AC27" s="114"/>
      <c r="AD27" s="11"/>
      <c r="AE27" s="2">
        <f t="shared" si="2"/>
        <v>0</v>
      </c>
      <c r="AF27" s="148">
        <f t="shared" si="3"/>
        <v>-1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42424</v>
      </c>
      <c r="Y28" s="11">
        <v>63.35</v>
      </c>
      <c r="Z28" s="11">
        <v>64.13</v>
      </c>
      <c r="AA28" s="11">
        <v>62.78</v>
      </c>
      <c r="AB28" s="11">
        <v>63.95</v>
      </c>
      <c r="AC28" s="114">
        <v>2366700</v>
      </c>
      <c r="AD28" s="11">
        <v>63.62</v>
      </c>
      <c r="AE28" s="2">
        <f t="shared" si="2"/>
        <v>1.3499999999999943</v>
      </c>
      <c r="AF28" s="148">
        <f t="shared" si="3"/>
        <v>3.4700315457412145E-3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42423</v>
      </c>
      <c r="Y29" s="11">
        <v>64.31</v>
      </c>
      <c r="Z29" s="11">
        <v>64.31</v>
      </c>
      <c r="AA29" s="11">
        <v>63.56</v>
      </c>
      <c r="AB29" s="11">
        <v>63.73</v>
      </c>
      <c r="AC29" s="114">
        <v>1973500</v>
      </c>
      <c r="AD29" s="11">
        <v>63.4</v>
      </c>
      <c r="AE29" s="2">
        <f t="shared" si="2"/>
        <v>0.75</v>
      </c>
      <c r="AF29" s="148">
        <f t="shared" si="3"/>
        <v>-1.1074715333021401E-2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42422</v>
      </c>
      <c r="Y30" s="11">
        <v>64</v>
      </c>
      <c r="Z30" s="11">
        <v>64.599999999999994</v>
      </c>
      <c r="AA30" s="11">
        <v>64</v>
      </c>
      <c r="AB30" s="11">
        <v>64.44</v>
      </c>
      <c r="AC30" s="114">
        <v>2513100</v>
      </c>
      <c r="AD30" s="11">
        <v>64.11</v>
      </c>
      <c r="AE30" s="2">
        <f t="shared" si="2"/>
        <v>0.59999999999999432</v>
      </c>
      <c r="AF30" s="148">
        <f t="shared" si="3"/>
        <v>6.9106329511543496E-3</v>
      </c>
    </row>
    <row r="31" spans="1:32" x14ac:dyDescent="0.25">
      <c r="X31" s="120">
        <v>42419</v>
      </c>
      <c r="Y31" s="11">
        <v>63.89</v>
      </c>
      <c r="Z31" s="11">
        <v>64.44</v>
      </c>
      <c r="AA31" s="11">
        <v>63.8</v>
      </c>
      <c r="AB31" s="11">
        <v>64</v>
      </c>
      <c r="AC31" s="114">
        <v>4300100</v>
      </c>
      <c r="AD31" s="11">
        <v>63.67</v>
      </c>
      <c r="AE31" s="2">
        <f t="shared" si="2"/>
        <v>0.64000000000000057</v>
      </c>
      <c r="AF31" s="148">
        <f t="shared" si="3"/>
        <v>-4.689698296076239E-3</v>
      </c>
    </row>
    <row r="32" spans="1:32" x14ac:dyDescent="0.25">
      <c r="X32" s="120">
        <v>42418</v>
      </c>
      <c r="Y32" s="11">
        <v>64.91</v>
      </c>
      <c r="Z32" s="11">
        <v>65</v>
      </c>
      <c r="AA32" s="11">
        <v>64.069999999999993</v>
      </c>
      <c r="AB32" s="11">
        <v>64.3</v>
      </c>
      <c r="AC32" s="114">
        <v>4086400</v>
      </c>
      <c r="AD32" s="11">
        <v>63.97</v>
      </c>
      <c r="AE32" s="2">
        <f t="shared" si="2"/>
        <v>0.93000000000000682</v>
      </c>
      <c r="AF32" s="148">
        <f t="shared" si="3"/>
        <v>-1.0977118119975371E-2</v>
      </c>
    </row>
    <row r="33" spans="15:32" x14ac:dyDescent="0.25">
      <c r="X33" s="120">
        <v>42417</v>
      </c>
      <c r="Y33" s="11">
        <v>64.69</v>
      </c>
      <c r="Z33" s="11">
        <v>65.290000000000006</v>
      </c>
      <c r="AA33" s="11">
        <v>64.69</v>
      </c>
      <c r="AB33" s="11">
        <v>65.02</v>
      </c>
      <c r="AC33" s="114">
        <v>3342700</v>
      </c>
      <c r="AD33" s="11">
        <v>64.680000000000007</v>
      </c>
      <c r="AE33" s="2">
        <f t="shared" si="2"/>
        <v>0.60000000000000853</v>
      </c>
      <c r="AF33" s="148">
        <f t="shared" si="3"/>
        <v>6.8493150684934001E-3</v>
      </c>
    </row>
    <row r="34" spans="15:32" x14ac:dyDescent="0.25">
      <c r="X34" s="120">
        <v>42416</v>
      </c>
      <c r="Y34" s="11">
        <v>64.47</v>
      </c>
      <c r="Z34" s="11">
        <v>64.72</v>
      </c>
      <c r="AA34" s="11">
        <v>63.85</v>
      </c>
      <c r="AB34" s="11">
        <v>64.569999999999993</v>
      </c>
      <c r="AC34" s="114">
        <v>3502500</v>
      </c>
      <c r="AD34" s="11">
        <v>64.239999999999995</v>
      </c>
      <c r="AE34" s="2">
        <f t="shared" si="2"/>
        <v>0.86999999999999744</v>
      </c>
      <c r="AF34" s="148">
        <f t="shared" si="3"/>
        <v>1.0380622837370179E-2</v>
      </c>
    </row>
    <row r="35" spans="15:32" ht="20.25" thickBot="1" x14ac:dyDescent="0.35">
      <c r="O35" s="420" t="s">
        <v>78</v>
      </c>
      <c r="P35" s="420"/>
      <c r="X35" s="120">
        <v>42412</v>
      </c>
      <c r="Y35" s="11">
        <v>63.02</v>
      </c>
      <c r="Z35" s="11">
        <v>64.31</v>
      </c>
      <c r="AA35" s="11">
        <v>62.86</v>
      </c>
      <c r="AB35" s="11">
        <v>63.91</v>
      </c>
      <c r="AC35" s="114">
        <v>3615300</v>
      </c>
      <c r="AD35" s="11">
        <v>63.58</v>
      </c>
      <c r="AE35" s="2">
        <f t="shared" si="2"/>
        <v>1.4500000000000028</v>
      </c>
      <c r="AF35" s="148">
        <f t="shared" si="3"/>
        <v>2.5483870967741851E-2</v>
      </c>
    </row>
    <row r="36" spans="15:32" ht="15.75" thickTop="1" x14ac:dyDescent="0.25">
      <c r="O36" s="93">
        <v>1.1000000000000001</v>
      </c>
      <c r="P36" s="93">
        <f>O36*$Q$4</f>
        <v>75.053000000000011</v>
      </c>
      <c r="Q36" s="2"/>
      <c r="X36" s="120">
        <v>42411</v>
      </c>
      <c r="Y36" s="11">
        <v>61.95</v>
      </c>
      <c r="Z36" s="11">
        <v>62.66</v>
      </c>
      <c r="AA36" s="11">
        <v>61.7</v>
      </c>
      <c r="AB36" s="11">
        <v>62.32</v>
      </c>
      <c r="AC36" s="114">
        <v>3020000</v>
      </c>
      <c r="AD36" s="11">
        <v>62</v>
      </c>
      <c r="AE36" s="2">
        <f t="shared" si="2"/>
        <v>0.95999999999999375</v>
      </c>
      <c r="AF36" s="148">
        <f t="shared" si="3"/>
        <v>-1.0533035429300952E-2</v>
      </c>
    </row>
    <row r="37" spans="15:32" ht="15" customHeight="1" x14ac:dyDescent="0.25">
      <c r="O37" s="93">
        <v>1.0900000000000001</v>
      </c>
      <c r="P37" s="93">
        <f t="shared" ref="P37:P56" si="6">O37*$Q$4</f>
        <v>74.370700000000014</v>
      </c>
      <c r="Q37" s="2"/>
      <c r="X37" s="120">
        <v>42410</v>
      </c>
      <c r="Y37" s="11">
        <v>63.27</v>
      </c>
      <c r="Z37" s="11">
        <v>63.94</v>
      </c>
      <c r="AA37" s="11">
        <v>62.89</v>
      </c>
      <c r="AB37" s="11">
        <v>62.98</v>
      </c>
      <c r="AC37" s="114">
        <v>2987500</v>
      </c>
      <c r="AD37" s="11">
        <v>62.66</v>
      </c>
      <c r="AE37" s="2">
        <f t="shared" si="2"/>
        <v>1.0499999999999972</v>
      </c>
      <c r="AF37" s="148">
        <f t="shared" si="3"/>
        <v>-3.1908104658584513E-4</v>
      </c>
    </row>
    <row r="38" spans="15:32" x14ac:dyDescent="0.25">
      <c r="O38" s="93">
        <v>1.08</v>
      </c>
      <c r="P38" s="93">
        <f t="shared" si="6"/>
        <v>73.688400000000016</v>
      </c>
      <c r="Q38" s="2"/>
      <c r="X38" s="120">
        <v>42409</v>
      </c>
      <c r="Y38" s="11">
        <v>62.81</v>
      </c>
      <c r="Z38" s="11">
        <v>63.26</v>
      </c>
      <c r="AA38" s="11">
        <v>62.45</v>
      </c>
      <c r="AB38" s="11">
        <v>63.01</v>
      </c>
      <c r="AC38" s="114">
        <v>3743700</v>
      </c>
      <c r="AD38" s="11">
        <v>62.68</v>
      </c>
      <c r="AE38" s="2">
        <f t="shared" si="2"/>
        <v>0.80999999999999517</v>
      </c>
      <c r="AF38" s="148">
        <f t="shared" si="3"/>
        <v>-5.0793650793651279E-3</v>
      </c>
    </row>
    <row r="39" spans="15:32" ht="20.25" thickBot="1" x14ac:dyDescent="0.35">
      <c r="O39" s="93">
        <v>1.07</v>
      </c>
      <c r="P39" s="93">
        <f t="shared" si="6"/>
        <v>73.006100000000004</v>
      </c>
      <c r="Q39" s="2"/>
      <c r="T39" s="122" t="s">
        <v>94</v>
      </c>
      <c r="U39" s="2"/>
      <c r="X39" s="120">
        <v>42408</v>
      </c>
      <c r="Y39" s="11">
        <v>62.87</v>
      </c>
      <c r="Z39" s="11">
        <v>63.54</v>
      </c>
      <c r="AA39" s="11">
        <v>62.36</v>
      </c>
      <c r="AB39" s="11">
        <v>63.33</v>
      </c>
      <c r="AC39" s="114">
        <v>3008500</v>
      </c>
      <c r="AD39" s="11">
        <v>63</v>
      </c>
      <c r="AE39" s="2">
        <f t="shared" si="2"/>
        <v>1.1799999999999997</v>
      </c>
      <c r="AF39" s="148">
        <f t="shared" si="3"/>
        <v>-6.3451776649747771E-4</v>
      </c>
    </row>
    <row r="40" spans="15:32" ht="15.75" thickTop="1" x14ac:dyDescent="0.25">
      <c r="O40" s="93">
        <v>1.06</v>
      </c>
      <c r="P40" s="93">
        <f t="shared" si="6"/>
        <v>72.323800000000006</v>
      </c>
      <c r="Q40" s="2"/>
      <c r="T40" s="123" t="s">
        <v>101</v>
      </c>
      <c r="U40" s="116">
        <v>67.37</v>
      </c>
      <c r="X40" s="120">
        <v>42405</v>
      </c>
      <c r="Y40" s="11">
        <v>62.09</v>
      </c>
      <c r="Z40" s="11">
        <v>63.52</v>
      </c>
      <c r="AA40" s="11">
        <v>62.09</v>
      </c>
      <c r="AB40" s="11">
        <v>63.37</v>
      </c>
      <c r="AC40" s="114">
        <v>4617500</v>
      </c>
      <c r="AD40" s="11">
        <v>63.04</v>
      </c>
      <c r="AE40" s="2">
        <f t="shared" si="2"/>
        <v>1.4299999999999997</v>
      </c>
      <c r="AF40" s="148">
        <f t="shared" si="3"/>
        <v>2.1221448242345842E-2</v>
      </c>
    </row>
    <row r="41" spans="15:32" x14ac:dyDescent="0.25">
      <c r="O41" s="93">
        <v>1.05</v>
      </c>
      <c r="P41" s="93">
        <f t="shared" si="6"/>
        <v>71.641500000000008</v>
      </c>
      <c r="Q41" s="2"/>
      <c r="T41" s="123" t="s">
        <v>102</v>
      </c>
      <c r="U41" s="116" t="s">
        <v>134</v>
      </c>
      <c r="X41" s="120">
        <v>42404</v>
      </c>
      <c r="Y41" s="11">
        <v>60.48</v>
      </c>
      <c r="Z41" s="11">
        <v>62.2</v>
      </c>
      <c r="AA41" s="11">
        <v>60.48</v>
      </c>
      <c r="AB41" s="11">
        <v>62.05</v>
      </c>
      <c r="AC41" s="114">
        <v>5520000</v>
      </c>
      <c r="AD41" s="11">
        <v>61.73</v>
      </c>
      <c r="AE41" s="2">
        <f t="shared" si="2"/>
        <v>1.720000000000006</v>
      </c>
      <c r="AF41" s="148">
        <f t="shared" si="3"/>
        <v>4.045171077026799E-2</v>
      </c>
    </row>
    <row r="42" spans="15:32" x14ac:dyDescent="0.25">
      <c r="O42" s="93">
        <v>1.04</v>
      </c>
      <c r="P42" s="93">
        <f t="shared" si="6"/>
        <v>70.95920000000001</v>
      </c>
      <c r="Q42" s="2"/>
      <c r="T42" s="123" t="s">
        <v>103</v>
      </c>
      <c r="U42" s="116" t="s">
        <v>335</v>
      </c>
      <c r="X42" s="120">
        <v>42403</v>
      </c>
      <c r="Y42" s="11">
        <v>60.29</v>
      </c>
      <c r="Z42" s="11">
        <v>60.29</v>
      </c>
      <c r="AA42" s="11">
        <v>58.29</v>
      </c>
      <c r="AB42" s="11">
        <v>59.64</v>
      </c>
      <c r="AC42" s="114">
        <v>4765200</v>
      </c>
      <c r="AD42" s="11">
        <v>59.33</v>
      </c>
      <c r="AE42" s="2">
        <f t="shared" si="2"/>
        <v>2</v>
      </c>
      <c r="AF42" s="148">
        <f t="shared" si="3"/>
        <v>-5.5313442842775951E-3</v>
      </c>
    </row>
    <row r="43" spans="15:32" x14ac:dyDescent="0.25">
      <c r="O43" s="93">
        <v>1.03</v>
      </c>
      <c r="P43" s="93">
        <f t="shared" si="6"/>
        <v>70.276900000000012</v>
      </c>
      <c r="Q43" s="2"/>
      <c r="T43" s="123" t="s">
        <v>104</v>
      </c>
      <c r="U43" s="116" t="s">
        <v>336</v>
      </c>
      <c r="X43" s="120">
        <v>42402</v>
      </c>
      <c r="Y43" s="11">
        <v>60.01</v>
      </c>
      <c r="Z43" s="11">
        <v>60.5</v>
      </c>
      <c r="AA43" s="11">
        <v>59.76</v>
      </c>
      <c r="AB43" s="11">
        <v>59.97</v>
      </c>
      <c r="AC43" s="114">
        <v>2540900</v>
      </c>
      <c r="AD43" s="11">
        <v>59.66</v>
      </c>
      <c r="AE43" s="2">
        <f t="shared" si="2"/>
        <v>0.74000000000000199</v>
      </c>
      <c r="AF43" s="148">
        <f t="shared" si="3"/>
        <v>-9.2992361341747154E-3</v>
      </c>
    </row>
    <row r="44" spans="15:32" x14ac:dyDescent="0.25">
      <c r="O44" s="93">
        <v>1.02</v>
      </c>
      <c r="P44" s="93">
        <f t="shared" si="6"/>
        <v>69.5946</v>
      </c>
      <c r="Q44" s="2"/>
      <c r="T44" s="123" t="s">
        <v>105</v>
      </c>
      <c r="U44" s="116">
        <v>71</v>
      </c>
      <c r="X44" s="120">
        <v>42401</v>
      </c>
      <c r="Y44" s="11">
        <v>60.14</v>
      </c>
      <c r="Z44" s="11">
        <v>60.83</v>
      </c>
      <c r="AA44" s="11">
        <v>59.82</v>
      </c>
      <c r="AB44" s="11">
        <v>60.53</v>
      </c>
      <c r="AC44" s="114">
        <v>2667500</v>
      </c>
      <c r="AD44" s="11">
        <v>60.22</v>
      </c>
      <c r="AE44" s="2">
        <f t="shared" si="2"/>
        <v>1.009999999999998</v>
      </c>
      <c r="AF44" s="148">
        <f t="shared" si="3"/>
        <v>-1.1610549013103544E-3</v>
      </c>
    </row>
    <row r="45" spans="15:32" x14ac:dyDescent="0.25">
      <c r="O45" s="93">
        <v>1.01</v>
      </c>
      <c r="P45" s="93">
        <f t="shared" si="6"/>
        <v>68.912300000000002</v>
      </c>
      <c r="Q45" s="2"/>
      <c r="T45" s="123" t="s">
        <v>106</v>
      </c>
      <c r="U45" s="116">
        <v>1.08267</v>
      </c>
      <c r="X45" s="120">
        <v>42398</v>
      </c>
      <c r="Y45" s="11">
        <v>59.68</v>
      </c>
      <c r="Z45" s="11">
        <v>60.61</v>
      </c>
      <c r="AA45" s="11">
        <v>59.43</v>
      </c>
      <c r="AB45" s="11">
        <v>60.6</v>
      </c>
      <c r="AC45" s="114">
        <v>3799200</v>
      </c>
      <c r="AD45" s="11">
        <v>60.29</v>
      </c>
      <c r="AE45" s="2">
        <f t="shared" si="2"/>
        <v>1.1799999999999997</v>
      </c>
      <c r="AF45" s="148">
        <f t="shared" si="3"/>
        <v>2.3425564420302303E-2</v>
      </c>
    </row>
    <row r="46" spans="15:32" x14ac:dyDescent="0.25">
      <c r="O46" s="93">
        <v>1</v>
      </c>
      <c r="P46" s="93">
        <f t="shared" si="6"/>
        <v>68.23</v>
      </c>
      <c r="Q46" s="2"/>
      <c r="T46" s="123" t="s">
        <v>126</v>
      </c>
      <c r="U46" s="116" t="s">
        <v>223</v>
      </c>
      <c r="X46" s="120">
        <v>42397</v>
      </c>
      <c r="Y46" s="11">
        <v>58.83</v>
      </c>
      <c r="Z46" s="11">
        <v>59.5</v>
      </c>
      <c r="AA46" s="11">
        <v>58.42</v>
      </c>
      <c r="AB46" s="11">
        <v>59.22</v>
      </c>
      <c r="AC46" s="114">
        <v>3191000</v>
      </c>
      <c r="AD46" s="11">
        <v>58.91</v>
      </c>
      <c r="AE46" s="2">
        <f t="shared" si="2"/>
        <v>1.0799999999999983</v>
      </c>
      <c r="AF46" s="148">
        <f t="shared" si="3"/>
        <v>1.3766993632765345E-2</v>
      </c>
    </row>
    <row r="47" spans="15:32" x14ac:dyDescent="0.25">
      <c r="O47" s="93">
        <v>0.99</v>
      </c>
      <c r="P47" s="93">
        <f t="shared" si="6"/>
        <v>67.547700000000006</v>
      </c>
      <c r="Q47" s="2"/>
      <c r="T47" s="123"/>
      <c r="U47" s="116"/>
      <c r="X47" s="120">
        <v>42396</v>
      </c>
      <c r="Y47" s="11">
        <v>58.18</v>
      </c>
      <c r="Z47" s="11">
        <v>59.38</v>
      </c>
      <c r="AA47" s="11">
        <v>58.03</v>
      </c>
      <c r="AB47" s="11">
        <v>58.41</v>
      </c>
      <c r="AC47" s="114">
        <v>2891300</v>
      </c>
      <c r="AD47" s="11">
        <v>58.11</v>
      </c>
      <c r="AE47" s="2">
        <f t="shared" si="2"/>
        <v>1.3500000000000014</v>
      </c>
      <c r="AF47" s="148">
        <f t="shared" si="3"/>
        <v>3.9737387698686177E-3</v>
      </c>
    </row>
    <row r="48" spans="15:32" x14ac:dyDescent="0.25">
      <c r="O48" s="93">
        <v>0.98</v>
      </c>
      <c r="P48" s="93">
        <f t="shared" si="6"/>
        <v>66.865400000000008</v>
      </c>
      <c r="Q48" s="2"/>
      <c r="T48" s="123" t="s">
        <v>108</v>
      </c>
      <c r="U48" s="116" t="s">
        <v>302</v>
      </c>
      <c r="X48" s="120">
        <v>42395</v>
      </c>
      <c r="Y48" s="11">
        <v>58.05</v>
      </c>
      <c r="Z48" s="11">
        <v>58.68</v>
      </c>
      <c r="AA48" s="11">
        <v>57.88</v>
      </c>
      <c r="AB48" s="11">
        <v>58.18</v>
      </c>
      <c r="AC48" s="114">
        <v>2184300</v>
      </c>
      <c r="AD48" s="11">
        <v>57.88</v>
      </c>
      <c r="AE48" s="2">
        <f t="shared" si="2"/>
        <v>0.79999999999999716</v>
      </c>
      <c r="AF48" s="148">
        <f t="shared" si="3"/>
        <v>8.3623693379790698E-3</v>
      </c>
    </row>
    <row r="49" spans="15:32" x14ac:dyDescent="0.25">
      <c r="O49" s="93">
        <v>0.97</v>
      </c>
      <c r="P49" s="93">
        <f t="shared" si="6"/>
        <v>66.183099999999996</v>
      </c>
      <c r="T49" s="123" t="s">
        <v>109</v>
      </c>
      <c r="U49" s="116" t="s">
        <v>222</v>
      </c>
      <c r="X49" s="120">
        <v>42394</v>
      </c>
      <c r="Y49" s="11">
        <v>58.31</v>
      </c>
      <c r="Z49" s="11">
        <v>58.46</v>
      </c>
      <c r="AA49" s="11">
        <v>57.62</v>
      </c>
      <c r="AB49" s="11">
        <v>57.7</v>
      </c>
      <c r="AC49" s="114">
        <v>3852400</v>
      </c>
      <c r="AD49" s="11">
        <v>57.4</v>
      </c>
      <c r="AE49" s="2">
        <f t="shared" si="2"/>
        <v>0.84000000000000341</v>
      </c>
      <c r="AF49" s="148">
        <f t="shared" si="3"/>
        <v>-1.4253821054439286E-2</v>
      </c>
    </row>
    <row r="50" spans="15:32" x14ac:dyDescent="0.25">
      <c r="O50" s="93">
        <v>0.96</v>
      </c>
      <c r="P50" s="93">
        <f t="shared" si="6"/>
        <v>65.500799999999998</v>
      </c>
      <c r="T50" s="123" t="s">
        <v>110</v>
      </c>
      <c r="U50" s="117">
        <v>0</v>
      </c>
      <c r="X50" s="120">
        <v>42391</v>
      </c>
      <c r="Y50" s="11">
        <v>58.91</v>
      </c>
      <c r="Z50" s="11">
        <v>59</v>
      </c>
      <c r="AA50" s="11">
        <v>58.2</v>
      </c>
      <c r="AB50" s="11">
        <v>58.53</v>
      </c>
      <c r="AC50" s="114">
        <v>2699600</v>
      </c>
      <c r="AD50" s="11">
        <v>58.23</v>
      </c>
      <c r="AE50" s="2">
        <f t="shared" si="2"/>
        <v>0.79999999999999716</v>
      </c>
      <c r="AF50" s="148">
        <f t="shared" si="3"/>
        <v>6.5687121866895293E-3</v>
      </c>
    </row>
    <row r="51" spans="15:32" x14ac:dyDescent="0.25">
      <c r="O51" s="93">
        <v>0.95</v>
      </c>
      <c r="P51" s="93">
        <f t="shared" si="6"/>
        <v>64.8185</v>
      </c>
      <c r="T51" s="123" t="s">
        <v>113</v>
      </c>
      <c r="U51" s="117">
        <v>2858380</v>
      </c>
      <c r="X51" s="120">
        <v>42390</v>
      </c>
      <c r="Y51" s="11">
        <v>58.21</v>
      </c>
      <c r="Z51" s="11">
        <v>58.66</v>
      </c>
      <c r="AA51" s="11">
        <v>57.82</v>
      </c>
      <c r="AB51" s="11">
        <v>58.15</v>
      </c>
      <c r="AC51" s="114">
        <v>3858000</v>
      </c>
      <c r="AD51" s="11">
        <v>57.85</v>
      </c>
      <c r="AE51" s="2">
        <f t="shared" si="2"/>
        <v>0.83999999999999631</v>
      </c>
      <c r="AF51" s="148">
        <f t="shared" si="3"/>
        <v>2.7734442711042639E-3</v>
      </c>
    </row>
    <row r="52" spans="15:32" x14ac:dyDescent="0.25">
      <c r="O52" s="93">
        <v>0.94</v>
      </c>
      <c r="P52" s="93">
        <f t="shared" si="6"/>
        <v>64.136200000000002</v>
      </c>
      <c r="T52" s="123" t="s">
        <v>111</v>
      </c>
      <c r="U52" s="116" t="s">
        <v>337</v>
      </c>
      <c r="X52" s="120">
        <v>42389</v>
      </c>
      <c r="Y52" s="11">
        <v>57.5</v>
      </c>
      <c r="Z52" s="11">
        <v>58.48</v>
      </c>
      <c r="AA52" s="11">
        <v>57.14</v>
      </c>
      <c r="AB52" s="11">
        <v>57.99</v>
      </c>
      <c r="AC52" s="114">
        <v>4685500</v>
      </c>
      <c r="AD52" s="11">
        <v>57.69</v>
      </c>
      <c r="AE52" s="2">
        <f t="shared" si="2"/>
        <v>1.3399999999999963</v>
      </c>
      <c r="AF52" s="148">
        <f t="shared" si="3"/>
        <v>-7.7399380804954454E-3</v>
      </c>
    </row>
    <row r="53" spans="15:32" x14ac:dyDescent="0.25">
      <c r="O53" s="93">
        <v>0.93</v>
      </c>
      <c r="P53" s="93">
        <f t="shared" si="6"/>
        <v>63.453900000000004</v>
      </c>
      <c r="T53" s="123" t="s">
        <v>114</v>
      </c>
      <c r="U53" s="116">
        <v>13.34</v>
      </c>
      <c r="X53" s="120">
        <v>42388</v>
      </c>
      <c r="Y53" s="11">
        <v>59.02</v>
      </c>
      <c r="Z53" s="11">
        <v>59.35</v>
      </c>
      <c r="AA53" s="11">
        <v>58.06</v>
      </c>
      <c r="AB53" s="11">
        <v>58.44</v>
      </c>
      <c r="AC53" s="114">
        <v>3082900</v>
      </c>
      <c r="AD53" s="11">
        <v>58.14</v>
      </c>
      <c r="AE53" s="2">
        <f t="shared" si="2"/>
        <v>1.2899999999999991</v>
      </c>
      <c r="AF53" s="148">
        <f t="shared" si="3"/>
        <v>5.3605395123639266E-3</v>
      </c>
    </row>
    <row r="54" spans="15:32" x14ac:dyDescent="0.25">
      <c r="O54" s="93">
        <v>0.92</v>
      </c>
      <c r="P54" s="93">
        <f t="shared" si="6"/>
        <v>62.771600000000007</v>
      </c>
      <c r="T54" s="123" t="s">
        <v>115</v>
      </c>
      <c r="U54" s="116">
        <v>5.05</v>
      </c>
      <c r="X54" s="120">
        <v>42384</v>
      </c>
      <c r="Y54" s="11">
        <v>56.91</v>
      </c>
      <c r="Z54" s="11">
        <v>58.56</v>
      </c>
      <c r="AA54" s="11">
        <v>56.03</v>
      </c>
      <c r="AB54" s="11">
        <v>58.13</v>
      </c>
      <c r="AC54" s="114">
        <v>5060200</v>
      </c>
      <c r="AD54" s="11">
        <v>57.83</v>
      </c>
      <c r="AE54" s="2">
        <f t="shared" si="2"/>
        <v>2.5300000000000011</v>
      </c>
      <c r="AF54" s="148">
        <f t="shared" si="3"/>
        <v>-4.9896765313145464E-3</v>
      </c>
    </row>
    <row r="55" spans="15:32" x14ac:dyDescent="0.25">
      <c r="O55" s="93">
        <v>0.91</v>
      </c>
      <c r="P55" s="93">
        <f t="shared" si="6"/>
        <v>62.089300000000009</v>
      </c>
      <c r="T55" s="123" t="s">
        <v>112</v>
      </c>
      <c r="U55" s="116" t="s">
        <v>338</v>
      </c>
      <c r="X55" s="120">
        <v>42383</v>
      </c>
      <c r="Y55" s="11">
        <v>57.97</v>
      </c>
      <c r="Z55" s="11">
        <v>59.18</v>
      </c>
      <c r="AA55" s="11">
        <v>57.97</v>
      </c>
      <c r="AB55" s="11">
        <v>58.42</v>
      </c>
      <c r="AC55" s="114">
        <v>3193200</v>
      </c>
      <c r="AD55" s="11">
        <v>58.12</v>
      </c>
      <c r="AE55" s="2">
        <f t="shared" si="2"/>
        <v>1.2100000000000009</v>
      </c>
      <c r="AF55" s="148">
        <f t="shared" si="3"/>
        <v>8.8526297517792507E-3</v>
      </c>
    </row>
    <row r="56" spans="15:32" x14ac:dyDescent="0.25">
      <c r="O56" s="93">
        <v>0.9</v>
      </c>
      <c r="P56" s="93">
        <f t="shared" si="6"/>
        <v>61.407000000000004</v>
      </c>
      <c r="X56" s="120">
        <v>42382</v>
      </c>
      <c r="Y56" s="11">
        <v>58.82</v>
      </c>
      <c r="Z56" s="11">
        <v>59.35</v>
      </c>
      <c r="AA56" s="11">
        <v>57.82</v>
      </c>
      <c r="AB56" s="11">
        <v>57.91</v>
      </c>
      <c r="AC56" s="114">
        <v>4225600</v>
      </c>
      <c r="AD56" s="11">
        <v>57.61</v>
      </c>
      <c r="AE56" s="2">
        <f t="shared" si="2"/>
        <v>1.5300000000000011</v>
      </c>
      <c r="AF56" s="148">
        <f t="shared" si="3"/>
        <v>-1.2682090831191095E-2</v>
      </c>
    </row>
    <row r="57" spans="15:32" x14ac:dyDescent="0.25">
      <c r="X57" s="120">
        <v>42381</v>
      </c>
      <c r="Y57" s="11">
        <v>58.43</v>
      </c>
      <c r="Z57" s="11">
        <v>58.74</v>
      </c>
      <c r="AA57" s="11">
        <v>57.81</v>
      </c>
      <c r="AB57" s="11">
        <v>58.65</v>
      </c>
      <c r="AC57" s="114">
        <v>2957900</v>
      </c>
      <c r="AD57" s="11">
        <v>58.35</v>
      </c>
      <c r="AE57" s="2">
        <f t="shared" si="2"/>
        <v>0.92999999999999972</v>
      </c>
      <c r="AF57" s="148">
        <f t="shared" si="3"/>
        <v>1.0914760914761068E-2</v>
      </c>
    </row>
    <row r="58" spans="15:32" x14ac:dyDescent="0.25">
      <c r="X58" s="120">
        <v>42380</v>
      </c>
      <c r="Y58" s="11">
        <v>58.39</v>
      </c>
      <c r="Z58" s="11">
        <v>58.63</v>
      </c>
      <c r="AA58" s="11">
        <v>57.59</v>
      </c>
      <c r="AB58" s="11">
        <v>58.02</v>
      </c>
      <c r="AC58" s="114">
        <v>3037300</v>
      </c>
      <c r="AD58" s="11">
        <v>57.72</v>
      </c>
      <c r="AE58" s="2">
        <f t="shared" si="2"/>
        <v>1.0399999999999991</v>
      </c>
      <c r="AF58" s="148">
        <f t="shared" si="3"/>
        <v>-3.6250647332988217E-3</v>
      </c>
    </row>
    <row r="59" spans="15:32" x14ac:dyDescent="0.25">
      <c r="X59" s="120">
        <v>42377</v>
      </c>
      <c r="Y59" s="11">
        <v>58.8</v>
      </c>
      <c r="Z59" s="11">
        <v>58.94</v>
      </c>
      <c r="AA59" s="11">
        <v>58.14</v>
      </c>
      <c r="AB59" s="11">
        <v>58.23</v>
      </c>
      <c r="AC59" s="114">
        <v>2883900</v>
      </c>
      <c r="AD59" s="11">
        <v>57.93</v>
      </c>
      <c r="AE59" s="2">
        <f t="shared" si="2"/>
        <v>0.79999999999999716</v>
      </c>
      <c r="AF59" s="148">
        <f t="shared" si="3"/>
        <v>-3.6119711042311708E-3</v>
      </c>
    </row>
    <row r="60" spans="15:32" x14ac:dyDescent="0.25">
      <c r="X60" s="120">
        <v>42376</v>
      </c>
      <c r="Y60" s="11">
        <v>58.79</v>
      </c>
      <c r="Z60" s="11">
        <v>59.66</v>
      </c>
      <c r="AA60" s="11">
        <v>58.31</v>
      </c>
      <c r="AB60" s="11">
        <v>58.44</v>
      </c>
      <c r="AC60" s="114">
        <v>3982600</v>
      </c>
      <c r="AD60" s="11">
        <v>58.14</v>
      </c>
      <c r="AE60" s="2">
        <f t="shared" si="2"/>
        <v>1.3499999999999943</v>
      </c>
      <c r="AF60" s="148">
        <f t="shared" si="3"/>
        <v>-2.3513604299630453E-2</v>
      </c>
    </row>
    <row r="61" spans="15:32" x14ac:dyDescent="0.25">
      <c r="X61" s="120">
        <v>42375</v>
      </c>
      <c r="Y61" s="11">
        <v>59.79</v>
      </c>
      <c r="Z61" s="11">
        <v>60.2</v>
      </c>
      <c r="AA61" s="11">
        <v>59.6</v>
      </c>
      <c r="AB61" s="11">
        <v>59.85</v>
      </c>
      <c r="AC61" s="114">
        <v>2868400</v>
      </c>
      <c r="AD61" s="11">
        <v>59.54</v>
      </c>
      <c r="AE61" s="2">
        <f t="shared" si="2"/>
        <v>0.60000000000000142</v>
      </c>
      <c r="AF61" s="148">
        <f t="shared" si="3"/>
        <v>-1.1291929591497829E-2</v>
      </c>
    </row>
    <row r="62" spans="15:32" x14ac:dyDescent="0.25">
      <c r="X62" s="120">
        <v>42374</v>
      </c>
      <c r="Y62" s="11">
        <v>60.71</v>
      </c>
      <c r="Z62" s="11">
        <v>60.97</v>
      </c>
      <c r="AA62" s="11">
        <v>60.39</v>
      </c>
      <c r="AB62" s="11">
        <v>60.53</v>
      </c>
      <c r="AC62" s="114">
        <v>2808800</v>
      </c>
      <c r="AD62" s="11">
        <v>60.22</v>
      </c>
      <c r="AE62" s="2">
        <f t="shared" si="2"/>
        <v>0.57999999999999829</v>
      </c>
      <c r="AF62" s="148">
        <f t="shared" si="3"/>
        <v>-2.3194168323392717E-3</v>
      </c>
    </row>
    <row r="63" spans="15:32" x14ac:dyDescent="0.25">
      <c r="X63" s="120">
        <v>42373</v>
      </c>
      <c r="Y63" s="11">
        <v>60.88</v>
      </c>
      <c r="Z63" s="11">
        <v>60.98</v>
      </c>
      <c r="AA63" s="11">
        <v>59.92</v>
      </c>
      <c r="AB63" s="11">
        <v>60.67</v>
      </c>
      <c r="AC63" s="114">
        <v>3339200</v>
      </c>
      <c r="AD63" s="11">
        <v>60.36</v>
      </c>
      <c r="AE63" s="2">
        <f t="shared" si="2"/>
        <v>1.0599999999999952</v>
      </c>
      <c r="AF63" s="148">
        <f t="shared" si="3"/>
        <v>-2.2826614861583328E-2</v>
      </c>
    </row>
    <row r="64" spans="15:32" x14ac:dyDescent="0.25">
      <c r="X64" s="120">
        <v>42369</v>
      </c>
      <c r="Y64" s="11">
        <v>62.62</v>
      </c>
      <c r="Z64" s="11">
        <v>62.77</v>
      </c>
      <c r="AA64" s="11">
        <v>62.07</v>
      </c>
      <c r="AB64" s="11">
        <v>62.09</v>
      </c>
      <c r="AC64" s="114">
        <v>1573600</v>
      </c>
      <c r="AD64" s="11">
        <v>61.77</v>
      </c>
      <c r="AE64" s="2">
        <f t="shared" si="2"/>
        <v>0.70000000000000284</v>
      </c>
      <c r="AF64" s="148">
        <f t="shared" si="3"/>
        <v>-1.1521843494959216E-2</v>
      </c>
    </row>
    <row r="65" spans="24:32" x14ac:dyDescent="0.25">
      <c r="X65" s="120">
        <v>42368</v>
      </c>
      <c r="Y65" s="11">
        <v>63.15</v>
      </c>
      <c r="Z65" s="11">
        <v>63.34</v>
      </c>
      <c r="AA65" s="11">
        <v>62.77</v>
      </c>
      <c r="AB65" s="11">
        <v>62.81</v>
      </c>
      <c r="AC65" s="114">
        <v>1523000</v>
      </c>
      <c r="AD65" s="11">
        <v>62.49</v>
      </c>
      <c r="AE65" s="2">
        <f t="shared" si="2"/>
        <v>0.57000000000000028</v>
      </c>
      <c r="AF65" s="148">
        <f t="shared" si="3"/>
        <v>-5.886096086541448E-3</v>
      </c>
    </row>
    <row r="66" spans="24:32" x14ac:dyDescent="0.25">
      <c r="X66" s="120">
        <v>42367</v>
      </c>
      <c r="Y66" s="11">
        <v>63.09</v>
      </c>
      <c r="Z66" s="11">
        <v>63.49</v>
      </c>
      <c r="AA66" s="11">
        <v>62.86</v>
      </c>
      <c r="AB66" s="11">
        <v>63.19</v>
      </c>
      <c r="AC66" s="114">
        <v>1495600</v>
      </c>
      <c r="AD66" s="11">
        <v>62.86</v>
      </c>
      <c r="AE66" s="2">
        <f t="shared" si="2"/>
        <v>0.63000000000000256</v>
      </c>
      <c r="AF66" s="148">
        <f t="shared" si="3"/>
        <v>8.6649550706032752E-3</v>
      </c>
    </row>
    <row r="67" spans="24:32" x14ac:dyDescent="0.25">
      <c r="X67" s="120">
        <v>42366</v>
      </c>
      <c r="Y67" s="11">
        <v>63.01</v>
      </c>
      <c r="Z67" s="11">
        <v>63.06</v>
      </c>
      <c r="AA67" s="11">
        <v>62.33</v>
      </c>
      <c r="AB67" s="11">
        <v>62.64</v>
      </c>
      <c r="AC67" s="114">
        <v>1833300</v>
      </c>
      <c r="AD67" s="11">
        <v>62.32</v>
      </c>
      <c r="AE67" s="2">
        <f t="shared" ref="AE67:AE68" si="7">Z67-AA67</f>
        <v>0.73000000000000398</v>
      </c>
      <c r="AF67" s="148">
        <f t="shared" ref="AF67" si="8">AD67/AD68-1</f>
        <v>-7.8013055245980123E-3</v>
      </c>
    </row>
    <row r="68" spans="24:32" x14ac:dyDescent="0.25">
      <c r="X68" s="120">
        <v>42362</v>
      </c>
      <c r="Y68" s="11">
        <v>62.83</v>
      </c>
      <c r="Z68" s="11">
        <v>63.45</v>
      </c>
      <c r="AA68" s="11">
        <v>62.68</v>
      </c>
      <c r="AB68" s="11">
        <v>63.14</v>
      </c>
      <c r="AC68" s="114">
        <v>1298700</v>
      </c>
      <c r="AD68" s="11">
        <v>62.81</v>
      </c>
      <c r="AE68" s="2">
        <f t="shared" si="7"/>
        <v>0.77000000000000313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9" priority="12">
      <formula>Q7&gt;0</formula>
    </cfRule>
    <cfRule type="expression" dxfId="158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7" priority="5">
      <formula>F19&gt;0</formula>
    </cfRule>
    <cfRule type="expression" dxfId="156" priority="6">
      <formula>F19&lt;0</formula>
    </cfRule>
  </conditionalFormatting>
  <conditionalFormatting sqref="F29:F30">
    <cfRule type="expression" dxfId="155" priority="3">
      <formula>F29&gt;0</formula>
    </cfRule>
    <cfRule type="expression" dxfId="154" priority="4">
      <formula>F29&lt;0</formula>
    </cfRule>
  </conditionalFormatting>
  <conditionalFormatting sqref="H19:H24">
    <cfRule type="expression" dxfId="153" priority="1">
      <formula>H19&gt;0</formula>
    </cfRule>
    <cfRule type="expression" dxfId="15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159</v>
      </c>
      <c r="W2" s="167">
        <v>42460</v>
      </c>
      <c r="X2" s="43">
        <v>84.41</v>
      </c>
      <c r="Y2" s="43">
        <v>84.41</v>
      </c>
      <c r="Z2" s="43">
        <v>83.15</v>
      </c>
      <c r="AA2" s="43">
        <v>83.25</v>
      </c>
      <c r="AB2" s="105">
        <v>1568900</v>
      </c>
      <c r="AC2" s="43">
        <v>83.25</v>
      </c>
      <c r="AD2" s="2">
        <f t="shared" ref="AD2" si="1">Y2-Z2</f>
        <v>1.2599999999999909</v>
      </c>
      <c r="AE2" s="148">
        <f t="shared" ref="AE2" si="2">AC2/AC3-1</f>
        <v>-1.7699115044247815E-2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82.97</v>
      </c>
      <c r="W3" s="167">
        <v>42459</v>
      </c>
      <c r="X3" s="43">
        <v>83.32</v>
      </c>
      <c r="Y3" s="43">
        <v>86.66</v>
      </c>
      <c r="Z3" s="43">
        <v>83.24</v>
      </c>
      <c r="AA3" s="43">
        <v>84.75</v>
      </c>
      <c r="AB3" s="105">
        <v>1809400</v>
      </c>
      <c r="AC3" s="43">
        <v>84.75</v>
      </c>
      <c r="AD3" s="2">
        <f t="shared" ref="AD3:AD66" si="3">Y3-Z3</f>
        <v>3.4200000000000017</v>
      </c>
      <c r="AE3" s="148">
        <f t="shared" ref="AE3:AE66" si="4">AC3/AC4-1</f>
        <v>2.3550724637681153E-2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82.97</v>
      </c>
      <c r="W4" s="167">
        <v>42458</v>
      </c>
      <c r="X4" s="43">
        <v>81.14</v>
      </c>
      <c r="Y4" s="43">
        <v>83.33</v>
      </c>
      <c r="Z4" s="43">
        <v>80.489999999999995</v>
      </c>
      <c r="AA4" s="43">
        <v>82.8</v>
      </c>
      <c r="AB4" s="105">
        <v>872200</v>
      </c>
      <c r="AC4" s="43">
        <v>82.8</v>
      </c>
      <c r="AD4" s="2">
        <f t="shared" si="3"/>
        <v>2.8400000000000034</v>
      </c>
      <c r="AE4" s="148">
        <f t="shared" si="4"/>
        <v>1.2844036697247763E-2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155</v>
      </c>
      <c r="W5" s="167">
        <v>42457</v>
      </c>
      <c r="X5" s="43">
        <v>83.78</v>
      </c>
      <c r="Y5" s="43">
        <v>83.78</v>
      </c>
      <c r="Z5" s="43">
        <v>80.87</v>
      </c>
      <c r="AA5" s="43">
        <v>81.75</v>
      </c>
      <c r="AB5" s="105">
        <v>1539100</v>
      </c>
      <c r="AC5" s="43">
        <v>81.75</v>
      </c>
      <c r="AD5" s="2">
        <f t="shared" si="3"/>
        <v>2.9099999999999966</v>
      </c>
      <c r="AE5" s="148">
        <f t="shared" si="4"/>
        <v>-2.5277214737093212E-2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42453</v>
      </c>
      <c r="X6" s="43">
        <v>82.19</v>
      </c>
      <c r="Y6" s="43">
        <v>83.92</v>
      </c>
      <c r="Z6" s="43">
        <v>81.400000000000006</v>
      </c>
      <c r="AA6" s="43">
        <v>83.87</v>
      </c>
      <c r="AB6" s="105">
        <v>640200</v>
      </c>
      <c r="AC6" s="43">
        <v>83.87</v>
      </c>
      <c r="AD6" s="2">
        <f t="shared" si="3"/>
        <v>2.519999999999996</v>
      </c>
      <c r="AE6" s="148">
        <f t="shared" si="4"/>
        <v>1.2189234853970721E-2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42452</v>
      </c>
      <c r="X7" s="43">
        <v>84.37</v>
      </c>
      <c r="Y7" s="43">
        <v>84.54</v>
      </c>
      <c r="Z7" s="43">
        <v>82.74</v>
      </c>
      <c r="AA7" s="43">
        <v>82.86</v>
      </c>
      <c r="AB7" s="105">
        <v>1097900</v>
      </c>
      <c r="AC7" s="43">
        <v>82.86</v>
      </c>
      <c r="AD7" s="2">
        <f t="shared" si="3"/>
        <v>1.8000000000000114</v>
      </c>
      <c r="AE7" s="148">
        <f t="shared" si="4"/>
        <v>-1.7081850533807841E-2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42451</v>
      </c>
      <c r="X8" s="43">
        <v>83.37</v>
      </c>
      <c r="Y8" s="43">
        <v>85.25</v>
      </c>
      <c r="Z8" s="43">
        <v>83.27</v>
      </c>
      <c r="AA8" s="43">
        <v>84.3</v>
      </c>
      <c r="AB8" s="105">
        <v>1808700</v>
      </c>
      <c r="AC8" s="43">
        <v>84.3</v>
      </c>
      <c r="AD8" s="2">
        <f t="shared" si="3"/>
        <v>1.980000000000004</v>
      </c>
      <c r="AE8" s="148">
        <f t="shared" si="4"/>
        <v>3.0937648738695867E-3</v>
      </c>
    </row>
    <row r="9" spans="1:31" x14ac:dyDescent="0.25">
      <c r="W9" s="167">
        <v>42450</v>
      </c>
      <c r="X9" s="43">
        <v>83.74</v>
      </c>
      <c r="Y9" s="43">
        <v>85.24</v>
      </c>
      <c r="Z9" s="43">
        <v>83.23</v>
      </c>
      <c r="AA9" s="43">
        <v>84.04</v>
      </c>
      <c r="AB9" s="105">
        <v>1019800</v>
      </c>
      <c r="AC9" s="43">
        <v>84.04</v>
      </c>
      <c r="AD9" s="2">
        <f t="shared" si="3"/>
        <v>2.0099999999999909</v>
      </c>
      <c r="AE9" s="148">
        <f t="shared" si="4"/>
        <v>2.3803856224713371E-4</v>
      </c>
    </row>
    <row r="10" spans="1:31" x14ac:dyDescent="0.25">
      <c r="W10" s="167">
        <v>42447</v>
      </c>
      <c r="X10" s="43">
        <v>83.11</v>
      </c>
      <c r="Y10" s="43">
        <v>84.57</v>
      </c>
      <c r="Z10" s="43">
        <v>83.11</v>
      </c>
      <c r="AA10" s="43">
        <v>84.02</v>
      </c>
      <c r="AB10" s="105">
        <v>3333600</v>
      </c>
      <c r="AC10" s="43">
        <v>84.02</v>
      </c>
      <c r="AD10" s="2">
        <f t="shared" si="3"/>
        <v>1.4599999999999937</v>
      </c>
      <c r="AE10" s="148">
        <f t="shared" si="4"/>
        <v>1.4734299516908189E-2</v>
      </c>
    </row>
    <row r="11" spans="1:31" x14ac:dyDescent="0.25">
      <c r="W11" s="167">
        <v>42446</v>
      </c>
      <c r="X11" s="43">
        <v>80.97</v>
      </c>
      <c r="Y11" s="43">
        <v>82.99</v>
      </c>
      <c r="Z11" s="43">
        <v>80.290000000000006</v>
      </c>
      <c r="AA11" s="43">
        <v>82.8</v>
      </c>
      <c r="AB11" s="105">
        <v>1670500</v>
      </c>
      <c r="AC11" s="43">
        <v>82.8</v>
      </c>
      <c r="AD11" s="2">
        <f t="shared" si="3"/>
        <v>2.6999999999999886</v>
      </c>
      <c r="AE11" s="148">
        <f t="shared" si="4"/>
        <v>2.234843807877529E-2</v>
      </c>
    </row>
    <row r="12" spans="1:31" x14ac:dyDescent="0.25">
      <c r="W12" s="167">
        <v>42445</v>
      </c>
      <c r="X12" s="43">
        <v>78.599999999999994</v>
      </c>
      <c r="Y12" s="43">
        <v>81.41</v>
      </c>
      <c r="Z12" s="43">
        <v>77.58</v>
      </c>
      <c r="AA12" s="43">
        <v>80.989999999999995</v>
      </c>
      <c r="AB12" s="105">
        <v>1456800</v>
      </c>
      <c r="AC12" s="43">
        <v>80.989999999999995</v>
      </c>
      <c r="AD12" s="2">
        <f t="shared" si="3"/>
        <v>3.8299999999999983</v>
      </c>
      <c r="AE12" s="148">
        <f t="shared" si="4"/>
        <v>2.5189873417721387E-2</v>
      </c>
    </row>
    <row r="13" spans="1:31" x14ac:dyDescent="0.25">
      <c r="W13" s="167">
        <v>42444</v>
      </c>
      <c r="X13" s="43">
        <v>78.27</v>
      </c>
      <c r="Y13" s="43">
        <v>79.09</v>
      </c>
      <c r="Z13" s="43">
        <v>77.3</v>
      </c>
      <c r="AA13" s="43">
        <v>79</v>
      </c>
      <c r="AB13" s="105">
        <v>987200</v>
      </c>
      <c r="AC13" s="43">
        <v>79</v>
      </c>
      <c r="AD13" s="2">
        <f t="shared" si="3"/>
        <v>1.7900000000000063</v>
      </c>
      <c r="AE13" s="148">
        <f t="shared" si="4"/>
        <v>3.7989109788538755E-4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42443</v>
      </c>
      <c r="X14" s="43">
        <v>78.31</v>
      </c>
      <c r="Y14" s="43">
        <v>80.040000000000006</v>
      </c>
      <c r="Z14" s="43">
        <v>78.239999999999995</v>
      </c>
      <c r="AA14" s="43">
        <v>78.97</v>
      </c>
      <c r="AB14" s="105">
        <v>1537200</v>
      </c>
      <c r="AC14" s="43">
        <v>78.97</v>
      </c>
      <c r="AD14" s="2">
        <f t="shared" si="3"/>
        <v>1.8000000000000114</v>
      </c>
      <c r="AE14" s="148">
        <f t="shared" si="4"/>
        <v>-5.0626502974315812E-4</v>
      </c>
    </row>
    <row r="15" spans="1:31" x14ac:dyDescent="0.25">
      <c r="W15" s="167">
        <v>42440</v>
      </c>
      <c r="X15" s="43">
        <v>76.67</v>
      </c>
      <c r="Y15" s="43">
        <v>79.31</v>
      </c>
      <c r="Z15" s="43">
        <v>76.209999999999994</v>
      </c>
      <c r="AA15" s="43">
        <v>79.010000000000005</v>
      </c>
      <c r="AB15" s="105">
        <v>1851400</v>
      </c>
      <c r="AC15" s="43">
        <v>79.010000000000005</v>
      </c>
      <c r="AD15" s="2">
        <f t="shared" si="3"/>
        <v>3.1000000000000085</v>
      </c>
      <c r="AE15" s="148">
        <f t="shared" si="4"/>
        <v>4.2898627243928233E-2</v>
      </c>
    </row>
    <row r="16" spans="1:31" x14ac:dyDescent="0.25">
      <c r="B16" s="209" t="s">
        <v>117</v>
      </c>
      <c r="C16" s="209" t="s">
        <v>167</v>
      </c>
      <c r="D16" s="210" t="s">
        <v>166</v>
      </c>
      <c r="E16" s="212" t="s">
        <v>168</v>
      </c>
      <c r="F16" s="212" t="s">
        <v>65</v>
      </c>
      <c r="G16" s="253" t="s">
        <v>172</v>
      </c>
      <c r="H16" s="253" t="s">
        <v>90</v>
      </c>
      <c r="I16" s="253" t="s">
        <v>179</v>
      </c>
      <c r="W16" s="167">
        <v>42439</v>
      </c>
      <c r="X16" s="43">
        <v>76.86</v>
      </c>
      <c r="Y16" s="43">
        <v>77.05</v>
      </c>
      <c r="Z16" s="43">
        <v>74.7</v>
      </c>
      <c r="AA16" s="43">
        <v>75.760000000000005</v>
      </c>
      <c r="AB16" s="105">
        <v>2232000</v>
      </c>
      <c r="AC16" s="43">
        <v>75.760000000000005</v>
      </c>
      <c r="AD16" s="2">
        <f t="shared" si="3"/>
        <v>2.3499999999999943</v>
      </c>
      <c r="AE16" s="148">
        <f t="shared" si="4"/>
        <v>1.3201320132028016E-4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42438</v>
      </c>
      <c r="X17" s="43">
        <v>76.97</v>
      </c>
      <c r="Y17" s="43">
        <v>77.5</v>
      </c>
      <c r="Z17" s="43">
        <v>75.27</v>
      </c>
      <c r="AA17" s="43">
        <v>75.75</v>
      </c>
      <c r="AB17" s="105">
        <v>2479000</v>
      </c>
      <c r="AC17" s="43">
        <v>75.75</v>
      </c>
      <c r="AD17" s="2">
        <f t="shared" si="3"/>
        <v>2.230000000000004</v>
      </c>
      <c r="AE17" s="148">
        <f t="shared" si="4"/>
        <v>-7.9884756416972458E-3</v>
      </c>
    </row>
    <row r="18" spans="2:31" x14ac:dyDescent="0.25">
      <c r="B18" s="211">
        <v>42305</v>
      </c>
      <c r="C18" s="12">
        <v>0</v>
      </c>
      <c r="D18" s="222" t="s">
        <v>134</v>
      </c>
      <c r="E18" s="43">
        <v>81.599999999999994</v>
      </c>
      <c r="F18" s="43">
        <v>-169.71000000000095</v>
      </c>
      <c r="G18" s="43"/>
      <c r="H18" s="260"/>
      <c r="I18" s="43"/>
      <c r="W18" s="167">
        <v>42437</v>
      </c>
      <c r="X18" s="43">
        <v>79.37</v>
      </c>
      <c r="Y18" s="43">
        <v>79.72</v>
      </c>
      <c r="Z18" s="43">
        <v>75.959999999999994</v>
      </c>
      <c r="AA18" s="43">
        <v>76.36</v>
      </c>
      <c r="AB18" s="105">
        <v>5990900</v>
      </c>
      <c r="AC18" s="43">
        <v>76.36</v>
      </c>
      <c r="AD18" s="2">
        <f t="shared" si="3"/>
        <v>3.7600000000000051</v>
      </c>
      <c r="AE18" s="148">
        <f t="shared" si="4"/>
        <v>-4.2147516307074806E-2</v>
      </c>
    </row>
    <row r="19" spans="2:31" x14ac:dyDescent="0.25">
      <c r="B19" s="211">
        <v>42331</v>
      </c>
      <c r="C19" s="12">
        <v>0</v>
      </c>
      <c r="D19" s="222" t="s">
        <v>134</v>
      </c>
      <c r="E19" s="43">
        <v>95.56</v>
      </c>
      <c r="F19" s="43">
        <v>-168.62</v>
      </c>
      <c r="G19" s="43"/>
      <c r="H19" s="260"/>
      <c r="I19" s="43"/>
      <c r="W19" s="167">
        <v>42436</v>
      </c>
      <c r="X19" s="43">
        <v>77.040000000000006</v>
      </c>
      <c r="Y19" s="43">
        <v>79.989999999999995</v>
      </c>
      <c r="Z19" s="43">
        <v>76.7</v>
      </c>
      <c r="AA19" s="43">
        <v>79.72</v>
      </c>
      <c r="AB19" s="105">
        <v>3184600</v>
      </c>
      <c r="AC19" s="43">
        <v>79.72</v>
      </c>
      <c r="AD19" s="2">
        <f t="shared" si="3"/>
        <v>3.289999999999992</v>
      </c>
      <c r="AE19" s="148">
        <f t="shared" si="4"/>
        <v>2.9974160206718281E-2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42433</v>
      </c>
      <c r="X20" s="43">
        <v>77.25</v>
      </c>
      <c r="Y20" s="43">
        <v>78.69</v>
      </c>
      <c r="Z20" s="43">
        <v>77.239999999999995</v>
      </c>
      <c r="AA20" s="43">
        <v>77.400000000000006</v>
      </c>
      <c r="AB20" s="105">
        <v>1109200</v>
      </c>
      <c r="AC20" s="43">
        <v>77.400000000000006</v>
      </c>
      <c r="AD20" s="2">
        <f t="shared" si="3"/>
        <v>1.4500000000000028</v>
      </c>
      <c r="AE20" s="148">
        <f t="shared" si="4"/>
        <v>5.1948051948051965E-3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42432</v>
      </c>
      <c r="X21" s="43">
        <v>76.47</v>
      </c>
      <c r="Y21" s="43">
        <v>78.47</v>
      </c>
      <c r="Z21" s="43">
        <v>76.47</v>
      </c>
      <c r="AA21" s="43">
        <v>77</v>
      </c>
      <c r="AB21" s="105">
        <v>1613400</v>
      </c>
      <c r="AC21" s="43">
        <v>77</v>
      </c>
      <c r="AD21" s="2">
        <f t="shared" si="3"/>
        <v>2</v>
      </c>
      <c r="AE21" s="148">
        <f t="shared" si="4"/>
        <v>7.8534031413610705E-3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42431</v>
      </c>
      <c r="X22" s="43">
        <v>76.069999999999993</v>
      </c>
      <c r="Y22" s="43">
        <v>77.430000000000007</v>
      </c>
      <c r="Z22" s="43">
        <v>75.650000000000006</v>
      </c>
      <c r="AA22" s="43">
        <v>76.400000000000006</v>
      </c>
      <c r="AB22" s="105">
        <v>1730500</v>
      </c>
      <c r="AC22" s="43">
        <v>76.400000000000006</v>
      </c>
      <c r="AD22" s="2">
        <f t="shared" si="3"/>
        <v>1.7800000000000011</v>
      </c>
      <c r="AE22" s="148">
        <f t="shared" si="4"/>
        <v>1.4473509494091097E-2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42430</v>
      </c>
      <c r="X23" s="43">
        <v>73.69</v>
      </c>
      <c r="Y23" s="43">
        <v>75.680000000000007</v>
      </c>
      <c r="Z23" s="43">
        <v>73.31</v>
      </c>
      <c r="AA23" s="43">
        <v>75.31</v>
      </c>
      <c r="AB23" s="105">
        <v>1852600</v>
      </c>
      <c r="AC23" s="43">
        <v>75.31</v>
      </c>
      <c r="AD23" s="2">
        <f t="shared" si="3"/>
        <v>2.3700000000000045</v>
      </c>
      <c r="AE23" s="148">
        <f t="shared" si="4"/>
        <v>2.9246959136258077E-2</v>
      </c>
    </row>
    <row r="24" spans="2:31" x14ac:dyDescent="0.25">
      <c r="W24" s="167">
        <v>42429</v>
      </c>
      <c r="X24" s="43">
        <v>74.69</v>
      </c>
      <c r="Y24" s="43">
        <v>75.38</v>
      </c>
      <c r="Z24" s="43">
        <v>73.16</v>
      </c>
      <c r="AA24" s="43">
        <v>73.17</v>
      </c>
      <c r="AB24" s="105">
        <v>1494800</v>
      </c>
      <c r="AC24" s="43">
        <v>73.17</v>
      </c>
      <c r="AD24" s="2">
        <f t="shared" si="3"/>
        <v>2.2199999999999989</v>
      </c>
      <c r="AE24" s="148">
        <f t="shared" si="4"/>
        <v>-2.048192771084334E-2</v>
      </c>
    </row>
    <row r="25" spans="2:31" x14ac:dyDescent="0.25">
      <c r="W25" s="167">
        <v>42426</v>
      </c>
      <c r="X25" s="43">
        <v>73.95</v>
      </c>
      <c r="Y25" s="43">
        <v>76.150000000000006</v>
      </c>
      <c r="Z25" s="43">
        <v>73.790000000000006</v>
      </c>
      <c r="AA25" s="43">
        <v>74.7</v>
      </c>
      <c r="AB25" s="105">
        <v>1333000</v>
      </c>
      <c r="AC25" s="43">
        <v>74.7</v>
      </c>
      <c r="AD25" s="2">
        <f t="shared" si="3"/>
        <v>2.3599999999999994</v>
      </c>
      <c r="AE25" s="148">
        <f t="shared" si="4"/>
        <v>1.3981267815935894E-2</v>
      </c>
    </row>
    <row r="26" spans="2:31" x14ac:dyDescent="0.25">
      <c r="W26" s="167">
        <v>42425</v>
      </c>
      <c r="X26" s="43">
        <v>74.23</v>
      </c>
      <c r="Y26" s="43">
        <v>74.97</v>
      </c>
      <c r="Z26" s="43">
        <v>72.64</v>
      </c>
      <c r="AA26" s="43">
        <v>73.67</v>
      </c>
      <c r="AB26" s="105">
        <v>977900</v>
      </c>
      <c r="AC26" s="43">
        <v>73.67</v>
      </c>
      <c r="AD26" s="2">
        <f t="shared" si="3"/>
        <v>2.3299999999999983</v>
      </c>
      <c r="AE26" s="148">
        <f t="shared" si="4"/>
        <v>-3.6516094130375487E-3</v>
      </c>
    </row>
    <row r="27" spans="2:31" x14ac:dyDescent="0.25">
      <c r="W27" s="167">
        <v>42424</v>
      </c>
      <c r="X27" s="43">
        <v>72.53</v>
      </c>
      <c r="Y27" s="43">
        <v>74.239999999999995</v>
      </c>
      <c r="Z27" s="43">
        <v>72.010000000000005</v>
      </c>
      <c r="AA27" s="43">
        <v>73.94</v>
      </c>
      <c r="AB27" s="105">
        <v>781400</v>
      </c>
      <c r="AC27" s="43">
        <v>73.94</v>
      </c>
      <c r="AD27" s="2">
        <f t="shared" si="3"/>
        <v>2.2299999999999898</v>
      </c>
      <c r="AE27" s="148">
        <f t="shared" si="4"/>
        <v>9.4761066738846544E-4</v>
      </c>
    </row>
    <row r="28" spans="2:31" x14ac:dyDescent="0.25">
      <c r="W28" s="167">
        <v>42423</v>
      </c>
      <c r="X28" s="43">
        <v>76.12</v>
      </c>
      <c r="Y28" s="43">
        <v>76.94</v>
      </c>
      <c r="Z28" s="43">
        <v>73.72</v>
      </c>
      <c r="AA28" s="43">
        <v>73.87</v>
      </c>
      <c r="AB28" s="105">
        <v>942400</v>
      </c>
      <c r="AC28" s="43">
        <v>73.87</v>
      </c>
      <c r="AD28" s="2">
        <f t="shared" si="3"/>
        <v>3.2199999999999989</v>
      </c>
      <c r="AE28" s="148">
        <f t="shared" si="4"/>
        <v>-2.7514481305950356E-2</v>
      </c>
    </row>
    <row r="29" spans="2:31" x14ac:dyDescent="0.25">
      <c r="W29" s="167">
        <v>42422</v>
      </c>
      <c r="X29" s="43">
        <v>75</v>
      </c>
      <c r="Y29" s="43">
        <v>77.150000000000006</v>
      </c>
      <c r="Z29" s="43">
        <v>75</v>
      </c>
      <c r="AA29" s="43">
        <v>75.959999999999994</v>
      </c>
      <c r="AB29" s="105">
        <v>1846000</v>
      </c>
      <c r="AC29" s="43">
        <v>75.959999999999994</v>
      </c>
      <c r="AD29" s="2">
        <f t="shared" si="3"/>
        <v>2.1500000000000057</v>
      </c>
      <c r="AE29" s="148">
        <f t="shared" si="4"/>
        <v>1.2799999999999923E-2</v>
      </c>
    </row>
    <row r="30" spans="2:31" x14ac:dyDescent="0.25">
      <c r="W30" s="167">
        <v>42419</v>
      </c>
      <c r="X30" s="43">
        <v>74.5</v>
      </c>
      <c r="Y30" s="43">
        <v>75.5</v>
      </c>
      <c r="Z30" s="43">
        <v>74.05</v>
      </c>
      <c r="AA30" s="43">
        <v>75</v>
      </c>
      <c r="AB30" s="105">
        <v>1434900</v>
      </c>
      <c r="AC30" s="43">
        <v>75</v>
      </c>
      <c r="AD30" s="2">
        <f t="shared" si="3"/>
        <v>1.4500000000000028</v>
      </c>
      <c r="AE30" s="148">
        <f t="shared" si="4"/>
        <v>2.2718161165309336E-3</v>
      </c>
    </row>
    <row r="31" spans="2:31" x14ac:dyDescent="0.25">
      <c r="W31" s="167">
        <v>42418</v>
      </c>
      <c r="X31" s="43">
        <v>75.67</v>
      </c>
      <c r="Y31" s="43">
        <v>76.209999999999994</v>
      </c>
      <c r="Z31" s="43">
        <v>74.09</v>
      </c>
      <c r="AA31" s="43">
        <v>74.83</v>
      </c>
      <c r="AB31" s="105">
        <v>1049200</v>
      </c>
      <c r="AC31" s="43">
        <v>74.83</v>
      </c>
      <c r="AD31" s="2">
        <f t="shared" si="3"/>
        <v>2.1199999999999903</v>
      </c>
      <c r="AE31" s="148">
        <f t="shared" si="4"/>
        <v>-1.2405965421670828E-2</v>
      </c>
    </row>
    <row r="32" spans="2:31" x14ac:dyDescent="0.25">
      <c r="W32" s="167">
        <v>42417</v>
      </c>
      <c r="X32" s="43">
        <v>74.349999999999994</v>
      </c>
      <c r="Y32" s="43">
        <v>76.02</v>
      </c>
      <c r="Z32" s="43">
        <v>73.63</v>
      </c>
      <c r="AA32" s="43">
        <v>75.77</v>
      </c>
      <c r="AB32" s="105">
        <v>2032000</v>
      </c>
      <c r="AC32" s="43">
        <v>75.77</v>
      </c>
      <c r="AD32" s="2">
        <f t="shared" si="3"/>
        <v>2.3900000000000006</v>
      </c>
      <c r="AE32" s="148">
        <f t="shared" si="4"/>
        <v>2.4057305041221833E-2</v>
      </c>
    </row>
    <row r="33" spans="15:31" x14ac:dyDescent="0.25">
      <c r="W33" s="167">
        <v>42416</v>
      </c>
      <c r="X33" s="43">
        <v>72.95</v>
      </c>
      <c r="Y33" s="43">
        <v>74.33</v>
      </c>
      <c r="Z33" s="43">
        <v>72.56</v>
      </c>
      <c r="AA33" s="43">
        <v>73.989999999999995</v>
      </c>
      <c r="AB33" s="105">
        <v>1365600</v>
      </c>
      <c r="AC33" s="43">
        <v>73.989999999999995</v>
      </c>
      <c r="AD33" s="2">
        <f t="shared" si="3"/>
        <v>1.769999999999996</v>
      </c>
      <c r="AE33" s="148">
        <f t="shared" si="4"/>
        <v>1.9707828004410066E-2</v>
      </c>
    </row>
    <row r="34" spans="15:31" x14ac:dyDescent="0.25">
      <c r="W34" s="167">
        <v>42412</v>
      </c>
      <c r="X34" s="43">
        <v>71.67</v>
      </c>
      <c r="Y34" s="43">
        <v>73.59</v>
      </c>
      <c r="Z34" s="43">
        <v>71.06</v>
      </c>
      <c r="AA34" s="43">
        <v>72.56</v>
      </c>
      <c r="AB34" s="105">
        <v>1520400</v>
      </c>
      <c r="AC34" s="43">
        <v>72.56</v>
      </c>
      <c r="AD34" s="2">
        <f t="shared" si="3"/>
        <v>2.5300000000000011</v>
      </c>
      <c r="AE34" s="148">
        <f t="shared" si="4"/>
        <v>1.2418027068508364E-2</v>
      </c>
    </row>
    <row r="35" spans="15:31" x14ac:dyDescent="0.25">
      <c r="W35" s="167">
        <v>42411</v>
      </c>
      <c r="X35" s="43">
        <v>71.73</v>
      </c>
      <c r="Y35" s="43">
        <v>72.22</v>
      </c>
      <c r="Z35" s="43">
        <v>69.989999999999995</v>
      </c>
      <c r="AA35" s="43">
        <v>71.67</v>
      </c>
      <c r="AB35" s="105">
        <v>1849700</v>
      </c>
      <c r="AC35" s="43">
        <v>71.67</v>
      </c>
      <c r="AD35" s="2">
        <f t="shared" si="3"/>
        <v>2.230000000000004</v>
      </c>
      <c r="AE35" s="148">
        <f t="shared" si="4"/>
        <v>-1.8488085456039416E-2</v>
      </c>
    </row>
    <row r="36" spans="15:31" x14ac:dyDescent="0.25">
      <c r="W36" s="167">
        <v>42410</v>
      </c>
      <c r="X36" s="43">
        <v>72.17</v>
      </c>
      <c r="Y36" s="43">
        <v>73.66</v>
      </c>
      <c r="Z36" s="43">
        <v>71.680000000000007</v>
      </c>
      <c r="AA36" s="43">
        <v>73.02</v>
      </c>
      <c r="AB36" s="105">
        <v>1607300</v>
      </c>
      <c r="AC36" s="43">
        <v>73.02</v>
      </c>
      <c r="AD36" s="2">
        <f t="shared" si="3"/>
        <v>1.9799999999999898</v>
      </c>
      <c r="AE36" s="148">
        <f t="shared" si="4"/>
        <v>2.2402688322598729E-2</v>
      </c>
    </row>
    <row r="37" spans="15:31" x14ac:dyDescent="0.25">
      <c r="W37" s="167">
        <v>42409</v>
      </c>
      <c r="X37" s="43">
        <v>69.7</v>
      </c>
      <c r="Y37" s="43">
        <v>73.3</v>
      </c>
      <c r="Z37" s="43">
        <v>69.12</v>
      </c>
      <c r="AA37" s="43">
        <v>71.42</v>
      </c>
      <c r="AB37" s="105">
        <v>4331800</v>
      </c>
      <c r="AC37" s="43">
        <v>71.42</v>
      </c>
      <c r="AD37" s="2">
        <f t="shared" si="3"/>
        <v>4.1799999999999926</v>
      </c>
      <c r="AE37" s="148">
        <f t="shared" si="4"/>
        <v>1.319336076039157E-2</v>
      </c>
    </row>
    <row r="38" spans="15:31" x14ac:dyDescent="0.25">
      <c r="W38" s="167">
        <v>42408</v>
      </c>
      <c r="X38" s="43">
        <v>69.349999999999994</v>
      </c>
      <c r="Y38" s="43">
        <v>71.56</v>
      </c>
      <c r="Z38" s="43">
        <v>69.150000000000006</v>
      </c>
      <c r="AA38" s="43">
        <v>70.489999999999995</v>
      </c>
      <c r="AB38" s="105">
        <v>2733600</v>
      </c>
      <c r="AC38" s="43">
        <v>70.489999999999995</v>
      </c>
      <c r="AD38" s="2">
        <f t="shared" si="3"/>
        <v>2.4099999999999966</v>
      </c>
      <c r="AE38" s="148">
        <f t="shared" si="4"/>
        <v>4.9900199600798611E-3</v>
      </c>
    </row>
    <row r="39" spans="15:31" x14ac:dyDescent="0.25">
      <c r="W39" s="167">
        <v>42405</v>
      </c>
      <c r="X39" s="43">
        <v>69.13</v>
      </c>
      <c r="Y39" s="43">
        <v>70.61</v>
      </c>
      <c r="Z39" s="43">
        <v>68.56</v>
      </c>
      <c r="AA39" s="43">
        <v>70.14</v>
      </c>
      <c r="AB39" s="105">
        <v>1507300</v>
      </c>
      <c r="AC39" s="43">
        <v>70.14</v>
      </c>
      <c r="AD39" s="2">
        <f t="shared" si="3"/>
        <v>2.0499999999999972</v>
      </c>
      <c r="AE39" s="148">
        <f t="shared" si="4"/>
        <v>1.1099899091826293E-2</v>
      </c>
    </row>
    <row r="40" spans="15:31" x14ac:dyDescent="0.25">
      <c r="W40" s="167">
        <v>42404</v>
      </c>
      <c r="X40" s="43">
        <v>67.52</v>
      </c>
      <c r="Y40" s="43">
        <v>69.989999999999995</v>
      </c>
      <c r="Z40" s="43">
        <v>67.52</v>
      </c>
      <c r="AA40" s="43">
        <v>69.37</v>
      </c>
      <c r="AB40" s="105">
        <v>2072800</v>
      </c>
      <c r="AC40" s="43">
        <v>69.37</v>
      </c>
      <c r="AD40" s="2">
        <f t="shared" si="3"/>
        <v>2.4699999999999989</v>
      </c>
      <c r="AE40" s="148">
        <f t="shared" si="4"/>
        <v>3.0451574569221762E-2</v>
      </c>
    </row>
    <row r="41" spans="15:31" x14ac:dyDescent="0.25">
      <c r="W41" s="167">
        <v>42403</v>
      </c>
      <c r="X41" s="43">
        <v>66.88</v>
      </c>
      <c r="Y41" s="43">
        <v>67.680000000000007</v>
      </c>
      <c r="Z41" s="43">
        <v>64.510000000000005</v>
      </c>
      <c r="AA41" s="43">
        <v>67.319999999999993</v>
      </c>
      <c r="AB41" s="105">
        <v>1876400</v>
      </c>
      <c r="AC41" s="43">
        <v>67.319999999999993</v>
      </c>
      <c r="AD41" s="2">
        <f t="shared" si="3"/>
        <v>3.1700000000000017</v>
      </c>
      <c r="AE41" s="148" t="e">
        <f t="shared" si="4"/>
        <v>#DIV/0!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42403</v>
      </c>
      <c r="X42" s="43" t="s">
        <v>145</v>
      </c>
      <c r="Y42" s="43"/>
      <c r="Z42" s="43"/>
      <c r="AA42" s="43"/>
      <c r="AB42" s="105"/>
      <c r="AC42" s="43"/>
      <c r="AD42" s="2">
        <f t="shared" si="3"/>
        <v>0</v>
      </c>
      <c r="AE42" s="148">
        <f t="shared" si="4"/>
        <v>-1</v>
      </c>
    </row>
    <row r="43" spans="15:31" ht="15.75" thickTop="1" x14ac:dyDescent="0.25">
      <c r="O43" s="93">
        <v>1.1000000000000001</v>
      </c>
      <c r="P43" s="93">
        <f t="shared" ref="P43:P63" si="5">O43*$Q$4</f>
        <v>91.26700000000001</v>
      </c>
      <c r="Q43" s="2"/>
      <c r="R43" s="37"/>
      <c r="T43" s="12" t="s">
        <v>101</v>
      </c>
      <c r="U43" s="98">
        <v>83.25</v>
      </c>
      <c r="W43" s="167">
        <v>42402</v>
      </c>
      <c r="X43" s="43">
        <v>69.13</v>
      </c>
      <c r="Y43" s="43">
        <v>69.510000000000005</v>
      </c>
      <c r="Z43" s="43">
        <v>66.459999999999994</v>
      </c>
      <c r="AA43" s="43">
        <v>66.599999999999994</v>
      </c>
      <c r="AB43" s="105">
        <v>1426000</v>
      </c>
      <c r="AC43" s="43">
        <v>66.010000000000005</v>
      </c>
      <c r="AD43" s="2">
        <f t="shared" si="3"/>
        <v>3.0500000000000114</v>
      </c>
      <c r="AE43" s="148">
        <f t="shared" si="4"/>
        <v>-5.1171481960615051E-2</v>
      </c>
    </row>
    <row r="44" spans="15:31" x14ac:dyDescent="0.25">
      <c r="O44" s="93">
        <v>1.0900000000000001</v>
      </c>
      <c r="P44" s="93">
        <f t="shared" si="5"/>
        <v>90.437300000000008</v>
      </c>
      <c r="Q44" s="2"/>
      <c r="R44" s="37"/>
      <c r="T44" s="12" t="s">
        <v>102</v>
      </c>
      <c r="U44" s="98" t="s">
        <v>134</v>
      </c>
      <c r="W44" s="167">
        <v>42401</v>
      </c>
      <c r="X44" s="43">
        <v>70.16</v>
      </c>
      <c r="Y44" s="43">
        <v>70.55</v>
      </c>
      <c r="Z44" s="43">
        <v>69</v>
      </c>
      <c r="AA44" s="43">
        <v>70.19</v>
      </c>
      <c r="AB44" s="105">
        <v>1468600</v>
      </c>
      <c r="AC44" s="43">
        <v>69.569999999999993</v>
      </c>
      <c r="AD44" s="2">
        <f t="shared" si="3"/>
        <v>1.5499999999999972</v>
      </c>
      <c r="AE44" s="148">
        <f t="shared" si="4"/>
        <v>-4.4361763022324752E-3</v>
      </c>
    </row>
    <row r="45" spans="15:31" x14ac:dyDescent="0.25">
      <c r="O45" s="93">
        <v>1.08</v>
      </c>
      <c r="P45" s="93">
        <f t="shared" si="5"/>
        <v>89.607600000000005</v>
      </c>
      <c r="Q45" s="2"/>
      <c r="R45" s="37"/>
      <c r="T45" s="12" t="s">
        <v>103</v>
      </c>
      <c r="U45" s="98" t="s">
        <v>134</v>
      </c>
      <c r="W45" s="167">
        <v>42398</v>
      </c>
      <c r="X45" s="43">
        <v>70.8</v>
      </c>
      <c r="Y45" s="43">
        <v>71.47</v>
      </c>
      <c r="Z45" s="43">
        <v>70.040000000000006</v>
      </c>
      <c r="AA45" s="43">
        <v>70.5</v>
      </c>
      <c r="AB45" s="105">
        <v>2058000</v>
      </c>
      <c r="AC45" s="43">
        <v>69.88</v>
      </c>
      <c r="AD45" s="2">
        <f t="shared" si="3"/>
        <v>1.4299999999999926</v>
      </c>
      <c r="AE45" s="148">
        <f t="shared" si="4"/>
        <v>5.6123183191825188E-3</v>
      </c>
    </row>
    <row r="46" spans="15:31" x14ac:dyDescent="0.25">
      <c r="O46" s="93">
        <v>1.07</v>
      </c>
      <c r="P46" s="93">
        <f t="shared" si="5"/>
        <v>88.777900000000002</v>
      </c>
      <c r="Q46" s="2"/>
      <c r="R46" s="37"/>
      <c r="T46" s="12" t="s">
        <v>104</v>
      </c>
      <c r="U46" s="98" t="s">
        <v>134</v>
      </c>
      <c r="W46" s="167">
        <v>42397</v>
      </c>
      <c r="X46" s="43">
        <v>69.92</v>
      </c>
      <c r="Y46" s="43">
        <v>71.400000000000006</v>
      </c>
      <c r="Z46" s="43">
        <v>69.239999999999995</v>
      </c>
      <c r="AA46" s="43">
        <v>70.11</v>
      </c>
      <c r="AB46" s="105">
        <v>1396200</v>
      </c>
      <c r="AC46" s="43">
        <v>69.489999999999995</v>
      </c>
      <c r="AD46" s="2">
        <f t="shared" si="3"/>
        <v>2.1600000000000108</v>
      </c>
      <c r="AE46" s="148">
        <f t="shared" si="4"/>
        <v>3.1759780568789697E-3</v>
      </c>
    </row>
    <row r="47" spans="15:31" x14ac:dyDescent="0.25">
      <c r="O47" s="93">
        <v>1.06</v>
      </c>
      <c r="P47" s="93">
        <f t="shared" si="5"/>
        <v>87.9482</v>
      </c>
      <c r="Q47" s="2"/>
      <c r="R47" s="37"/>
      <c r="T47" s="12" t="s">
        <v>105</v>
      </c>
      <c r="U47" s="98">
        <v>83.7</v>
      </c>
      <c r="W47" s="167">
        <v>42396</v>
      </c>
      <c r="X47" s="43">
        <v>68.099999999999994</v>
      </c>
      <c r="Y47" s="43">
        <v>70.760000000000005</v>
      </c>
      <c r="Z47" s="43">
        <v>67.88</v>
      </c>
      <c r="AA47" s="43">
        <v>69.89</v>
      </c>
      <c r="AB47" s="105">
        <v>1829300</v>
      </c>
      <c r="AC47" s="43">
        <v>69.27</v>
      </c>
      <c r="AD47" s="2">
        <f t="shared" si="3"/>
        <v>2.8800000000000097</v>
      </c>
      <c r="AE47" s="148">
        <f t="shared" si="4"/>
        <v>1.435056377214794E-2</v>
      </c>
    </row>
    <row r="48" spans="15:31" x14ac:dyDescent="0.25">
      <c r="O48" s="93">
        <v>1.05</v>
      </c>
      <c r="P48" s="93">
        <f t="shared" si="5"/>
        <v>87.118499999999997</v>
      </c>
      <c r="Q48" s="2"/>
      <c r="R48" s="37"/>
      <c r="T48" s="12" t="s">
        <v>106</v>
      </c>
      <c r="U48" s="98">
        <v>1.1974100000000001</v>
      </c>
      <c r="W48" s="167">
        <v>42395</v>
      </c>
      <c r="X48" s="43">
        <v>68</v>
      </c>
      <c r="Y48" s="43">
        <v>69.349999999999994</v>
      </c>
      <c r="Z48" s="43">
        <v>67.98</v>
      </c>
      <c r="AA48" s="43">
        <v>68.900000000000006</v>
      </c>
      <c r="AB48" s="105">
        <v>1551700</v>
      </c>
      <c r="AC48" s="43">
        <v>68.290000000000006</v>
      </c>
      <c r="AD48" s="2">
        <f t="shared" si="3"/>
        <v>1.3699999999999903</v>
      </c>
      <c r="AE48" s="148">
        <f t="shared" si="4"/>
        <v>1.7279904662595102E-2</v>
      </c>
    </row>
    <row r="49" spans="15:31" x14ac:dyDescent="0.25">
      <c r="O49" s="93">
        <v>1.04</v>
      </c>
      <c r="P49" s="93">
        <f t="shared" si="5"/>
        <v>86.288799999999995</v>
      </c>
      <c r="Q49" s="2"/>
      <c r="R49" s="37"/>
      <c r="T49" s="12" t="s">
        <v>107</v>
      </c>
      <c r="U49" s="98" t="s">
        <v>285</v>
      </c>
      <c r="W49" s="167">
        <v>42394</v>
      </c>
      <c r="X49" s="43">
        <v>68.64</v>
      </c>
      <c r="Y49" s="43">
        <v>69.36</v>
      </c>
      <c r="Z49" s="43">
        <v>67.510000000000005</v>
      </c>
      <c r="AA49" s="43">
        <v>67.73</v>
      </c>
      <c r="AB49" s="105">
        <v>1704200</v>
      </c>
      <c r="AC49" s="43">
        <v>67.13</v>
      </c>
      <c r="AD49" s="2">
        <f t="shared" si="3"/>
        <v>1.8499999999999943</v>
      </c>
      <c r="AE49" s="148">
        <f t="shared" si="4"/>
        <v>-1.2503677552221371E-2</v>
      </c>
    </row>
    <row r="50" spans="15:31" x14ac:dyDescent="0.25">
      <c r="O50" s="93">
        <v>1.03</v>
      </c>
      <c r="P50" s="93">
        <f t="shared" si="5"/>
        <v>85.459100000000007</v>
      </c>
      <c r="Q50" s="2"/>
      <c r="R50" s="37"/>
      <c r="T50" s="12"/>
      <c r="U50" s="98"/>
      <c r="W50" s="167">
        <v>42391</v>
      </c>
      <c r="X50" s="43">
        <v>71.28</v>
      </c>
      <c r="Y50" s="43">
        <v>71.650000000000006</v>
      </c>
      <c r="Z50" s="43">
        <v>68.58</v>
      </c>
      <c r="AA50" s="43">
        <v>68.59</v>
      </c>
      <c r="AB50" s="105">
        <v>2322100</v>
      </c>
      <c r="AC50" s="43">
        <v>67.98</v>
      </c>
      <c r="AD50" s="2">
        <f t="shared" si="3"/>
        <v>3.0700000000000074</v>
      </c>
      <c r="AE50" s="148">
        <f t="shared" si="4"/>
        <v>-2.1166306695464376E-2</v>
      </c>
    </row>
    <row r="51" spans="15:31" x14ac:dyDescent="0.25">
      <c r="O51" s="93">
        <v>1.02</v>
      </c>
      <c r="P51" s="93">
        <f t="shared" si="5"/>
        <v>84.629400000000004</v>
      </c>
      <c r="Q51" s="2"/>
      <c r="R51" s="37"/>
      <c r="T51" s="12" t="s">
        <v>108</v>
      </c>
      <c r="U51" s="98" t="s">
        <v>302</v>
      </c>
      <c r="W51" s="167">
        <v>42390</v>
      </c>
      <c r="X51" s="43">
        <v>70.95</v>
      </c>
      <c r="Y51" s="43">
        <v>71.3</v>
      </c>
      <c r="Z51" s="43">
        <v>66.510000000000005</v>
      </c>
      <c r="AA51" s="43">
        <v>70.069999999999993</v>
      </c>
      <c r="AB51" s="105">
        <v>3863900</v>
      </c>
      <c r="AC51" s="43">
        <v>69.45</v>
      </c>
      <c r="AD51" s="2">
        <f t="shared" si="3"/>
        <v>4.789999999999992</v>
      </c>
      <c r="AE51" s="148">
        <f t="shared" si="4"/>
        <v>-1.559177888022667E-2</v>
      </c>
    </row>
    <row r="52" spans="15:31" x14ac:dyDescent="0.25">
      <c r="O52" s="93">
        <v>1.01</v>
      </c>
      <c r="P52" s="93">
        <f t="shared" si="5"/>
        <v>83.799700000000001</v>
      </c>
      <c r="Q52" s="2"/>
      <c r="R52" s="37"/>
      <c r="T52" s="12" t="s">
        <v>109</v>
      </c>
      <c r="U52" s="98" t="s">
        <v>271</v>
      </c>
      <c r="W52" s="167">
        <v>42389</v>
      </c>
      <c r="X52" s="43">
        <v>70.72</v>
      </c>
      <c r="Y52" s="43">
        <v>72.34</v>
      </c>
      <c r="Z52" s="43">
        <v>67.849999999999994</v>
      </c>
      <c r="AA52" s="43">
        <v>71.180000000000007</v>
      </c>
      <c r="AB52" s="105">
        <v>2123100</v>
      </c>
      <c r="AC52" s="43">
        <v>70.55</v>
      </c>
      <c r="AD52" s="2">
        <f t="shared" si="3"/>
        <v>4.4900000000000091</v>
      </c>
      <c r="AE52" s="148">
        <f t="shared" si="4"/>
        <v>-9.2683611852267811E-3</v>
      </c>
    </row>
    <row r="53" spans="15:31" x14ac:dyDescent="0.25">
      <c r="O53" s="93">
        <v>1</v>
      </c>
      <c r="P53" s="93">
        <f t="shared" si="5"/>
        <v>82.97</v>
      </c>
      <c r="Q53" s="2"/>
      <c r="R53" s="37"/>
      <c r="T53" s="12" t="s">
        <v>110</v>
      </c>
      <c r="U53" s="100">
        <v>0</v>
      </c>
      <c r="W53" s="167">
        <v>42388</v>
      </c>
      <c r="X53" s="43">
        <v>72.260000000000005</v>
      </c>
      <c r="Y53" s="43">
        <v>72.569999999999993</v>
      </c>
      <c r="Z53" s="43">
        <v>70.69</v>
      </c>
      <c r="AA53" s="43">
        <v>71.849999999999994</v>
      </c>
      <c r="AB53" s="105">
        <v>1552300</v>
      </c>
      <c r="AC53" s="43">
        <v>71.209999999999994</v>
      </c>
      <c r="AD53" s="2">
        <f t="shared" si="3"/>
        <v>1.8799999999999955</v>
      </c>
      <c r="AE53" s="148">
        <f t="shared" si="4"/>
        <v>1.124701251230098E-3</v>
      </c>
    </row>
    <row r="54" spans="15:31" x14ac:dyDescent="0.25">
      <c r="O54" s="93">
        <v>0.99</v>
      </c>
      <c r="P54" s="93">
        <f t="shared" si="5"/>
        <v>82.140299999999996</v>
      </c>
      <c r="Q54" s="2"/>
      <c r="R54" s="37"/>
      <c r="T54" s="12" t="s">
        <v>113</v>
      </c>
      <c r="U54" s="100">
        <v>1818890</v>
      </c>
      <c r="W54" s="167">
        <v>42384</v>
      </c>
      <c r="X54" s="43">
        <v>70.23</v>
      </c>
      <c r="Y54" s="43">
        <v>72.03</v>
      </c>
      <c r="Z54" s="43">
        <v>70.180000000000007</v>
      </c>
      <c r="AA54" s="43">
        <v>71.77</v>
      </c>
      <c r="AB54" s="105">
        <v>1786600</v>
      </c>
      <c r="AC54" s="43">
        <v>71.13</v>
      </c>
      <c r="AD54" s="2">
        <f t="shared" si="3"/>
        <v>1.8499999999999943</v>
      </c>
      <c r="AE54" s="148">
        <f t="shared" si="4"/>
        <v>-5.3139421059993364E-3</v>
      </c>
    </row>
    <row r="55" spans="15:31" x14ac:dyDescent="0.25">
      <c r="O55" s="93">
        <v>0.98</v>
      </c>
      <c r="P55" s="93">
        <f t="shared" si="5"/>
        <v>81.310599999999994</v>
      </c>
      <c r="Q55" s="2"/>
      <c r="R55" s="37"/>
      <c r="T55" s="12" t="s">
        <v>111</v>
      </c>
      <c r="U55" s="98" t="s">
        <v>316</v>
      </c>
      <c r="W55" s="167">
        <v>42383</v>
      </c>
      <c r="X55" s="43">
        <v>71.5</v>
      </c>
      <c r="Y55" s="43">
        <v>73.599999999999994</v>
      </c>
      <c r="Z55" s="43">
        <v>71.459999999999994</v>
      </c>
      <c r="AA55" s="43">
        <v>72.150000000000006</v>
      </c>
      <c r="AB55" s="105">
        <v>1916800</v>
      </c>
      <c r="AC55" s="43">
        <v>71.510000000000005</v>
      </c>
      <c r="AD55" s="2">
        <f t="shared" si="3"/>
        <v>2.1400000000000006</v>
      </c>
      <c r="AE55" s="148">
        <f t="shared" si="4"/>
        <v>9.8856093772066167E-3</v>
      </c>
    </row>
    <row r="56" spans="15:31" x14ac:dyDescent="0.25">
      <c r="O56" s="93">
        <v>0.97</v>
      </c>
      <c r="P56" s="93">
        <f t="shared" si="5"/>
        <v>80.480899999999991</v>
      </c>
      <c r="T56" s="12" t="s">
        <v>114</v>
      </c>
      <c r="U56" s="98">
        <v>16.34</v>
      </c>
      <c r="W56" s="167">
        <v>42382</v>
      </c>
      <c r="X56" s="43">
        <v>76.16</v>
      </c>
      <c r="Y56" s="43">
        <v>76.489999999999995</v>
      </c>
      <c r="Z56" s="43">
        <v>70.09</v>
      </c>
      <c r="AA56" s="43">
        <v>71.44</v>
      </c>
      <c r="AB56" s="105">
        <v>1988100</v>
      </c>
      <c r="AC56" s="43">
        <v>70.81</v>
      </c>
      <c r="AD56" s="2">
        <f t="shared" si="3"/>
        <v>6.3999999999999915</v>
      </c>
      <c r="AE56" s="148">
        <f t="shared" si="4"/>
        <v>-5.9128355035875657E-2</v>
      </c>
    </row>
    <row r="57" spans="15:31" x14ac:dyDescent="0.25">
      <c r="O57" s="93">
        <v>0.96</v>
      </c>
      <c r="P57" s="93">
        <f t="shared" si="5"/>
        <v>79.651200000000003</v>
      </c>
      <c r="T57" s="12" t="s">
        <v>115</v>
      </c>
      <c r="U57" s="98">
        <v>5.0999999999999996</v>
      </c>
      <c r="W57" s="167">
        <v>42381</v>
      </c>
      <c r="X57" s="43">
        <v>76.540000000000006</v>
      </c>
      <c r="Y57" s="43">
        <v>77.349999999999994</v>
      </c>
      <c r="Z57" s="43">
        <v>73.599999999999994</v>
      </c>
      <c r="AA57" s="43">
        <v>75.930000000000007</v>
      </c>
      <c r="AB57" s="105">
        <v>1862200</v>
      </c>
      <c r="AC57" s="43">
        <v>75.260000000000005</v>
      </c>
      <c r="AD57" s="2">
        <f t="shared" si="3"/>
        <v>3.75</v>
      </c>
      <c r="AE57" s="148">
        <f t="shared" si="4"/>
        <v>-5.3120849933585568E-4</v>
      </c>
    </row>
    <row r="58" spans="15:31" x14ac:dyDescent="0.25">
      <c r="O58" s="93">
        <v>0.95</v>
      </c>
      <c r="P58" s="93">
        <f t="shared" si="5"/>
        <v>78.8215</v>
      </c>
      <c r="T58" s="12" t="s">
        <v>112</v>
      </c>
      <c r="U58" s="98" t="s">
        <v>317</v>
      </c>
      <c r="W58" s="167">
        <v>42380</v>
      </c>
      <c r="X58" s="43">
        <v>78.02</v>
      </c>
      <c r="Y58" s="43">
        <v>78.34</v>
      </c>
      <c r="Z58" s="43">
        <v>75</v>
      </c>
      <c r="AA58" s="43">
        <v>75.97</v>
      </c>
      <c r="AB58" s="105">
        <v>1524400</v>
      </c>
      <c r="AC58" s="43">
        <v>75.3</v>
      </c>
      <c r="AD58" s="2">
        <f t="shared" si="3"/>
        <v>3.3400000000000034</v>
      </c>
      <c r="AE58" s="148">
        <f t="shared" si="4"/>
        <v>-2.3346303501945442E-2</v>
      </c>
    </row>
    <row r="59" spans="15:31" x14ac:dyDescent="0.25">
      <c r="O59" s="93">
        <v>0.94</v>
      </c>
      <c r="P59" s="93">
        <f t="shared" si="5"/>
        <v>77.991799999999998</v>
      </c>
      <c r="W59" s="167">
        <v>42377</v>
      </c>
      <c r="X59" s="43">
        <v>78.3</v>
      </c>
      <c r="Y59" s="43">
        <v>79</v>
      </c>
      <c r="Z59" s="43">
        <v>77.55</v>
      </c>
      <c r="AA59" s="43">
        <v>77.790000000000006</v>
      </c>
      <c r="AB59" s="105">
        <v>1417600</v>
      </c>
      <c r="AC59" s="43">
        <v>77.099999999999994</v>
      </c>
      <c r="AD59" s="2">
        <f t="shared" si="3"/>
        <v>1.4500000000000028</v>
      </c>
      <c r="AE59" s="148">
        <f t="shared" si="4"/>
        <v>-2.7163368257665521E-3</v>
      </c>
    </row>
    <row r="60" spans="15:31" x14ac:dyDescent="0.25">
      <c r="O60" s="93">
        <v>0.93</v>
      </c>
      <c r="P60" s="93">
        <f t="shared" si="5"/>
        <v>77.162100000000009</v>
      </c>
      <c r="W60" s="167">
        <v>42376</v>
      </c>
      <c r="X60" s="43">
        <v>78.06</v>
      </c>
      <c r="Y60" s="43">
        <v>78.83</v>
      </c>
      <c r="Z60" s="43">
        <v>77.55</v>
      </c>
      <c r="AA60" s="43">
        <v>78</v>
      </c>
      <c r="AB60" s="105">
        <v>1900900</v>
      </c>
      <c r="AC60" s="43">
        <v>77.31</v>
      </c>
      <c r="AD60" s="2">
        <f t="shared" si="3"/>
        <v>1.2800000000000011</v>
      </c>
      <c r="AE60" s="148">
        <f t="shared" si="4"/>
        <v>-1.8659558263518616E-2</v>
      </c>
    </row>
    <row r="61" spans="15:31" x14ac:dyDescent="0.25">
      <c r="O61" s="93">
        <v>0.92</v>
      </c>
      <c r="P61" s="93">
        <f t="shared" si="5"/>
        <v>76.332400000000007</v>
      </c>
      <c r="W61" s="167">
        <v>42375</v>
      </c>
      <c r="X61" s="43">
        <v>81.22</v>
      </c>
      <c r="Y61" s="43">
        <v>81.7</v>
      </c>
      <c r="Z61" s="43">
        <v>79.010000000000005</v>
      </c>
      <c r="AA61" s="43">
        <v>79.48</v>
      </c>
      <c r="AB61" s="105">
        <v>1345400</v>
      </c>
      <c r="AC61" s="43">
        <v>78.78</v>
      </c>
      <c r="AD61" s="2">
        <f t="shared" si="3"/>
        <v>2.6899999999999977</v>
      </c>
      <c r="AE61" s="148">
        <f t="shared" si="4"/>
        <v>-3.3848417954378318E-2</v>
      </c>
    </row>
    <row r="62" spans="15:31" x14ac:dyDescent="0.25">
      <c r="O62" s="93">
        <v>0.91</v>
      </c>
      <c r="P62" s="93">
        <f t="shared" si="5"/>
        <v>75.502700000000004</v>
      </c>
      <c r="W62" s="167">
        <v>42374</v>
      </c>
      <c r="X62" s="43">
        <v>81.760000000000005</v>
      </c>
      <c r="Y62" s="43">
        <v>82.56</v>
      </c>
      <c r="Z62" s="43">
        <v>81.400000000000006</v>
      </c>
      <c r="AA62" s="43">
        <v>82.27</v>
      </c>
      <c r="AB62" s="105">
        <v>1043500</v>
      </c>
      <c r="AC62" s="43">
        <v>81.540000000000006</v>
      </c>
      <c r="AD62" s="2">
        <f t="shared" si="3"/>
        <v>1.1599999999999966</v>
      </c>
      <c r="AE62" s="148">
        <f t="shared" si="4"/>
        <v>5.5493895671476778E-3</v>
      </c>
    </row>
    <row r="63" spans="15:31" x14ac:dyDescent="0.25">
      <c r="O63" s="93">
        <v>0.9</v>
      </c>
      <c r="P63" s="93">
        <f t="shared" si="5"/>
        <v>74.673000000000002</v>
      </c>
      <c r="W63" s="167">
        <v>42373</v>
      </c>
      <c r="X63" s="43">
        <v>83.64</v>
      </c>
      <c r="Y63" s="43">
        <v>83.66</v>
      </c>
      <c r="Z63" s="43">
        <v>80.900000000000006</v>
      </c>
      <c r="AA63" s="43">
        <v>81.81</v>
      </c>
      <c r="AB63" s="105">
        <v>2558100</v>
      </c>
      <c r="AC63" s="43">
        <v>81.09</v>
      </c>
      <c r="AD63" s="2">
        <f t="shared" si="3"/>
        <v>2.7599999999999909</v>
      </c>
      <c r="AE63" s="148">
        <f t="shared" si="4"/>
        <v>-3.280057251908397E-2</v>
      </c>
    </row>
    <row r="64" spans="15:31" x14ac:dyDescent="0.25">
      <c r="W64" s="167">
        <v>42369</v>
      </c>
      <c r="X64" s="43">
        <v>84.16</v>
      </c>
      <c r="Y64" s="43">
        <v>85.18</v>
      </c>
      <c r="Z64" s="43">
        <v>84.09</v>
      </c>
      <c r="AA64" s="43">
        <v>84.59</v>
      </c>
      <c r="AB64" s="105">
        <v>920100</v>
      </c>
      <c r="AC64" s="43">
        <v>83.84</v>
      </c>
      <c r="AD64" s="2">
        <f t="shared" si="3"/>
        <v>1.0900000000000034</v>
      </c>
      <c r="AE64" s="148">
        <f t="shared" si="4"/>
        <v>-3.2100820354297177E-3</v>
      </c>
    </row>
    <row r="65" spans="23:31" x14ac:dyDescent="0.25">
      <c r="W65" s="167">
        <v>42368</v>
      </c>
      <c r="X65" s="43">
        <v>85.5</v>
      </c>
      <c r="Y65" s="43">
        <v>85.57</v>
      </c>
      <c r="Z65" s="43">
        <v>84.78</v>
      </c>
      <c r="AA65" s="43">
        <v>84.86</v>
      </c>
      <c r="AB65" s="105">
        <v>843300</v>
      </c>
      <c r="AC65" s="43">
        <v>84.11</v>
      </c>
      <c r="AD65" s="2">
        <f t="shared" si="3"/>
        <v>0.78999999999999204</v>
      </c>
      <c r="AE65" s="148">
        <f t="shared" si="4"/>
        <v>-8.1367924528301661E-3</v>
      </c>
    </row>
    <row r="66" spans="23:31" x14ac:dyDescent="0.25">
      <c r="W66" s="167">
        <v>42367</v>
      </c>
      <c r="X66" s="43">
        <v>85.86</v>
      </c>
      <c r="Y66" s="43">
        <v>86.31</v>
      </c>
      <c r="Z66" s="43">
        <v>85.5</v>
      </c>
      <c r="AA66" s="43">
        <v>85.56</v>
      </c>
      <c r="AB66" s="105">
        <v>829300</v>
      </c>
      <c r="AC66" s="43">
        <v>84.8</v>
      </c>
      <c r="AD66" s="2">
        <f t="shared" si="3"/>
        <v>0.81000000000000227</v>
      </c>
      <c r="AE66" s="148">
        <f t="shared" si="4"/>
        <v>-3.5364847341745609E-4</v>
      </c>
    </row>
    <row r="67" spans="23:31" x14ac:dyDescent="0.25">
      <c r="W67" s="167">
        <v>42366</v>
      </c>
      <c r="X67" s="43">
        <v>86.57</v>
      </c>
      <c r="Y67" s="43">
        <v>86.98</v>
      </c>
      <c r="Z67" s="43">
        <v>85.49</v>
      </c>
      <c r="AA67" s="43">
        <v>85.59</v>
      </c>
      <c r="AB67" s="105">
        <v>862700</v>
      </c>
      <c r="AC67" s="43">
        <v>84.83</v>
      </c>
      <c r="AD67" s="2">
        <f t="shared" ref="AD67:AD68" si="6">Y67-Z67</f>
        <v>1.4900000000000091</v>
      </c>
      <c r="AE67" s="148">
        <f t="shared" ref="AE67" si="7">AC67/AC68-1</f>
        <v>-1.3719334961051155E-2</v>
      </c>
    </row>
    <row r="68" spans="23:31" x14ac:dyDescent="0.25">
      <c r="W68" s="167">
        <v>42362</v>
      </c>
      <c r="X68" s="43">
        <v>86.9</v>
      </c>
      <c r="Y68" s="43">
        <v>87.33</v>
      </c>
      <c r="Z68" s="43">
        <v>86.17</v>
      </c>
      <c r="AA68" s="43">
        <v>86.78</v>
      </c>
      <c r="AB68" s="105">
        <v>434000</v>
      </c>
      <c r="AC68" s="43">
        <v>86.01</v>
      </c>
      <c r="AD68" s="2">
        <f t="shared" si="6"/>
        <v>1.1599999999999966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51" priority="32">
      <formula>Q7&gt;0</formula>
    </cfRule>
    <cfRule type="expression" dxfId="150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9" priority="21">
      <formula>F20&gt;0</formula>
    </cfRule>
    <cfRule type="expression" dxfId="148" priority="22">
      <formula>F20&lt;0</formula>
    </cfRule>
  </conditionalFormatting>
  <conditionalFormatting sqref="H17:H23">
    <cfRule type="expression" dxfId="147" priority="15">
      <formula>H17&gt;0</formula>
    </cfRule>
    <cfRule type="expression" dxfId="146" priority="16">
      <formula>H17&lt;0</formula>
    </cfRule>
  </conditionalFormatting>
  <conditionalFormatting sqref="F17:F19">
    <cfRule type="expression" dxfId="145" priority="1">
      <formula>F17&gt;0</formula>
    </cfRule>
    <cfRule type="expression" dxfId="144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5" si="1">H2*I2-J2</f>
        <v>559.99</v>
      </c>
      <c r="O2" s="13" t="s">
        <v>57</v>
      </c>
      <c r="Q2">
        <f>C25-H25</f>
        <v>130</v>
      </c>
      <c r="T2" s="1">
        <v>42236</v>
      </c>
      <c r="U2" t="s">
        <v>162</v>
      </c>
      <c r="W2" s="143">
        <v>42460</v>
      </c>
      <c r="X2" s="12">
        <v>23.34</v>
      </c>
      <c r="Y2" s="12">
        <v>25.11</v>
      </c>
      <c r="Z2" s="12">
        <v>23.32</v>
      </c>
      <c r="AA2" s="12">
        <v>24.58</v>
      </c>
      <c r="AB2" s="105">
        <v>3861200</v>
      </c>
      <c r="AC2" s="12">
        <v>24.58</v>
      </c>
      <c r="AD2" s="2">
        <f>Y2-Z2</f>
        <v>1.7899999999999991</v>
      </c>
      <c r="AE2" s="148">
        <f>AC2/AC3-1</f>
        <v>5.4483054483054572E-2</v>
      </c>
      <c r="AP2" t="s">
        <v>185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29.68330769230765</v>
      </c>
      <c r="W3" s="143">
        <v>42459</v>
      </c>
      <c r="X3" s="12">
        <v>23</v>
      </c>
      <c r="Y3" s="12">
        <v>23.4</v>
      </c>
      <c r="Z3" s="12">
        <v>22.25</v>
      </c>
      <c r="AA3" s="12">
        <v>23.31</v>
      </c>
      <c r="AB3" s="105">
        <v>3192800</v>
      </c>
      <c r="AC3" s="12">
        <v>23.31</v>
      </c>
      <c r="AD3" s="2">
        <f t="shared" ref="AD3:AD66" si="2">Y3-Z3</f>
        <v>1.1499999999999986</v>
      </c>
      <c r="AE3" s="148">
        <f t="shared" ref="AE3:AE66" si="3">AC3/AC4-1</f>
        <v>3.7383177570093462E-2</v>
      </c>
      <c r="AI3" t="s">
        <v>193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24.28</v>
      </c>
      <c r="T4" s="1">
        <v>42306</v>
      </c>
      <c r="U4" t="s">
        <v>82</v>
      </c>
      <c r="W4" s="143">
        <v>42458</v>
      </c>
      <c r="X4" s="12">
        <v>21.16</v>
      </c>
      <c r="Y4" s="12">
        <v>22.74</v>
      </c>
      <c r="Z4" s="12">
        <v>21.01</v>
      </c>
      <c r="AA4" s="12">
        <v>22.47</v>
      </c>
      <c r="AB4" s="105">
        <v>2589400</v>
      </c>
      <c r="AC4" s="12">
        <v>22.47</v>
      </c>
      <c r="AD4" s="2">
        <f t="shared" si="2"/>
        <v>1.7299999999999969</v>
      </c>
      <c r="AE4" s="148">
        <f t="shared" si="3"/>
        <v>3.596127247579517E-2</v>
      </c>
      <c r="AI4" t="s">
        <v>194</v>
      </c>
      <c r="AJ4">
        <v>-150</v>
      </c>
      <c r="AK4" t="s">
        <v>189</v>
      </c>
      <c r="AL4" t="s">
        <v>189</v>
      </c>
      <c r="AO4" s="263">
        <v>-4582.42</v>
      </c>
      <c r="AP4" t="s">
        <v>189</v>
      </c>
      <c r="AQ4" t="s">
        <v>189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3156.4</v>
      </c>
      <c r="W5" s="143">
        <v>42457</v>
      </c>
      <c r="X5" s="12">
        <v>22.22</v>
      </c>
      <c r="Y5" s="12">
        <v>22.44</v>
      </c>
      <c r="Z5" s="12">
        <v>21.49</v>
      </c>
      <c r="AA5" s="12">
        <v>21.69</v>
      </c>
      <c r="AB5" s="105">
        <v>2732400</v>
      </c>
      <c r="AC5" s="12">
        <v>21.69</v>
      </c>
      <c r="AD5" s="2">
        <f t="shared" si="2"/>
        <v>0.95000000000000284</v>
      </c>
      <c r="AE5" s="148">
        <f t="shared" si="3"/>
        <v>-2.3852385238523732E-2</v>
      </c>
      <c r="AI5" t="s">
        <v>197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3858.8299999999945</v>
      </c>
      <c r="W6" s="143">
        <v>42453</v>
      </c>
      <c r="X6" s="12">
        <v>21.8</v>
      </c>
      <c r="Y6" s="12">
        <v>23.3</v>
      </c>
      <c r="Z6" s="12">
        <v>21.25</v>
      </c>
      <c r="AA6" s="12">
        <v>22.22</v>
      </c>
      <c r="AB6" s="105">
        <v>3859300</v>
      </c>
      <c r="AC6" s="12">
        <v>22.22</v>
      </c>
      <c r="AD6" s="2">
        <f t="shared" si="2"/>
        <v>2.0500000000000007</v>
      </c>
      <c r="AE6" s="148">
        <f t="shared" si="3"/>
        <v>-6.2611806797853164E-3</v>
      </c>
      <c r="AI6" t="s">
        <v>191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-702.42999999999438</v>
      </c>
      <c r="R7" s="175"/>
      <c r="W7" s="143">
        <v>42452</v>
      </c>
      <c r="X7" s="12">
        <v>24.5</v>
      </c>
      <c r="Y7" s="12">
        <v>24.96</v>
      </c>
      <c r="Z7" s="12">
        <v>22.05</v>
      </c>
      <c r="AA7" s="12">
        <v>22.36</v>
      </c>
      <c r="AB7" s="105">
        <v>7436500</v>
      </c>
      <c r="AC7" s="12">
        <v>22.36</v>
      </c>
      <c r="AD7" s="2">
        <f t="shared" si="2"/>
        <v>2.91</v>
      </c>
      <c r="AE7" s="148">
        <f t="shared" si="3"/>
        <v>-9.7295115058538606E-2</v>
      </c>
      <c r="AI7" t="s">
        <v>198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-0.18203185939779554</v>
      </c>
      <c r="W8" s="143">
        <v>42451</v>
      </c>
      <c r="X8" s="12">
        <v>26.24</v>
      </c>
      <c r="Y8" s="12">
        <v>26.6</v>
      </c>
      <c r="Z8" s="12">
        <v>24.54</v>
      </c>
      <c r="AA8" s="12">
        <v>24.77</v>
      </c>
      <c r="AB8" s="105">
        <v>3806300</v>
      </c>
      <c r="AC8" s="12">
        <v>24.77</v>
      </c>
      <c r="AD8" s="2">
        <f t="shared" si="2"/>
        <v>2.0600000000000023</v>
      </c>
      <c r="AE8" s="148">
        <f t="shared" si="3"/>
        <v>-6.7394578313253017E-2</v>
      </c>
      <c r="AI8" t="s">
        <v>190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42450</v>
      </c>
      <c r="X9" s="12">
        <v>26.91</v>
      </c>
      <c r="Y9" s="12">
        <v>27.4</v>
      </c>
      <c r="Z9" s="12">
        <v>26.3</v>
      </c>
      <c r="AA9" s="12">
        <v>26.56</v>
      </c>
      <c r="AB9" s="105">
        <v>2341500</v>
      </c>
      <c r="AC9" s="12">
        <v>26.56</v>
      </c>
      <c r="AD9" s="2">
        <f t="shared" si="2"/>
        <v>1.0999999999999979</v>
      </c>
      <c r="AE9" s="148">
        <f t="shared" si="3"/>
        <v>-1.8477457501847705E-2</v>
      </c>
      <c r="AI9" t="s">
        <v>188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42447</v>
      </c>
      <c r="X10" s="12">
        <v>27.44</v>
      </c>
      <c r="Y10" s="12">
        <v>27.67</v>
      </c>
      <c r="Z10" s="12">
        <v>26.86</v>
      </c>
      <c r="AA10" s="12">
        <v>27.06</v>
      </c>
      <c r="AB10" s="105">
        <v>3498700</v>
      </c>
      <c r="AC10" s="12">
        <v>27.06</v>
      </c>
      <c r="AD10" s="2">
        <f t="shared" si="2"/>
        <v>0.81000000000000227</v>
      </c>
      <c r="AE10" s="148">
        <f t="shared" si="3"/>
        <v>1.1210762331838486E-2</v>
      </c>
      <c r="AI10" t="s">
        <v>190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42446</v>
      </c>
      <c r="X11" s="12">
        <v>27.26</v>
      </c>
      <c r="Y11" s="12">
        <v>27.45</v>
      </c>
      <c r="Z11" s="12">
        <v>25.75</v>
      </c>
      <c r="AA11" s="12">
        <v>26.76</v>
      </c>
      <c r="AB11" s="105">
        <v>3888100</v>
      </c>
      <c r="AC11" s="12">
        <v>26.76</v>
      </c>
      <c r="AD11" s="2">
        <f t="shared" si="2"/>
        <v>1.6999999999999993</v>
      </c>
      <c r="AE11" s="148">
        <f t="shared" si="3"/>
        <v>-1.8649757553150792E-3</v>
      </c>
      <c r="AI11" t="s">
        <v>188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0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42445</v>
      </c>
      <c r="X12" s="12">
        <v>27.14</v>
      </c>
      <c r="Y12" s="12">
        <v>27.73</v>
      </c>
      <c r="Z12" s="12">
        <v>26.4</v>
      </c>
      <c r="AA12" s="12">
        <v>26.81</v>
      </c>
      <c r="AB12" s="105">
        <v>2670700</v>
      </c>
      <c r="AC12" s="12">
        <v>26.81</v>
      </c>
      <c r="AD12" s="2">
        <f t="shared" si="2"/>
        <v>1.3300000000000018</v>
      </c>
      <c r="AE12" s="148">
        <f t="shared" si="3"/>
        <v>-2.0460358056266115E-2</v>
      </c>
      <c r="AI12" t="s">
        <v>190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42444</v>
      </c>
      <c r="X13" s="12">
        <v>27</v>
      </c>
      <c r="Y13" s="12">
        <v>28.29</v>
      </c>
      <c r="Z13" s="12">
        <v>26.5</v>
      </c>
      <c r="AA13" s="12">
        <v>27.37</v>
      </c>
      <c r="AB13" s="105">
        <v>4504300</v>
      </c>
      <c r="AC13" s="12">
        <v>27.37</v>
      </c>
      <c r="AD13" s="2">
        <f t="shared" si="2"/>
        <v>1.7899999999999991</v>
      </c>
      <c r="AE13" s="148">
        <f t="shared" si="3"/>
        <v>1.6338655774229549E-2</v>
      </c>
      <c r="AI13" t="s">
        <v>188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42443</v>
      </c>
      <c r="X14" s="12">
        <v>25.6</v>
      </c>
      <c r="Y14" s="12">
        <v>27.25</v>
      </c>
      <c r="Z14" s="12">
        <v>25.11</v>
      </c>
      <c r="AA14" s="12">
        <v>26.93</v>
      </c>
      <c r="AB14" s="105">
        <v>4023300</v>
      </c>
      <c r="AC14" s="12">
        <v>26.93</v>
      </c>
      <c r="AD14" s="2">
        <f t="shared" si="2"/>
        <v>2.1400000000000006</v>
      </c>
      <c r="AE14" s="148">
        <f t="shared" si="3"/>
        <v>4.8267808485792152E-2</v>
      </c>
      <c r="AI14" t="s">
        <v>199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42440</v>
      </c>
      <c r="X15" s="12">
        <v>26.18</v>
      </c>
      <c r="Y15" s="12">
        <v>26.41</v>
      </c>
      <c r="Z15" s="12">
        <v>25.39</v>
      </c>
      <c r="AA15" s="12">
        <v>25.69</v>
      </c>
      <c r="AB15" s="105">
        <v>3073700</v>
      </c>
      <c r="AC15" s="12">
        <v>25.69</v>
      </c>
      <c r="AD15" s="2">
        <f t="shared" si="2"/>
        <v>1.0199999999999996</v>
      </c>
      <c r="AE15" s="148">
        <f t="shared" si="3"/>
        <v>-1.759082217973218E-2</v>
      </c>
      <c r="AI15" t="s">
        <v>188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H16" s="198"/>
      <c r="I16" s="3"/>
      <c r="J16" s="3"/>
      <c r="K16" s="3"/>
      <c r="W16" s="143">
        <v>42439</v>
      </c>
      <c r="X16" s="12">
        <v>26.85</v>
      </c>
      <c r="Y16" s="12">
        <v>26.9</v>
      </c>
      <c r="Z16" s="12">
        <v>25.35</v>
      </c>
      <c r="AA16" s="12">
        <v>26.15</v>
      </c>
      <c r="AB16" s="105">
        <v>4566600</v>
      </c>
      <c r="AC16" s="12">
        <v>26.15</v>
      </c>
      <c r="AD16" s="2">
        <f t="shared" si="2"/>
        <v>1.5499999999999972</v>
      </c>
      <c r="AE16" s="148">
        <f t="shared" si="3"/>
        <v>-1.9083969465648609E-3</v>
      </c>
      <c r="AI16" t="s">
        <v>199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W17" s="143">
        <v>42438</v>
      </c>
      <c r="X17" s="12">
        <v>25.47</v>
      </c>
      <c r="Y17" s="12">
        <v>26.75</v>
      </c>
      <c r="Z17" s="12">
        <v>25.15</v>
      </c>
      <c r="AA17" s="12">
        <v>26.2</v>
      </c>
      <c r="AB17" s="105">
        <v>5625600</v>
      </c>
      <c r="AC17" s="12">
        <v>26.2</v>
      </c>
      <c r="AD17" s="2">
        <f t="shared" si="2"/>
        <v>1.6000000000000014</v>
      </c>
      <c r="AE17" s="148">
        <f t="shared" si="3"/>
        <v>4.4657097288676173E-2</v>
      </c>
      <c r="AI17" t="s">
        <v>188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42437</v>
      </c>
      <c r="X18" s="12">
        <v>25.97</v>
      </c>
      <c r="Y18" s="12">
        <v>26.9</v>
      </c>
      <c r="Z18" s="12">
        <v>24.38</v>
      </c>
      <c r="AA18" s="12">
        <v>25.08</v>
      </c>
      <c r="AB18" s="105">
        <v>9002700</v>
      </c>
      <c r="AC18" s="12">
        <v>25.08</v>
      </c>
      <c r="AD18" s="2">
        <f t="shared" si="2"/>
        <v>2.5199999999999996</v>
      </c>
      <c r="AE18" s="148">
        <f t="shared" si="3"/>
        <v>3.6792062835882433E-2</v>
      </c>
      <c r="AI18" t="s">
        <v>195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42436</v>
      </c>
      <c r="X19" s="12">
        <v>22.64</v>
      </c>
      <c r="Y19" s="12">
        <v>24.77</v>
      </c>
      <c r="Z19" s="12">
        <v>22.63</v>
      </c>
      <c r="AA19" s="12">
        <v>24.19</v>
      </c>
      <c r="AB19" s="105">
        <v>7431300</v>
      </c>
      <c r="AC19" s="12">
        <v>24.19</v>
      </c>
      <c r="AD19" s="2">
        <f t="shared" si="2"/>
        <v>2.1400000000000006</v>
      </c>
      <c r="AE19" s="148">
        <f t="shared" si="3"/>
        <v>8.0393032603841119E-2</v>
      </c>
      <c r="AI19" t="s">
        <v>188</v>
      </c>
    </row>
    <row r="20" spans="1:43" x14ac:dyDescent="0.25">
      <c r="B20" s="1">
        <v>42451</v>
      </c>
      <c r="C20" s="4">
        <v>30</v>
      </c>
      <c r="D20" s="3">
        <v>25.08</v>
      </c>
      <c r="E20" s="3">
        <v>0</v>
      </c>
      <c r="F20" s="3">
        <f t="shared" si="4"/>
        <v>752.4</v>
      </c>
      <c r="W20" s="143">
        <v>42433</v>
      </c>
      <c r="X20" s="12">
        <v>22.49</v>
      </c>
      <c r="Y20" s="12">
        <v>25</v>
      </c>
      <c r="Z20" s="12">
        <v>21.4</v>
      </c>
      <c r="AA20" s="12">
        <v>22.39</v>
      </c>
      <c r="AB20" s="105">
        <v>10777100</v>
      </c>
      <c r="AC20" s="12">
        <v>22.39</v>
      </c>
      <c r="AD20" s="2">
        <f t="shared" si="2"/>
        <v>3.6000000000000014</v>
      </c>
      <c r="AE20" s="148">
        <f t="shared" si="3"/>
        <v>-4.4464206313916677E-3</v>
      </c>
      <c r="AI20" t="s">
        <v>196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C21" s="4"/>
      <c r="D21" s="3"/>
      <c r="E21" s="3"/>
      <c r="F21" s="3"/>
      <c r="W21" s="143">
        <v>42432</v>
      </c>
      <c r="X21" s="12">
        <v>19.850000000000001</v>
      </c>
      <c r="Y21" s="12">
        <v>23.84</v>
      </c>
      <c r="Z21" s="12">
        <v>19.23</v>
      </c>
      <c r="AA21" s="12">
        <v>22.49</v>
      </c>
      <c r="AB21" s="105">
        <v>13459400</v>
      </c>
      <c r="AC21" s="12">
        <v>22.49</v>
      </c>
      <c r="AD21" s="2">
        <f t="shared" si="2"/>
        <v>4.6099999999999994</v>
      </c>
      <c r="AE21" s="148">
        <f t="shared" si="3"/>
        <v>0.1557040082219936</v>
      </c>
      <c r="AI21" t="s">
        <v>188</v>
      </c>
    </row>
    <row r="22" spans="1:43" x14ac:dyDescent="0.25">
      <c r="W22" s="143">
        <v>42431</v>
      </c>
      <c r="X22" s="12">
        <v>18.36</v>
      </c>
      <c r="Y22" s="12">
        <v>19.8</v>
      </c>
      <c r="Z22" s="12">
        <v>18.03</v>
      </c>
      <c r="AA22" s="12">
        <v>19.46</v>
      </c>
      <c r="AB22" s="105">
        <v>4748200</v>
      </c>
      <c r="AC22" s="12">
        <v>19.46</v>
      </c>
      <c r="AD22" s="2">
        <f t="shared" si="2"/>
        <v>1.7699999999999996</v>
      </c>
      <c r="AE22" s="148">
        <f t="shared" si="3"/>
        <v>8.0510827318156508E-2</v>
      </c>
      <c r="AI22" t="s">
        <v>196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42430</v>
      </c>
      <c r="X23" s="12">
        <v>18.82</v>
      </c>
      <c r="Y23" s="12">
        <v>18.850000000000001</v>
      </c>
      <c r="Z23" s="12">
        <v>17.72</v>
      </c>
      <c r="AA23" s="12">
        <v>18.010000000000002</v>
      </c>
      <c r="AB23" s="105">
        <v>4015500</v>
      </c>
      <c r="AC23" s="12">
        <v>18.010000000000002</v>
      </c>
      <c r="AD23" s="2">
        <f t="shared" si="2"/>
        <v>1.1300000000000026</v>
      </c>
      <c r="AE23" s="148">
        <f t="shared" si="3"/>
        <v>-2.2788931090613085E-2</v>
      </c>
      <c r="AI23" t="s">
        <v>188</v>
      </c>
    </row>
    <row r="24" spans="1:43" x14ac:dyDescent="0.25">
      <c r="W24" s="143">
        <v>42429</v>
      </c>
      <c r="X24" s="12">
        <v>19</v>
      </c>
      <c r="Y24" s="12">
        <v>19.399999999999999</v>
      </c>
      <c r="Z24" s="12">
        <v>18.399999999999999</v>
      </c>
      <c r="AA24" s="12">
        <v>18.43</v>
      </c>
      <c r="AB24" s="105">
        <v>3335600</v>
      </c>
      <c r="AC24" s="12">
        <v>18.43</v>
      </c>
      <c r="AD24" s="2">
        <f t="shared" si="2"/>
        <v>1</v>
      </c>
      <c r="AE24" s="148">
        <f t="shared" si="3"/>
        <v>-1.9680851063829885E-2</v>
      </c>
      <c r="AI24" t="s">
        <v>200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1265</v>
      </c>
      <c r="D25" s="21"/>
      <c r="E25" s="21"/>
      <c r="F25" s="21">
        <f>SUM(F2:F24)</f>
        <v>41025.65</v>
      </c>
      <c r="G25" s="16"/>
      <c r="H25" s="16">
        <f>SUM(H2:H24)</f>
        <v>1135</v>
      </c>
      <c r="I25" s="21"/>
      <c r="J25" s="21"/>
      <c r="K25" s="21">
        <f>SUM(K2:K24)</f>
        <v>37166.820000000007</v>
      </c>
      <c r="L25" s="16"/>
      <c r="M25" s="16"/>
      <c r="W25" s="143">
        <v>42426</v>
      </c>
      <c r="X25" s="12">
        <v>19.100000000000001</v>
      </c>
      <c r="Y25" s="12">
        <v>19.53</v>
      </c>
      <c r="Z25" s="12">
        <v>18.510000000000002</v>
      </c>
      <c r="AA25" s="12">
        <v>18.8</v>
      </c>
      <c r="AB25" s="105">
        <v>3806900</v>
      </c>
      <c r="AC25" s="12">
        <v>18.8</v>
      </c>
      <c r="AD25" s="2">
        <f t="shared" si="2"/>
        <v>1.0199999999999996</v>
      </c>
      <c r="AE25" s="148">
        <f t="shared" si="3"/>
        <v>8.5836909871244149E-3</v>
      </c>
      <c r="AI25" t="s">
        <v>188</v>
      </c>
    </row>
    <row r="26" spans="1:43" x14ac:dyDescent="0.25">
      <c r="W26" s="143">
        <v>42425</v>
      </c>
      <c r="X26" s="12">
        <v>19</v>
      </c>
      <c r="Y26" s="12">
        <v>19.27</v>
      </c>
      <c r="Z26" s="12">
        <v>18.25</v>
      </c>
      <c r="AA26" s="12">
        <v>18.64</v>
      </c>
      <c r="AB26" s="105">
        <v>4276100</v>
      </c>
      <c r="AC26" s="12">
        <v>18.64</v>
      </c>
      <c r="AD26" s="2">
        <f t="shared" si="2"/>
        <v>1.0199999999999996</v>
      </c>
      <c r="AE26" s="148">
        <f t="shared" si="3"/>
        <v>-1.3756613756613634E-2</v>
      </c>
    </row>
    <row r="27" spans="1:43" x14ac:dyDescent="0.25">
      <c r="B27" s="209" t="s">
        <v>117</v>
      </c>
      <c r="C27" s="209" t="s">
        <v>167</v>
      </c>
      <c r="D27" s="210" t="s">
        <v>166</v>
      </c>
      <c r="E27" s="212" t="s">
        <v>168</v>
      </c>
      <c r="F27" s="213" t="s">
        <v>65</v>
      </c>
      <c r="G27" s="253" t="s">
        <v>172</v>
      </c>
      <c r="H27" s="213" t="s">
        <v>90</v>
      </c>
      <c r="I27" s="253" t="s">
        <v>179</v>
      </c>
      <c r="W27" s="143">
        <v>42424</v>
      </c>
      <c r="X27" s="12">
        <v>17.66</v>
      </c>
      <c r="Y27" s="12">
        <v>19.3</v>
      </c>
      <c r="Z27" s="12">
        <v>17.27</v>
      </c>
      <c r="AA27" s="12">
        <v>18.899999999999999</v>
      </c>
      <c r="AB27" s="105">
        <v>5545600</v>
      </c>
      <c r="AC27" s="12">
        <v>18.899999999999999</v>
      </c>
      <c r="AD27" s="2">
        <f t="shared" si="2"/>
        <v>2.0300000000000011</v>
      </c>
      <c r="AE27" s="148">
        <f t="shared" si="3"/>
        <v>5.2924791086350842E-2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42423</v>
      </c>
      <c r="X28" s="12">
        <v>18.760000000000002</v>
      </c>
      <c r="Y28" s="12">
        <v>18.95</v>
      </c>
      <c r="Z28" s="12">
        <v>17.82</v>
      </c>
      <c r="AA28" s="12">
        <v>17.95</v>
      </c>
      <c r="AB28" s="105">
        <v>5173600</v>
      </c>
      <c r="AC28" s="12">
        <v>17.95</v>
      </c>
      <c r="AD28" s="2">
        <f t="shared" si="2"/>
        <v>1.129999999999999</v>
      </c>
      <c r="AE28" s="148">
        <f t="shared" si="3"/>
        <v>-5.9224318658280928E-2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3" si="5">C29*(E29-D29)</f>
        <v>82.499999999999218</v>
      </c>
      <c r="G29" s="43">
        <f t="shared" ref="G29:G53" si="6">D29*C29</f>
        <v>20856</v>
      </c>
      <c r="H29" s="260">
        <f t="shared" ref="H29:H53" si="7">(E29-D29)/D29</f>
        <v>3.9556962025316077E-3</v>
      </c>
      <c r="I29" s="43"/>
      <c r="W29" s="143">
        <v>42422</v>
      </c>
      <c r="X29" s="12">
        <v>19.55</v>
      </c>
      <c r="Y29" s="12">
        <v>19.78</v>
      </c>
      <c r="Z29" s="12">
        <v>18.8</v>
      </c>
      <c r="AA29" s="12">
        <v>19.079999999999998</v>
      </c>
      <c r="AB29" s="105">
        <v>4020700</v>
      </c>
      <c r="AC29" s="12">
        <v>19.079999999999998</v>
      </c>
      <c r="AD29" s="2">
        <f t="shared" si="2"/>
        <v>0.98000000000000043</v>
      </c>
      <c r="AE29" s="148">
        <f t="shared" si="3"/>
        <v>1.381509032943673E-2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42419</v>
      </c>
      <c r="X30" s="12">
        <v>19.670000000000002</v>
      </c>
      <c r="Y30" s="12">
        <v>19.989999999999998</v>
      </c>
      <c r="Z30" s="12">
        <v>18.71</v>
      </c>
      <c r="AA30" s="12">
        <v>18.82</v>
      </c>
      <c r="AB30" s="105">
        <v>4684900</v>
      </c>
      <c r="AC30" s="12">
        <v>18.82</v>
      </c>
      <c r="AD30" s="2">
        <f t="shared" si="2"/>
        <v>1.2799999999999976</v>
      </c>
      <c r="AE30" s="148">
        <f t="shared" si="3"/>
        <v>-6.1346633416458851E-2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42418</v>
      </c>
      <c r="X31" s="12">
        <v>21.95</v>
      </c>
      <c r="Y31" s="12">
        <v>22</v>
      </c>
      <c r="Z31" s="12">
        <v>19.41</v>
      </c>
      <c r="AA31" s="12">
        <v>20.05</v>
      </c>
      <c r="AB31" s="105">
        <v>9795200</v>
      </c>
      <c r="AC31" s="12">
        <v>20.05</v>
      </c>
      <c r="AD31" s="2">
        <f t="shared" si="2"/>
        <v>2.59</v>
      </c>
      <c r="AE31" s="148">
        <f t="shared" si="3"/>
        <v>-3.5594035594035511E-2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42417</v>
      </c>
      <c r="X32" s="12">
        <v>18.989999999999998</v>
      </c>
      <c r="Y32" s="12">
        <v>22.75</v>
      </c>
      <c r="Z32" s="12">
        <v>18.75</v>
      </c>
      <c r="AA32" s="12">
        <v>20.79</v>
      </c>
      <c r="AB32" s="105">
        <v>12716700</v>
      </c>
      <c r="AC32" s="12">
        <v>20.79</v>
      </c>
      <c r="AD32" s="2">
        <f t="shared" si="2"/>
        <v>4</v>
      </c>
      <c r="AE32" s="148">
        <f t="shared" si="3"/>
        <v>0.13173652694610771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42416</v>
      </c>
      <c r="X33" s="12">
        <v>18.670000000000002</v>
      </c>
      <c r="Y33" s="12">
        <v>19.12</v>
      </c>
      <c r="Z33" s="12">
        <v>17.96</v>
      </c>
      <c r="AA33" s="12">
        <v>18.37</v>
      </c>
      <c r="AB33" s="105">
        <v>6278900</v>
      </c>
      <c r="AC33" s="12">
        <v>18.37</v>
      </c>
      <c r="AD33" s="2">
        <f t="shared" si="2"/>
        <v>1.1600000000000001</v>
      </c>
      <c r="AE33" s="148">
        <f t="shared" si="3"/>
        <v>5.6962025316455778E-2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42412</v>
      </c>
      <c r="X34" s="12">
        <v>17.3</v>
      </c>
      <c r="Y34" s="12">
        <v>18.239999999999998</v>
      </c>
      <c r="Z34" s="12">
        <v>16.899999999999999</v>
      </c>
      <c r="AA34" s="12">
        <v>17.38</v>
      </c>
      <c r="AB34" s="105">
        <v>7311500</v>
      </c>
      <c r="AC34" s="12">
        <v>17.38</v>
      </c>
      <c r="AD34" s="2">
        <f t="shared" si="2"/>
        <v>1.3399999999999999</v>
      </c>
      <c r="AE34" s="148">
        <f t="shared" si="3"/>
        <v>4.2591481703659007E-2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42411</v>
      </c>
      <c r="X35" s="12">
        <v>18.690000000000001</v>
      </c>
      <c r="Y35" s="12">
        <v>19.43</v>
      </c>
      <c r="Z35" s="12">
        <v>16.309999999999999</v>
      </c>
      <c r="AA35" s="12">
        <v>16.670000000000002</v>
      </c>
      <c r="AB35" s="105">
        <v>14649400</v>
      </c>
      <c r="AC35" s="12">
        <v>16.670000000000002</v>
      </c>
      <c r="AD35" s="2">
        <f t="shared" si="2"/>
        <v>3.120000000000001</v>
      </c>
      <c r="AE35" s="148">
        <f t="shared" si="3"/>
        <v>-0.10520665593129352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42410</v>
      </c>
      <c r="X36" s="12">
        <v>19.420000000000002</v>
      </c>
      <c r="Y36" s="12">
        <v>21.95</v>
      </c>
      <c r="Z36" s="12">
        <v>18.260000000000002</v>
      </c>
      <c r="AA36" s="12">
        <v>18.63</v>
      </c>
      <c r="AB36" s="105">
        <v>33007300</v>
      </c>
      <c r="AC36" s="12">
        <v>18.63</v>
      </c>
      <c r="AD36" s="2">
        <f t="shared" si="2"/>
        <v>3.6899999999999977</v>
      </c>
      <c r="AE36" s="148">
        <f t="shared" si="3"/>
        <v>-0.29297912713472496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42409</v>
      </c>
      <c r="X37" s="12">
        <v>27.05</v>
      </c>
      <c r="Y37" s="12">
        <v>28.22</v>
      </c>
      <c r="Z37" s="12">
        <v>25.35</v>
      </c>
      <c r="AA37" s="12">
        <v>26.35</v>
      </c>
      <c r="AB37" s="105">
        <v>6060100</v>
      </c>
      <c r="AC37" s="12">
        <v>26.35</v>
      </c>
      <c r="AD37" s="2">
        <f t="shared" si="2"/>
        <v>2.8699999999999974</v>
      </c>
      <c r="AE37" s="148">
        <f t="shared" si="3"/>
        <v>-5.6907659269863964E-2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42408</v>
      </c>
      <c r="X38" s="12">
        <v>29.1</v>
      </c>
      <c r="Y38" s="12">
        <v>30.4</v>
      </c>
      <c r="Z38" s="12">
        <v>26.56</v>
      </c>
      <c r="AA38" s="12">
        <v>27.94</v>
      </c>
      <c r="AB38" s="105">
        <v>4018100</v>
      </c>
      <c r="AC38" s="12">
        <v>27.94</v>
      </c>
      <c r="AD38" s="2">
        <f t="shared" si="2"/>
        <v>3.84</v>
      </c>
      <c r="AE38" s="148">
        <f t="shared" si="3"/>
        <v>-5.5123435914778418E-2</v>
      </c>
    </row>
    <row r="39" spans="2:31" x14ac:dyDescent="0.25">
      <c r="B39" s="211">
        <v>42356</v>
      </c>
      <c r="C39" s="297">
        <v>130</v>
      </c>
      <c r="D39" s="298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42405</v>
      </c>
      <c r="X39" s="12">
        <v>29.22</v>
      </c>
      <c r="Y39" s="12">
        <v>30.61</v>
      </c>
      <c r="Z39" s="12">
        <v>28.4</v>
      </c>
      <c r="AA39" s="12">
        <v>29.57</v>
      </c>
      <c r="AB39" s="105">
        <v>3839100</v>
      </c>
      <c r="AC39" s="12">
        <v>29.57</v>
      </c>
      <c r="AD39" s="2">
        <f t="shared" si="2"/>
        <v>2.2100000000000009</v>
      </c>
      <c r="AE39" s="148">
        <f t="shared" si="3"/>
        <v>2.7127839945744192E-3</v>
      </c>
    </row>
    <row r="40" spans="2:31" x14ac:dyDescent="0.25">
      <c r="B40" s="211">
        <v>42356</v>
      </c>
      <c r="C40" s="320">
        <v>100</v>
      </c>
      <c r="D40" s="321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42404</v>
      </c>
      <c r="X40" s="12">
        <v>31.42</v>
      </c>
      <c r="Y40" s="12">
        <v>32.049999999999997</v>
      </c>
      <c r="Z40" s="12">
        <v>28.56</v>
      </c>
      <c r="AA40" s="12">
        <v>29.49</v>
      </c>
      <c r="AB40" s="105">
        <v>5217900</v>
      </c>
      <c r="AC40" s="12">
        <v>29.49</v>
      </c>
      <c r="AD40" s="2">
        <f t="shared" si="2"/>
        <v>3.4899999999999984</v>
      </c>
      <c r="AE40" s="148">
        <f t="shared" si="3"/>
        <v>-5.9630102040816313E-2</v>
      </c>
    </row>
    <row r="41" spans="2:31" x14ac:dyDescent="0.25">
      <c r="B41" s="211">
        <v>42403</v>
      </c>
      <c r="C41" s="320">
        <v>100</v>
      </c>
      <c r="D41" s="321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42403</v>
      </c>
      <c r="X41" s="12">
        <v>32.340000000000003</v>
      </c>
      <c r="Y41" s="12">
        <v>33.090000000000003</v>
      </c>
      <c r="Z41" s="12">
        <v>30.23</v>
      </c>
      <c r="AA41" s="12">
        <v>31.36</v>
      </c>
      <c r="AB41" s="105">
        <v>3213000</v>
      </c>
      <c r="AC41" s="12">
        <v>31.36</v>
      </c>
      <c r="AD41" s="2">
        <f t="shared" si="2"/>
        <v>2.860000000000003</v>
      </c>
      <c r="AE41" s="148">
        <f t="shared" si="3"/>
        <v>-2.122347066167285E-2</v>
      </c>
    </row>
    <row r="42" spans="2:31" ht="20.25" thickBot="1" x14ac:dyDescent="0.35">
      <c r="B42" s="211">
        <v>42408</v>
      </c>
      <c r="C42" s="320">
        <v>125</v>
      </c>
      <c r="D42" s="321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20" t="s">
        <v>78</v>
      </c>
      <c r="P42" s="420"/>
      <c r="Q42" s="37"/>
      <c r="T42" s="101" t="s">
        <v>116</v>
      </c>
      <c r="W42" s="143">
        <v>42402</v>
      </c>
      <c r="X42" s="12">
        <v>33.56</v>
      </c>
      <c r="Y42" s="12">
        <v>33.58</v>
      </c>
      <c r="Z42" s="12">
        <v>30.3</v>
      </c>
      <c r="AA42" s="12">
        <v>32.04</v>
      </c>
      <c r="AB42" s="105">
        <v>3231600</v>
      </c>
      <c r="AC42" s="12">
        <v>32.04</v>
      </c>
      <c r="AD42" s="2">
        <f t="shared" si="2"/>
        <v>3.2799999999999976</v>
      </c>
      <c r="AE42" s="148">
        <f t="shared" si="3"/>
        <v>-5.0947867298578142E-2</v>
      </c>
    </row>
    <row r="43" spans="2:31" ht="15.75" thickTop="1" x14ac:dyDescent="0.25">
      <c r="B43" s="211">
        <v>42415</v>
      </c>
      <c r="C43" s="320">
        <v>125</v>
      </c>
      <c r="D43" s="321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27.679199999999998</v>
      </c>
      <c r="Q43" s="37"/>
      <c r="T43" s="138" t="s">
        <v>101</v>
      </c>
      <c r="U43" s="108">
        <v>24.58</v>
      </c>
      <c r="W43" s="143">
        <v>42401</v>
      </c>
      <c r="X43" s="12">
        <v>35.200000000000003</v>
      </c>
      <c r="Y43" s="12">
        <v>35.85</v>
      </c>
      <c r="Z43" s="12">
        <v>33.659999999999997</v>
      </c>
      <c r="AA43" s="12">
        <v>33.76</v>
      </c>
      <c r="AB43" s="105">
        <v>2150100</v>
      </c>
      <c r="AC43" s="12">
        <v>33.76</v>
      </c>
      <c r="AD43" s="2">
        <f t="shared" si="2"/>
        <v>2.1900000000000048</v>
      </c>
      <c r="AE43" s="148">
        <f t="shared" si="3"/>
        <v>-5.3015427769986023E-2</v>
      </c>
    </row>
    <row r="44" spans="2:31" x14ac:dyDescent="0.25">
      <c r="B44" s="211">
        <v>42423</v>
      </c>
      <c r="C44" s="320">
        <v>175</v>
      </c>
      <c r="D44" s="321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27.436399999999999</v>
      </c>
      <c r="Q44" s="37"/>
      <c r="T44" s="103" t="s">
        <v>102</v>
      </c>
      <c r="U44" s="98" t="s">
        <v>134</v>
      </c>
      <c r="W44" s="143">
        <v>42398</v>
      </c>
      <c r="X44" s="12">
        <v>36.5</v>
      </c>
      <c r="Y44" s="12">
        <v>37.1</v>
      </c>
      <c r="Z44" s="12">
        <v>34.75</v>
      </c>
      <c r="AA44" s="12">
        <v>35.65</v>
      </c>
      <c r="AB44" s="105">
        <v>3251800</v>
      </c>
      <c r="AC44" s="12">
        <v>35.65</v>
      </c>
      <c r="AD44" s="2">
        <f t="shared" si="2"/>
        <v>2.3500000000000014</v>
      </c>
      <c r="AE44" s="148">
        <f t="shared" si="3"/>
        <v>8.422234699607678E-4</v>
      </c>
    </row>
    <row r="45" spans="2:31" x14ac:dyDescent="0.25">
      <c r="B45" s="211">
        <v>42426</v>
      </c>
      <c r="C45" s="320">
        <v>125</v>
      </c>
      <c r="D45" s="321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27.193600000000004</v>
      </c>
      <c r="Q45" s="37"/>
      <c r="T45" s="103" t="s">
        <v>103</v>
      </c>
      <c r="U45" s="98" t="s">
        <v>339</v>
      </c>
      <c r="W45" s="143">
        <v>42397</v>
      </c>
      <c r="X45" s="12">
        <v>34.29</v>
      </c>
      <c r="Y45" s="12">
        <v>38.4</v>
      </c>
      <c r="Z45" s="12">
        <v>33.58</v>
      </c>
      <c r="AA45" s="12">
        <v>35.619999999999997</v>
      </c>
      <c r="AB45" s="105">
        <v>6057800</v>
      </c>
      <c r="AC45" s="12">
        <v>35.619999999999997</v>
      </c>
      <c r="AD45" s="2">
        <f t="shared" si="2"/>
        <v>4.82</v>
      </c>
      <c r="AE45" s="148">
        <f t="shared" si="3"/>
        <v>8.465286236297187E-2</v>
      </c>
    </row>
    <row r="46" spans="2:31" x14ac:dyDescent="0.25">
      <c r="B46" s="211">
        <v>42426</v>
      </c>
      <c r="C46" s="320">
        <v>175</v>
      </c>
      <c r="D46" s="321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26.950800000000005</v>
      </c>
      <c r="Q46" s="93"/>
      <c r="T46" s="103" t="s">
        <v>104</v>
      </c>
      <c r="U46" s="98" t="s">
        <v>340</v>
      </c>
      <c r="W46" s="143">
        <v>42396</v>
      </c>
      <c r="X46" s="12">
        <v>33.43</v>
      </c>
      <c r="Y46" s="12">
        <v>34.74</v>
      </c>
      <c r="Z46" s="12">
        <v>32.700000000000003</v>
      </c>
      <c r="AA46" s="12">
        <v>32.840000000000003</v>
      </c>
      <c r="AB46" s="105">
        <v>2071400</v>
      </c>
      <c r="AC46" s="12">
        <v>32.840000000000003</v>
      </c>
      <c r="AD46" s="2">
        <f t="shared" si="2"/>
        <v>2.0399999999999991</v>
      </c>
      <c r="AE46" s="148">
        <f t="shared" si="3"/>
        <v>-4.088785046728971E-2</v>
      </c>
    </row>
    <row r="47" spans="2:31" x14ac:dyDescent="0.25">
      <c r="B47" s="211">
        <v>42430</v>
      </c>
      <c r="C47" s="320">
        <v>175</v>
      </c>
      <c r="D47" s="321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/>
      <c r="O47" s="93">
        <v>1.1000000000000001</v>
      </c>
      <c r="P47" s="93">
        <f t="shared" si="8"/>
        <v>26.708000000000002</v>
      </c>
      <c r="Q47" s="93"/>
      <c r="T47" s="103" t="s">
        <v>105</v>
      </c>
      <c r="U47" s="98">
        <v>43.06</v>
      </c>
      <c r="W47" s="143">
        <v>42395</v>
      </c>
      <c r="X47" s="12">
        <v>31.03</v>
      </c>
      <c r="Y47" s="12">
        <v>35.08</v>
      </c>
      <c r="Z47" s="12">
        <v>30.05</v>
      </c>
      <c r="AA47" s="12">
        <v>34.24</v>
      </c>
      <c r="AB47" s="105">
        <v>4296900</v>
      </c>
      <c r="AC47" s="12">
        <v>34.24</v>
      </c>
      <c r="AD47" s="2">
        <f t="shared" si="2"/>
        <v>5.0299999999999976</v>
      </c>
      <c r="AE47" s="148">
        <f t="shared" si="3"/>
        <v>0.11822338340953631</v>
      </c>
    </row>
    <row r="48" spans="2:31" x14ac:dyDescent="0.25">
      <c r="B48" s="211">
        <v>42432</v>
      </c>
      <c r="C48" s="320">
        <v>125</v>
      </c>
      <c r="D48" s="321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26.465200000000003</v>
      </c>
      <c r="Q48" s="93"/>
      <c r="T48" s="103" t="s">
        <v>106</v>
      </c>
      <c r="U48" s="98">
        <v>1.7099</v>
      </c>
      <c r="W48" s="143">
        <v>42394</v>
      </c>
      <c r="X48" s="12">
        <v>32.06</v>
      </c>
      <c r="Y48" s="12">
        <v>32.1</v>
      </c>
      <c r="Z48" s="12">
        <v>30.14</v>
      </c>
      <c r="AA48" s="12">
        <v>30.62</v>
      </c>
      <c r="AB48" s="105">
        <v>2613200</v>
      </c>
      <c r="AC48" s="12">
        <v>30.62</v>
      </c>
      <c r="AD48" s="2">
        <f t="shared" si="2"/>
        <v>1.9600000000000009</v>
      </c>
      <c r="AE48" s="148">
        <f t="shared" si="3"/>
        <v>-4.4319600499375778E-2</v>
      </c>
    </row>
    <row r="49" spans="2:31" x14ac:dyDescent="0.25">
      <c r="B49" s="211">
        <v>42436</v>
      </c>
      <c r="C49" s="320">
        <v>125</v>
      </c>
      <c r="D49" s="321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26.222400000000004</v>
      </c>
      <c r="Q49" s="93"/>
      <c r="T49" s="103" t="s">
        <v>126</v>
      </c>
      <c r="U49" s="98" t="s">
        <v>223</v>
      </c>
      <c r="W49" s="143">
        <v>42391</v>
      </c>
      <c r="X49" s="12">
        <v>33.47</v>
      </c>
      <c r="Y49" s="12">
        <v>34.31</v>
      </c>
      <c r="Z49" s="12">
        <v>31.32</v>
      </c>
      <c r="AA49" s="12">
        <v>32.04</v>
      </c>
      <c r="AB49" s="105">
        <v>3417600</v>
      </c>
      <c r="AC49" s="12">
        <v>32.04</v>
      </c>
      <c r="AD49" s="2">
        <f t="shared" si="2"/>
        <v>2.990000000000002</v>
      </c>
      <c r="AE49" s="148">
        <f t="shared" si="3"/>
        <v>8.4985835694051381E-3</v>
      </c>
    </row>
    <row r="50" spans="2:31" x14ac:dyDescent="0.25">
      <c r="B50" s="211">
        <v>42437</v>
      </c>
      <c r="C50" s="320">
        <v>100</v>
      </c>
      <c r="D50" s="321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25.979600000000001</v>
      </c>
      <c r="Q50" s="93"/>
      <c r="T50" s="103"/>
      <c r="U50" s="98"/>
      <c r="W50" s="143">
        <v>42390</v>
      </c>
      <c r="X50" s="12">
        <v>33.07</v>
      </c>
      <c r="Y50" s="12">
        <v>35.51</v>
      </c>
      <c r="Z50" s="12">
        <v>30.88</v>
      </c>
      <c r="AA50" s="12">
        <v>31.77</v>
      </c>
      <c r="AB50" s="105">
        <v>5215600</v>
      </c>
      <c r="AC50" s="12">
        <v>31.77</v>
      </c>
      <c r="AD50" s="2">
        <f t="shared" si="2"/>
        <v>4.629999999999999</v>
      </c>
      <c r="AE50" s="148">
        <f t="shared" si="3"/>
        <v>-6.0615020697811994E-2</v>
      </c>
    </row>
    <row r="51" spans="2:31" x14ac:dyDescent="0.25">
      <c r="B51" s="211">
        <v>42444</v>
      </c>
      <c r="C51" s="320">
        <v>100</v>
      </c>
      <c r="D51" s="321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25.736800000000002</v>
      </c>
      <c r="Q51" s="93"/>
      <c r="T51" s="103" t="s">
        <v>108</v>
      </c>
      <c r="U51" s="98" t="s">
        <v>302</v>
      </c>
      <c r="W51" s="143">
        <v>42389</v>
      </c>
      <c r="X51" s="12">
        <v>30.01</v>
      </c>
      <c r="Y51" s="12">
        <v>34.880000000000003</v>
      </c>
      <c r="Z51" s="12">
        <v>27.5</v>
      </c>
      <c r="AA51" s="12">
        <v>33.82</v>
      </c>
      <c r="AB51" s="105">
        <v>6385700</v>
      </c>
      <c r="AC51" s="12">
        <v>33.82</v>
      </c>
      <c r="AD51" s="2">
        <f t="shared" si="2"/>
        <v>7.3800000000000026</v>
      </c>
      <c r="AE51" s="148">
        <f t="shared" si="3"/>
        <v>8.7809585075587115E-2</v>
      </c>
    </row>
    <row r="52" spans="2:31" x14ac:dyDescent="0.25">
      <c r="B52" s="211">
        <v>42451</v>
      </c>
      <c r="C52" s="297">
        <v>130</v>
      </c>
      <c r="D52" s="298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61">
        <f t="shared" si="7"/>
        <v>-0.165515614998484</v>
      </c>
      <c r="I52" s="43" t="s">
        <v>270</v>
      </c>
      <c r="O52" s="93">
        <v>1.05</v>
      </c>
      <c r="P52" s="93">
        <f t="shared" ref="P52" si="9">O52*$Q$4</f>
        <v>25.494000000000003</v>
      </c>
      <c r="Q52" s="93"/>
      <c r="T52" s="103" t="s">
        <v>109</v>
      </c>
      <c r="U52" s="98" t="s">
        <v>229</v>
      </c>
      <c r="W52" s="143">
        <v>42388</v>
      </c>
      <c r="X52" s="12">
        <v>35.270000000000003</v>
      </c>
      <c r="Y52" s="12">
        <v>35.49</v>
      </c>
      <c r="Z52" s="12">
        <v>30.31</v>
      </c>
      <c r="AA52" s="12">
        <v>31.09</v>
      </c>
      <c r="AB52" s="105">
        <v>5345600</v>
      </c>
      <c r="AC52" s="12">
        <v>31.09</v>
      </c>
      <c r="AD52" s="2">
        <f t="shared" si="2"/>
        <v>5.1800000000000033</v>
      </c>
      <c r="AE52" s="148">
        <f t="shared" si="3"/>
        <v>-0.11676136363636369</v>
      </c>
    </row>
    <row r="53" spans="2:31" x14ac:dyDescent="0.25">
      <c r="B53" s="211">
        <v>42460</v>
      </c>
      <c r="C53" s="12">
        <v>130</v>
      </c>
      <c r="D53" s="220">
        <v>29.683</v>
      </c>
      <c r="E53" s="43">
        <v>23.31</v>
      </c>
      <c r="F53" s="43">
        <f t="shared" si="5"/>
        <v>-828.49000000000012</v>
      </c>
      <c r="G53" s="43">
        <f t="shared" si="6"/>
        <v>3858.79</v>
      </c>
      <c r="H53" s="261">
        <f t="shared" si="7"/>
        <v>-0.21470201799009539</v>
      </c>
      <c r="I53" s="43"/>
      <c r="O53" s="93">
        <v>1.04</v>
      </c>
      <c r="P53" s="93">
        <f t="shared" ref="P53:P56" si="10">O53*$Q$4</f>
        <v>25.251200000000001</v>
      </c>
      <c r="Q53" s="93"/>
      <c r="T53" s="103" t="s">
        <v>110</v>
      </c>
      <c r="U53" s="100">
        <v>9507</v>
      </c>
      <c r="W53" s="143">
        <v>42384</v>
      </c>
      <c r="X53" s="12">
        <v>35</v>
      </c>
      <c r="Y53" s="12">
        <v>37.450000000000003</v>
      </c>
      <c r="Z53" s="12">
        <v>33.89</v>
      </c>
      <c r="AA53" s="12">
        <v>35.200000000000003</v>
      </c>
      <c r="AB53" s="105">
        <v>4495100</v>
      </c>
      <c r="AC53" s="12">
        <v>35.200000000000003</v>
      </c>
      <c r="AD53" s="2">
        <f t="shared" si="2"/>
        <v>3.5600000000000023</v>
      </c>
      <c r="AE53" s="148">
        <f t="shared" si="3"/>
        <v>-5.1724137931034364E-2</v>
      </c>
    </row>
    <row r="54" spans="2:31" x14ac:dyDescent="0.25">
      <c r="B54" s="12"/>
      <c r="C54" s="12"/>
      <c r="D54" s="220"/>
      <c r="E54" s="43"/>
      <c r="F54" s="43"/>
      <c r="G54" s="43"/>
      <c r="H54" s="261"/>
      <c r="I54" s="43"/>
      <c r="O54" s="93">
        <v>1.03</v>
      </c>
      <c r="P54" s="93">
        <f t="shared" si="10"/>
        <v>25.008400000000002</v>
      </c>
      <c r="Q54" s="93"/>
      <c r="T54" s="103" t="s">
        <v>113</v>
      </c>
      <c r="U54" s="100">
        <v>5347190</v>
      </c>
      <c r="W54" s="143">
        <v>42383</v>
      </c>
      <c r="X54" s="12">
        <v>40.68</v>
      </c>
      <c r="Y54" s="12">
        <v>41</v>
      </c>
      <c r="Z54" s="12">
        <v>36.15</v>
      </c>
      <c r="AA54" s="12">
        <v>37.119999999999997</v>
      </c>
      <c r="AB54" s="105">
        <v>7022000</v>
      </c>
      <c r="AC54" s="12">
        <v>37.119999999999997</v>
      </c>
      <c r="AD54" s="2">
        <f t="shared" si="2"/>
        <v>4.8500000000000014</v>
      </c>
      <c r="AE54" s="148">
        <f t="shared" si="3"/>
        <v>-0.13189897100093551</v>
      </c>
    </row>
    <row r="55" spans="2:31" x14ac:dyDescent="0.25">
      <c r="B55" s="12"/>
      <c r="C55" s="12"/>
      <c r="D55" s="220"/>
      <c r="E55" s="43"/>
      <c r="F55" s="43"/>
      <c r="G55" s="43"/>
      <c r="H55" s="261"/>
      <c r="I55" s="43"/>
      <c r="O55" s="93">
        <v>1.02</v>
      </c>
      <c r="P55" s="93">
        <f t="shared" si="10"/>
        <v>24.765600000000003</v>
      </c>
      <c r="Q55" s="93"/>
      <c r="T55" s="103" t="s">
        <v>111</v>
      </c>
      <c r="U55" s="98" t="s">
        <v>341</v>
      </c>
      <c r="W55" s="143">
        <v>42382</v>
      </c>
      <c r="X55" s="12">
        <v>44.88</v>
      </c>
      <c r="Y55" s="12">
        <v>45.88</v>
      </c>
      <c r="Z55" s="12">
        <v>42.01</v>
      </c>
      <c r="AA55" s="12">
        <v>42.76</v>
      </c>
      <c r="AB55" s="105">
        <v>2915400</v>
      </c>
      <c r="AC55" s="12">
        <v>42.76</v>
      </c>
      <c r="AD55" s="2">
        <f t="shared" si="2"/>
        <v>3.8700000000000045</v>
      </c>
      <c r="AE55" s="148">
        <f t="shared" si="3"/>
        <v>-4.3828264758497326E-2</v>
      </c>
    </row>
    <row r="56" spans="2:31" x14ac:dyDescent="0.25">
      <c r="B56" s="12"/>
      <c r="C56" s="12"/>
      <c r="D56" s="220"/>
      <c r="E56" s="43"/>
      <c r="F56" s="43"/>
      <c r="G56" s="43"/>
      <c r="H56" s="261"/>
      <c r="I56" s="43"/>
      <c r="O56" s="93">
        <v>1.01</v>
      </c>
      <c r="P56" s="93">
        <f t="shared" si="10"/>
        <v>24.5228</v>
      </c>
      <c r="Q56" s="93"/>
      <c r="T56" s="103" t="s">
        <v>114</v>
      </c>
      <c r="U56" s="98" t="s">
        <v>134</v>
      </c>
      <c r="W56" s="143">
        <v>42381</v>
      </c>
      <c r="X56" s="12">
        <v>47.84</v>
      </c>
      <c r="Y56" s="12">
        <v>47.98</v>
      </c>
      <c r="Z56" s="12">
        <v>43.1</v>
      </c>
      <c r="AA56" s="12">
        <v>44.72</v>
      </c>
      <c r="AB56" s="105">
        <v>3341600</v>
      </c>
      <c r="AC56" s="12">
        <v>44.72</v>
      </c>
      <c r="AD56" s="2">
        <f t="shared" si="2"/>
        <v>4.8799999999999955</v>
      </c>
      <c r="AE56" s="148">
        <f t="shared" si="3"/>
        <v>-6.2277206961627196E-2</v>
      </c>
    </row>
    <row r="57" spans="2:31" x14ac:dyDescent="0.25">
      <c r="O57" s="93">
        <v>1</v>
      </c>
      <c r="P57" s="93">
        <f t="shared" ref="P57:P70" si="11">O57*$Q$4</f>
        <v>24.28</v>
      </c>
      <c r="Q57" s="93"/>
      <c r="T57" s="103" t="s">
        <v>115</v>
      </c>
      <c r="U57" s="98">
        <v>-0.6</v>
      </c>
      <c r="W57" s="143">
        <v>42380</v>
      </c>
      <c r="X57" s="12">
        <v>48.87</v>
      </c>
      <c r="Y57" s="12">
        <v>49.39</v>
      </c>
      <c r="Z57" s="12">
        <v>47.14</v>
      </c>
      <c r="AA57" s="12">
        <v>47.69</v>
      </c>
      <c r="AB57" s="105">
        <v>1673900</v>
      </c>
      <c r="AC57" s="12">
        <v>47.69</v>
      </c>
      <c r="AD57" s="2">
        <f t="shared" si="2"/>
        <v>2.25</v>
      </c>
      <c r="AE57" s="148">
        <f t="shared" si="3"/>
        <v>-2.2946117598852789E-2</v>
      </c>
    </row>
    <row r="58" spans="2:31" x14ac:dyDescent="0.25">
      <c r="O58" s="93">
        <v>0.99</v>
      </c>
      <c r="P58" s="93">
        <f t="shared" si="11"/>
        <v>24.037200000000002</v>
      </c>
      <c r="Q58" s="93"/>
      <c r="T58" s="103" t="s">
        <v>112</v>
      </c>
      <c r="U58" s="98" t="s">
        <v>127</v>
      </c>
      <c r="W58" s="143">
        <v>42377</v>
      </c>
      <c r="X58" s="12">
        <v>47.75</v>
      </c>
      <c r="Y58" s="12">
        <v>49.34</v>
      </c>
      <c r="Z58" s="12">
        <v>47.63</v>
      </c>
      <c r="AA58" s="12">
        <v>48.81</v>
      </c>
      <c r="AB58" s="105">
        <v>2137900</v>
      </c>
      <c r="AC58" s="12">
        <v>48.81</v>
      </c>
      <c r="AD58" s="2">
        <f t="shared" si="2"/>
        <v>1.7100000000000009</v>
      </c>
      <c r="AE58" s="148">
        <f t="shared" si="3"/>
        <v>3.6966220522625992E-2</v>
      </c>
    </row>
    <row r="59" spans="2:31" x14ac:dyDescent="0.25">
      <c r="O59" s="93">
        <v>0.98</v>
      </c>
      <c r="P59" s="93">
        <f t="shared" si="11"/>
        <v>23.7944</v>
      </c>
      <c r="Q59" s="93"/>
      <c r="W59" s="143">
        <v>42376</v>
      </c>
      <c r="X59" s="12">
        <v>48.74</v>
      </c>
      <c r="Y59" s="12">
        <v>49.43</v>
      </c>
      <c r="Z59" s="12">
        <v>46.2</v>
      </c>
      <c r="AA59" s="12">
        <v>47.07</v>
      </c>
      <c r="AB59" s="105">
        <v>2484200</v>
      </c>
      <c r="AC59" s="12">
        <v>47.07</v>
      </c>
      <c r="AD59" s="2">
        <f t="shared" si="2"/>
        <v>3.2299999999999969</v>
      </c>
      <c r="AE59" s="148">
        <f t="shared" si="3"/>
        <v>-6.2350597609561853E-2</v>
      </c>
    </row>
    <row r="60" spans="2:31" x14ac:dyDescent="0.25">
      <c r="O60" s="93">
        <v>0.97</v>
      </c>
      <c r="P60" s="93">
        <f t="shared" si="11"/>
        <v>23.551600000000001</v>
      </c>
      <c r="Q60" s="93"/>
      <c r="W60" s="143">
        <v>42375</v>
      </c>
      <c r="X60" s="12">
        <v>49.3</v>
      </c>
      <c r="Y60" s="12">
        <v>51.45</v>
      </c>
      <c r="Z60" s="12">
        <v>49.3</v>
      </c>
      <c r="AA60" s="12">
        <v>50.2</v>
      </c>
      <c r="AB60" s="105">
        <v>1957200</v>
      </c>
      <c r="AC60" s="12">
        <v>50.2</v>
      </c>
      <c r="AD60" s="2">
        <f t="shared" si="2"/>
        <v>2.1500000000000057</v>
      </c>
      <c r="AE60" s="148">
        <f t="shared" si="3"/>
        <v>-4.7581284694685477E-3</v>
      </c>
    </row>
    <row r="61" spans="2:31" x14ac:dyDescent="0.25">
      <c r="O61" s="93">
        <v>0.96</v>
      </c>
      <c r="P61" s="93">
        <f t="shared" si="11"/>
        <v>23.308800000000002</v>
      </c>
      <c r="Q61" s="93"/>
      <c r="W61" s="143">
        <v>42374</v>
      </c>
      <c r="X61" s="12">
        <v>53.61</v>
      </c>
      <c r="Y61" s="12">
        <v>53.61</v>
      </c>
      <c r="Z61" s="12">
        <v>49.55</v>
      </c>
      <c r="AA61" s="12">
        <v>50.44</v>
      </c>
      <c r="AB61" s="105">
        <v>2425300</v>
      </c>
      <c r="AC61" s="12">
        <v>50.44</v>
      </c>
      <c r="AD61" s="2">
        <f t="shared" si="2"/>
        <v>4.0600000000000023</v>
      </c>
      <c r="AE61" s="148">
        <f t="shared" si="3"/>
        <v>-4.451600681947343E-2</v>
      </c>
    </row>
    <row r="62" spans="2:31" x14ac:dyDescent="0.25">
      <c r="O62" s="93">
        <v>0.95</v>
      </c>
      <c r="P62" s="93">
        <f t="shared" si="11"/>
        <v>23.065999999999999</v>
      </c>
      <c r="Q62" s="93"/>
      <c r="W62" s="143">
        <v>42373</v>
      </c>
      <c r="X62" s="12">
        <v>49.29</v>
      </c>
      <c r="Y62" s="12">
        <v>52.94</v>
      </c>
      <c r="Z62" s="12">
        <v>48.38</v>
      </c>
      <c r="AA62" s="12">
        <v>52.79</v>
      </c>
      <c r="AB62" s="105">
        <v>3015000</v>
      </c>
      <c r="AC62" s="12">
        <v>52.79</v>
      </c>
      <c r="AD62" s="2">
        <f t="shared" si="2"/>
        <v>4.5599999999999952</v>
      </c>
      <c r="AE62" s="148">
        <f t="shared" si="3"/>
        <v>3.4692277538220129E-2</v>
      </c>
    </row>
    <row r="63" spans="2:31" x14ac:dyDescent="0.25">
      <c r="O63" s="93">
        <v>0.94</v>
      </c>
      <c r="P63" s="93">
        <f t="shared" si="11"/>
        <v>22.8232</v>
      </c>
      <c r="Q63" s="93"/>
      <c r="W63" s="143">
        <v>42369</v>
      </c>
      <c r="X63" s="12">
        <v>50.5</v>
      </c>
      <c r="Y63" s="12">
        <v>51.49</v>
      </c>
      <c r="Z63" s="12">
        <v>49.35</v>
      </c>
      <c r="AA63" s="12">
        <v>51.02</v>
      </c>
      <c r="AB63" s="105">
        <v>1514500</v>
      </c>
      <c r="AC63" s="12">
        <v>51.02</v>
      </c>
      <c r="AD63" s="2">
        <f t="shared" si="2"/>
        <v>2.1400000000000006</v>
      </c>
      <c r="AE63" s="148">
        <f t="shared" si="3"/>
        <v>4.3307086614174928E-3</v>
      </c>
    </row>
    <row r="64" spans="2:31" x14ac:dyDescent="0.25">
      <c r="O64" s="93">
        <v>0.93</v>
      </c>
      <c r="P64" s="93">
        <f t="shared" si="11"/>
        <v>22.580400000000001</v>
      </c>
      <c r="W64" s="143">
        <v>42368</v>
      </c>
      <c r="X64" s="12">
        <v>49.14</v>
      </c>
      <c r="Y64" s="12">
        <v>52.22</v>
      </c>
      <c r="Z64" s="12">
        <v>49.07</v>
      </c>
      <c r="AA64" s="12">
        <v>50.8</v>
      </c>
      <c r="AB64" s="105">
        <v>2159000</v>
      </c>
      <c r="AC64" s="12">
        <v>50.8</v>
      </c>
      <c r="AD64" s="2">
        <f t="shared" si="2"/>
        <v>3.1499999999999986</v>
      </c>
      <c r="AE64" s="148">
        <f t="shared" si="3"/>
        <v>2.1310816244471065E-2</v>
      </c>
    </row>
    <row r="65" spans="15:31" x14ac:dyDescent="0.25">
      <c r="O65" s="93">
        <v>0.92</v>
      </c>
      <c r="P65" s="93">
        <f t="shared" si="11"/>
        <v>22.337600000000002</v>
      </c>
      <c r="W65" s="143">
        <v>42367</v>
      </c>
      <c r="X65" s="12">
        <v>51.39</v>
      </c>
      <c r="Y65" s="12">
        <v>51.78</v>
      </c>
      <c r="Z65" s="12">
        <v>48.39</v>
      </c>
      <c r="AA65" s="12">
        <v>49.74</v>
      </c>
      <c r="AB65" s="105">
        <v>2862300</v>
      </c>
      <c r="AC65" s="12">
        <v>49.74</v>
      </c>
      <c r="AD65" s="2">
        <f t="shared" si="2"/>
        <v>3.3900000000000006</v>
      </c>
      <c r="AE65" s="148">
        <f t="shared" si="3"/>
        <v>-3.0598323913467174E-2</v>
      </c>
    </row>
    <row r="66" spans="15:31" x14ac:dyDescent="0.25">
      <c r="O66" s="93">
        <v>0.91</v>
      </c>
      <c r="P66" s="93">
        <f t="shared" si="11"/>
        <v>22.094800000000003</v>
      </c>
      <c r="W66" s="143">
        <v>42366</v>
      </c>
      <c r="X66" s="12">
        <v>51.34</v>
      </c>
      <c r="Y66" s="12">
        <v>52.5</v>
      </c>
      <c r="Z66" s="12">
        <v>50.83</v>
      </c>
      <c r="AA66" s="12">
        <v>51.31</v>
      </c>
      <c r="AB66" s="105">
        <v>2116000</v>
      </c>
      <c r="AC66" s="12">
        <v>51.31</v>
      </c>
      <c r="AD66" s="2">
        <f t="shared" si="2"/>
        <v>1.6700000000000017</v>
      </c>
      <c r="AE66" s="148">
        <f t="shared" si="3"/>
        <v>-1.2889572912658576E-2</v>
      </c>
    </row>
    <row r="67" spans="15:31" x14ac:dyDescent="0.25">
      <c r="O67" s="93">
        <v>0.9</v>
      </c>
      <c r="P67" s="93">
        <f t="shared" si="11"/>
        <v>21.852</v>
      </c>
      <c r="W67" s="143">
        <v>42362</v>
      </c>
      <c r="X67" s="12">
        <v>51.21</v>
      </c>
      <c r="Y67" s="12">
        <v>53</v>
      </c>
      <c r="Z67" s="12">
        <v>50.3</v>
      </c>
      <c r="AA67" s="12">
        <v>51.98</v>
      </c>
      <c r="AB67" s="105">
        <v>1625300</v>
      </c>
      <c r="AC67" s="12">
        <v>51.98</v>
      </c>
      <c r="AD67" s="2">
        <f t="shared" ref="AD67:AD68" si="12">Y67-Z67</f>
        <v>2.7000000000000028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21.609200000000001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21.366400000000002</v>
      </c>
    </row>
    <row r="70" spans="15:31" x14ac:dyDescent="0.25">
      <c r="O70" s="93">
        <v>0.87</v>
      </c>
      <c r="P70" s="93">
        <f t="shared" si="11"/>
        <v>21.1236</v>
      </c>
    </row>
  </sheetData>
  <mergeCells count="1">
    <mergeCell ref="O42:P42"/>
  </mergeCells>
  <conditionalFormatting sqref="Q7 H44:H56 F44:F56">
    <cfRule type="expression" dxfId="143" priority="19">
      <formula>F7&gt;0</formula>
    </cfRule>
    <cfRule type="expression" dxfId="142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41" priority="3">
      <formula>F28&gt;0</formula>
    </cfRule>
    <cfRule type="expression" dxfId="140" priority="4">
      <formula>F28&lt;0</formula>
    </cfRule>
  </conditionalFormatting>
  <conditionalFormatting sqref="H28:H43">
    <cfRule type="expression" dxfId="139" priority="1">
      <formula>H28&gt;0</formula>
    </cfRule>
    <cfRule type="expression" dxfId="13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158</v>
      </c>
      <c r="W2" s="143">
        <v>42460</v>
      </c>
      <c r="X2" s="12">
        <v>9.35</v>
      </c>
      <c r="Y2" s="12">
        <v>9.35</v>
      </c>
      <c r="Z2" s="12">
        <v>9.27</v>
      </c>
      <c r="AA2" s="12">
        <v>9.2799999999999994</v>
      </c>
      <c r="AB2" s="105">
        <v>2100</v>
      </c>
      <c r="AC2" s="12">
        <v>9.2799999999999994</v>
      </c>
      <c r="AD2" s="2">
        <f>Y2-Z2</f>
        <v>8.0000000000000071E-2</v>
      </c>
      <c r="AE2" s="148">
        <f>AC2/AC3-1</f>
        <v>-4.2918454935623185E-3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8.77</v>
      </c>
      <c r="W3" s="143">
        <v>42459</v>
      </c>
      <c r="X3" s="12">
        <v>9.2200000000000006</v>
      </c>
      <c r="Y3" s="12">
        <v>9.3699999999999992</v>
      </c>
      <c r="Z3" s="12">
        <v>9.2200000000000006</v>
      </c>
      <c r="AA3" s="12">
        <v>9.32</v>
      </c>
      <c r="AB3" s="105">
        <v>14700</v>
      </c>
      <c r="AC3" s="12">
        <v>9.32</v>
      </c>
      <c r="AD3" s="2">
        <f t="shared" ref="AD3:AD66" si="1">Y3-Z3</f>
        <v>0.14999999999999858</v>
      </c>
      <c r="AE3" s="148">
        <f t="shared" ref="AE3:AE66" si="2">AC3/AC4-1</f>
        <v>6.4794816414688317E-3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8.77</v>
      </c>
      <c r="W4" s="143">
        <v>42458</v>
      </c>
      <c r="X4" s="12">
        <v>9.1199999999999992</v>
      </c>
      <c r="Y4" s="12">
        <v>9.26</v>
      </c>
      <c r="Z4" s="12">
        <v>9.08</v>
      </c>
      <c r="AA4" s="12">
        <v>9.26</v>
      </c>
      <c r="AB4" s="105">
        <v>20500</v>
      </c>
      <c r="AC4" s="12">
        <v>9.26</v>
      </c>
      <c r="AD4" s="2">
        <f t="shared" si="1"/>
        <v>0.17999999999999972</v>
      </c>
      <c r="AE4" s="148">
        <f t="shared" si="2"/>
        <v>9.8146128680478562E-3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42457</v>
      </c>
      <c r="X5" s="12">
        <v>9.4</v>
      </c>
      <c r="Y5" s="12">
        <v>9.4</v>
      </c>
      <c r="Z5" s="12">
        <v>9.15</v>
      </c>
      <c r="AA5" s="12">
        <v>9.17</v>
      </c>
      <c r="AB5" s="105">
        <v>12200</v>
      </c>
      <c r="AC5" s="12">
        <v>9.17</v>
      </c>
      <c r="AD5" s="2">
        <f t="shared" si="1"/>
        <v>0.25</v>
      </c>
      <c r="AE5" s="148">
        <f t="shared" si="2"/>
        <v>-3.6764705882352922E-2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42453</v>
      </c>
      <c r="X6" s="12">
        <v>9.5500000000000007</v>
      </c>
      <c r="Y6" s="12">
        <v>9.5500000000000007</v>
      </c>
      <c r="Z6" s="12">
        <v>9.52</v>
      </c>
      <c r="AA6" s="12">
        <v>9.52</v>
      </c>
      <c r="AB6" s="105">
        <v>3700</v>
      </c>
      <c r="AC6" s="12">
        <v>9.52</v>
      </c>
      <c r="AD6" s="2">
        <f t="shared" si="1"/>
        <v>3.0000000000001137E-2</v>
      </c>
      <c r="AE6" s="148">
        <f t="shared" si="2"/>
        <v>-3.3502538071065957E-2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71"/>
      <c r="W7" s="143">
        <v>42452</v>
      </c>
      <c r="X7" s="12">
        <v>9.92</v>
      </c>
      <c r="Y7" s="12">
        <v>9.9499999999999993</v>
      </c>
      <c r="Z7" s="12">
        <v>9.85</v>
      </c>
      <c r="AA7" s="12">
        <v>9.85</v>
      </c>
      <c r="AB7" s="105">
        <v>9100</v>
      </c>
      <c r="AC7" s="12">
        <v>9.85</v>
      </c>
      <c r="AD7" s="2">
        <f t="shared" si="1"/>
        <v>9.9999999999999645E-2</v>
      </c>
      <c r="AE7" s="148">
        <f t="shared" si="2"/>
        <v>-2.0874751491053778E-2</v>
      </c>
    </row>
    <row r="8" spans="1:31" x14ac:dyDescent="0.25">
      <c r="E8" s="2"/>
      <c r="F8" s="2"/>
      <c r="O8" s="13" t="s">
        <v>90</v>
      </c>
      <c r="Q8" s="148">
        <f>(Q4-Q3)/Q3</f>
        <v>0</v>
      </c>
      <c r="W8" s="143">
        <v>42451</v>
      </c>
      <c r="X8" s="12">
        <v>9.98</v>
      </c>
      <c r="Y8" s="12">
        <v>10.1</v>
      </c>
      <c r="Z8" s="12">
        <v>9.98</v>
      </c>
      <c r="AA8" s="12">
        <v>10.06</v>
      </c>
      <c r="AB8" s="105">
        <v>106400</v>
      </c>
      <c r="AC8" s="12">
        <v>10.06</v>
      </c>
      <c r="AD8" s="2">
        <f t="shared" si="1"/>
        <v>0.11999999999999922</v>
      </c>
      <c r="AE8" s="148">
        <f t="shared" si="2"/>
        <v>9.9502487562186381E-4</v>
      </c>
    </row>
    <row r="9" spans="1:31" x14ac:dyDescent="0.25">
      <c r="E9" s="2"/>
      <c r="F9" s="2"/>
      <c r="W9" s="143">
        <v>42450</v>
      </c>
      <c r="X9" s="12">
        <v>9.92</v>
      </c>
      <c r="Y9" s="12">
        <v>10.050000000000001</v>
      </c>
      <c r="Z9" s="12">
        <v>9.92</v>
      </c>
      <c r="AA9" s="12">
        <v>10.050000000000001</v>
      </c>
      <c r="AB9" s="105">
        <v>9300</v>
      </c>
      <c r="AC9" s="12">
        <v>10.050000000000001</v>
      </c>
      <c r="AD9" s="2">
        <f t="shared" si="1"/>
        <v>0.13000000000000078</v>
      </c>
      <c r="AE9" s="148">
        <f t="shared" si="2"/>
        <v>2.9940119760480943E-3</v>
      </c>
    </row>
    <row r="10" spans="1:31" x14ac:dyDescent="0.25">
      <c r="E10" s="2"/>
      <c r="F10" s="2"/>
      <c r="W10" s="143">
        <v>42447</v>
      </c>
      <c r="X10" s="12">
        <v>9.93</v>
      </c>
      <c r="Y10" s="12">
        <v>10.029999999999999</v>
      </c>
      <c r="Z10" s="12">
        <v>9.92</v>
      </c>
      <c r="AA10" s="12">
        <v>10.02</v>
      </c>
      <c r="AB10" s="105">
        <v>17700</v>
      </c>
      <c r="AC10" s="12">
        <v>10.02</v>
      </c>
      <c r="AD10" s="2">
        <f t="shared" si="1"/>
        <v>0.10999999999999943</v>
      </c>
      <c r="AE10" s="148">
        <f t="shared" si="2"/>
        <v>-1.7647058823529349E-2</v>
      </c>
    </row>
    <row r="11" spans="1:31" x14ac:dyDescent="0.25">
      <c r="E11" s="2"/>
      <c r="F11" s="2"/>
      <c r="W11" s="143">
        <v>42446</v>
      </c>
      <c r="X11" s="12">
        <v>9.75</v>
      </c>
      <c r="Y11" s="12">
        <v>10.39</v>
      </c>
      <c r="Z11" s="12">
        <v>9.75</v>
      </c>
      <c r="AA11" s="12">
        <v>10.199999999999999</v>
      </c>
      <c r="AB11" s="105">
        <v>217600</v>
      </c>
      <c r="AC11" s="12">
        <v>10.199999999999999</v>
      </c>
      <c r="AD11" s="2">
        <f t="shared" si="1"/>
        <v>0.64000000000000057</v>
      </c>
      <c r="AE11" s="148">
        <f t="shared" si="2"/>
        <v>4.8304213771839466E-2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150</v>
      </c>
      <c r="W12" s="143">
        <v>42445</v>
      </c>
      <c r="X12" s="12">
        <v>9.6</v>
      </c>
      <c r="Y12" s="12">
        <v>9.73</v>
      </c>
      <c r="Z12" s="12">
        <v>9.6</v>
      </c>
      <c r="AA12" s="12">
        <v>9.73</v>
      </c>
      <c r="AB12" s="105">
        <v>25400</v>
      </c>
      <c r="AC12" s="12">
        <v>9.73</v>
      </c>
      <c r="AD12" s="2">
        <f t="shared" si="1"/>
        <v>0.13000000000000078</v>
      </c>
      <c r="AE12" s="148">
        <f t="shared" si="2"/>
        <v>1.565762004175375E-2</v>
      </c>
    </row>
    <row r="13" spans="1:31" x14ac:dyDescent="0.25">
      <c r="W13" s="143">
        <v>42444</v>
      </c>
      <c r="X13" s="12">
        <v>9.57</v>
      </c>
      <c r="Y13" s="12">
        <v>9.58</v>
      </c>
      <c r="Z13" s="12">
        <v>9.5399999999999991</v>
      </c>
      <c r="AA13" s="12">
        <v>9.58</v>
      </c>
      <c r="AB13" s="105">
        <v>108800</v>
      </c>
      <c r="AC13" s="12">
        <v>9.58</v>
      </c>
      <c r="AD13" s="2">
        <f t="shared" si="1"/>
        <v>4.0000000000000924E-2</v>
      </c>
      <c r="AE13" s="148">
        <f t="shared" si="2"/>
        <v>-1.3388259526261659E-2</v>
      </c>
    </row>
    <row r="14" spans="1:31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3" t="s">
        <v>65</v>
      </c>
      <c r="G14" s="253" t="s">
        <v>172</v>
      </c>
      <c r="H14" s="213" t="s">
        <v>90</v>
      </c>
      <c r="R14" s="37"/>
      <c r="W14" s="143">
        <v>42443</v>
      </c>
      <c r="X14" s="12">
        <v>9.7100000000000009</v>
      </c>
      <c r="Y14" s="12">
        <v>9.74</v>
      </c>
      <c r="Z14" s="12">
        <v>9.59</v>
      </c>
      <c r="AA14" s="12">
        <v>9.7100000000000009</v>
      </c>
      <c r="AB14" s="105">
        <v>25500</v>
      </c>
      <c r="AC14" s="12">
        <v>9.7100000000000009</v>
      </c>
      <c r="AD14" s="2">
        <f t="shared" si="1"/>
        <v>0.15000000000000036</v>
      </c>
      <c r="AE14" s="148">
        <f t="shared" si="2"/>
        <v>2.3182297154900056E-2</v>
      </c>
    </row>
    <row r="15" spans="1:31" x14ac:dyDescent="0.25">
      <c r="B15" s="211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61">
        <f>IF(C15=0, D15, (E15-D15)/D15)</f>
        <v>-8.6560364464692466E-2</v>
      </c>
      <c r="R15" s="37"/>
      <c r="W15" s="143">
        <v>42440</v>
      </c>
      <c r="X15" s="12">
        <v>9.4</v>
      </c>
      <c r="Y15" s="12">
        <v>9.5</v>
      </c>
      <c r="Z15" s="12">
        <v>9.3800000000000008</v>
      </c>
      <c r="AA15" s="12">
        <v>9.49</v>
      </c>
      <c r="AB15" s="105">
        <v>14800</v>
      </c>
      <c r="AC15" s="12">
        <v>9.49</v>
      </c>
      <c r="AD15" s="2">
        <f t="shared" si="1"/>
        <v>0.11999999999999922</v>
      </c>
      <c r="AE15" s="148">
        <f t="shared" si="2"/>
        <v>2.0430107526881569E-2</v>
      </c>
    </row>
    <row r="16" spans="1:31" x14ac:dyDescent="0.25">
      <c r="B16" s="211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61">
        <f t="shared" ref="H16:H17" si="5">IF(C16=0, D16, (E16-D16)/D16)</f>
        <v>-1.3544018058690658E-2</v>
      </c>
      <c r="R16" s="37"/>
      <c r="W16" s="143">
        <v>42439</v>
      </c>
      <c r="X16" s="12">
        <v>9.36</v>
      </c>
      <c r="Y16" s="12">
        <v>9.41</v>
      </c>
      <c r="Z16" s="12">
        <v>9.23</v>
      </c>
      <c r="AA16" s="12">
        <v>9.3000000000000007</v>
      </c>
      <c r="AB16" s="105">
        <v>1900</v>
      </c>
      <c r="AC16" s="12">
        <v>9.3000000000000007</v>
      </c>
      <c r="AD16" s="2">
        <f t="shared" si="1"/>
        <v>0.17999999999999972</v>
      </c>
      <c r="AE16" s="148">
        <f t="shared" si="2"/>
        <v>0</v>
      </c>
    </row>
    <row r="17" spans="2:31" x14ac:dyDescent="0.25">
      <c r="B17" s="211">
        <v>42327</v>
      </c>
      <c r="C17" s="12">
        <v>0</v>
      </c>
      <c r="D17" s="222" t="s">
        <v>134</v>
      </c>
      <c r="E17" s="43">
        <v>9.06</v>
      </c>
      <c r="F17" s="43">
        <v>22.55</v>
      </c>
      <c r="G17" s="43">
        <f t="shared" si="4"/>
        <v>0</v>
      </c>
      <c r="H17" s="261" t="str">
        <f t="shared" si="5"/>
        <v>N/A</v>
      </c>
      <c r="R17" s="37"/>
      <c r="W17" s="143">
        <v>42438</v>
      </c>
      <c r="X17" s="12">
        <v>9.31</v>
      </c>
      <c r="Y17" s="12">
        <v>9.33</v>
      </c>
      <c r="Z17" s="12">
        <v>9.2799999999999994</v>
      </c>
      <c r="AA17" s="12">
        <v>9.3000000000000007</v>
      </c>
      <c r="AB17" s="105">
        <v>13200</v>
      </c>
      <c r="AC17" s="12">
        <v>9.3000000000000007</v>
      </c>
      <c r="AD17" s="2">
        <f t="shared" si="1"/>
        <v>5.0000000000000711E-2</v>
      </c>
      <c r="AE17" s="148">
        <f t="shared" si="2"/>
        <v>-1.0638297872340385E-2</v>
      </c>
    </row>
    <row r="18" spans="2:31" x14ac:dyDescent="0.25">
      <c r="B18" s="12"/>
      <c r="C18" s="12"/>
      <c r="D18" s="43"/>
      <c r="E18" s="43"/>
      <c r="F18" s="43"/>
      <c r="G18" s="43"/>
      <c r="H18" s="261"/>
      <c r="R18" s="37"/>
      <c r="W18" s="143">
        <v>42437</v>
      </c>
      <c r="X18" s="12">
        <v>9.44</v>
      </c>
      <c r="Y18" s="12">
        <v>9.4700000000000006</v>
      </c>
      <c r="Z18" s="12">
        <v>9.4</v>
      </c>
      <c r="AA18" s="12">
        <v>9.4</v>
      </c>
      <c r="AB18" s="105">
        <v>15400</v>
      </c>
      <c r="AC18" s="12">
        <v>9.4</v>
      </c>
      <c r="AD18" s="2">
        <f t="shared" si="1"/>
        <v>7.0000000000000284E-2</v>
      </c>
      <c r="AE18" s="148">
        <f t="shared" si="2"/>
        <v>-1.0626992561104665E-3</v>
      </c>
    </row>
    <row r="19" spans="2:31" x14ac:dyDescent="0.25">
      <c r="B19" s="12"/>
      <c r="C19" s="12"/>
      <c r="D19" s="43"/>
      <c r="E19" s="43"/>
      <c r="F19" s="43"/>
      <c r="G19" s="43"/>
      <c r="H19" s="261"/>
      <c r="R19" s="37"/>
      <c r="W19" s="143">
        <v>42436</v>
      </c>
      <c r="X19" s="12">
        <v>9.3800000000000008</v>
      </c>
      <c r="Y19" s="12">
        <v>9.48</v>
      </c>
      <c r="Z19" s="12">
        <v>9.3800000000000008</v>
      </c>
      <c r="AA19" s="12">
        <v>9.41</v>
      </c>
      <c r="AB19" s="105">
        <v>11600</v>
      </c>
      <c r="AC19" s="12">
        <v>9.41</v>
      </c>
      <c r="AD19" s="2">
        <f t="shared" si="1"/>
        <v>9.9999999999999645E-2</v>
      </c>
      <c r="AE19" s="148">
        <f t="shared" si="2"/>
        <v>-1.465968586387445E-2</v>
      </c>
    </row>
    <row r="20" spans="2:31" x14ac:dyDescent="0.25">
      <c r="B20" s="12"/>
      <c r="C20" s="12"/>
      <c r="D20" s="43"/>
      <c r="E20" s="43"/>
      <c r="F20" s="43"/>
      <c r="G20" s="43"/>
      <c r="H20" s="261"/>
      <c r="R20" s="37"/>
      <c r="W20" s="143">
        <v>42433</v>
      </c>
      <c r="X20" s="12">
        <v>9.4</v>
      </c>
      <c r="Y20" s="12">
        <v>9.58</v>
      </c>
      <c r="Z20" s="12">
        <v>9.39</v>
      </c>
      <c r="AA20" s="12">
        <v>9.5500000000000007</v>
      </c>
      <c r="AB20" s="105">
        <v>16400</v>
      </c>
      <c r="AC20" s="12">
        <v>9.5500000000000007</v>
      </c>
      <c r="AD20" s="2">
        <f t="shared" si="1"/>
        <v>0.1899999999999995</v>
      </c>
      <c r="AE20" s="148">
        <f t="shared" si="2"/>
        <v>1.5957446808510634E-2</v>
      </c>
    </row>
    <row r="21" spans="2:31" x14ac:dyDescent="0.25">
      <c r="B21" s="12"/>
      <c r="C21" s="12"/>
      <c r="D21" s="43"/>
      <c r="E21" s="43"/>
      <c r="F21" s="43"/>
      <c r="G21" s="43"/>
      <c r="H21" s="261"/>
      <c r="R21" s="37"/>
      <c r="W21" s="143">
        <v>42432</v>
      </c>
      <c r="X21" s="12">
        <v>9.33</v>
      </c>
      <c r="Y21" s="12">
        <v>9.4</v>
      </c>
      <c r="Z21" s="12">
        <v>9.33</v>
      </c>
      <c r="AA21" s="12">
        <v>9.4</v>
      </c>
      <c r="AB21" s="105">
        <v>9000</v>
      </c>
      <c r="AC21" s="12">
        <v>9.4</v>
      </c>
      <c r="AD21" s="2">
        <f t="shared" si="1"/>
        <v>7.0000000000000284E-2</v>
      </c>
      <c r="AE21" s="148">
        <f t="shared" si="2"/>
        <v>1.2931034482758674E-2</v>
      </c>
    </row>
    <row r="22" spans="2:31" x14ac:dyDescent="0.25">
      <c r="B22" s="12"/>
      <c r="C22" s="12"/>
      <c r="D22" s="43"/>
      <c r="E22" s="43"/>
      <c r="F22" s="43"/>
      <c r="G22" s="43"/>
      <c r="H22" s="261"/>
      <c r="R22" s="37"/>
      <c r="W22" s="143">
        <v>42431</v>
      </c>
      <c r="X22" s="12">
        <v>9.2200000000000006</v>
      </c>
      <c r="Y22" s="12">
        <v>9.3000000000000007</v>
      </c>
      <c r="Z22" s="12">
        <v>9.2200000000000006</v>
      </c>
      <c r="AA22" s="12">
        <v>9.2799999999999994</v>
      </c>
      <c r="AB22" s="105">
        <v>15800</v>
      </c>
      <c r="AC22" s="12">
        <v>9.2799999999999994</v>
      </c>
      <c r="AD22" s="2">
        <f t="shared" si="1"/>
        <v>8.0000000000000071E-2</v>
      </c>
      <c r="AE22" s="148">
        <f t="shared" si="2"/>
        <v>9.7932535364526618E-3</v>
      </c>
    </row>
    <row r="23" spans="2:31" x14ac:dyDescent="0.25">
      <c r="B23" s="12"/>
      <c r="C23" s="12"/>
      <c r="D23" s="43"/>
      <c r="E23" s="43"/>
      <c r="F23" s="43"/>
      <c r="G23" s="43"/>
      <c r="H23" s="261"/>
      <c r="R23" s="37"/>
      <c r="W23" s="143">
        <v>42430</v>
      </c>
      <c r="X23" s="12">
        <v>9</v>
      </c>
      <c r="Y23" s="12">
        <v>9.2200000000000006</v>
      </c>
      <c r="Z23" s="12">
        <v>8.98</v>
      </c>
      <c r="AA23" s="12">
        <v>9.19</v>
      </c>
      <c r="AB23" s="105">
        <v>14600</v>
      </c>
      <c r="AC23" s="12">
        <v>9.19</v>
      </c>
      <c r="AD23" s="2">
        <f t="shared" si="1"/>
        <v>0.24000000000000021</v>
      </c>
      <c r="AE23" s="148">
        <f t="shared" si="2"/>
        <v>1.1001100110010986E-2</v>
      </c>
    </row>
    <row r="24" spans="2:31" x14ac:dyDescent="0.25">
      <c r="B24" s="12"/>
      <c r="C24" s="12"/>
      <c r="D24" s="43"/>
      <c r="E24" s="43"/>
      <c r="F24" s="43"/>
      <c r="G24" s="43"/>
      <c r="H24" s="261"/>
      <c r="R24" s="37"/>
      <c r="W24" s="143">
        <v>42429</v>
      </c>
      <c r="X24" s="12">
        <v>9.1300000000000008</v>
      </c>
      <c r="Y24" s="12">
        <v>9.14</v>
      </c>
      <c r="Z24" s="12">
        <v>9.08</v>
      </c>
      <c r="AA24" s="12">
        <v>9.09</v>
      </c>
      <c r="AB24" s="105">
        <v>4500</v>
      </c>
      <c r="AC24" s="12">
        <v>9.09</v>
      </c>
      <c r="AD24" s="2">
        <f t="shared" si="1"/>
        <v>6.0000000000000497E-2</v>
      </c>
      <c r="AE24" s="148">
        <f t="shared" si="2"/>
        <v>-2.152852529601712E-2</v>
      </c>
    </row>
    <row r="25" spans="2:31" x14ac:dyDescent="0.25">
      <c r="R25" s="37"/>
      <c r="W25" s="143">
        <v>42426</v>
      </c>
      <c r="X25" s="12">
        <v>9.4</v>
      </c>
      <c r="Y25" s="12">
        <v>9.4</v>
      </c>
      <c r="Z25" s="12">
        <v>9.2899999999999991</v>
      </c>
      <c r="AA25" s="12">
        <v>9.2899999999999991</v>
      </c>
      <c r="AB25" s="105">
        <v>18600</v>
      </c>
      <c r="AC25" s="12">
        <v>9.2899999999999991</v>
      </c>
      <c r="AD25" s="2">
        <f t="shared" si="1"/>
        <v>0.11000000000000121</v>
      </c>
      <c r="AE25" s="148">
        <f t="shared" si="2"/>
        <v>-1.0752688172044333E-3</v>
      </c>
    </row>
    <row r="26" spans="2:31" x14ac:dyDescent="0.25">
      <c r="R26" s="37"/>
      <c r="W26" s="143">
        <v>42425</v>
      </c>
      <c r="X26" s="12">
        <v>9.25</v>
      </c>
      <c r="Y26" s="12">
        <v>9.3000000000000007</v>
      </c>
      <c r="Z26" s="12">
        <v>9.2100000000000009</v>
      </c>
      <c r="AA26" s="12">
        <v>9.3000000000000007</v>
      </c>
      <c r="AB26" s="105">
        <v>7300</v>
      </c>
      <c r="AC26" s="12">
        <v>9.3000000000000007</v>
      </c>
      <c r="AD26" s="2">
        <f t="shared" si="1"/>
        <v>8.9999999999999858E-2</v>
      </c>
      <c r="AE26" s="148">
        <f t="shared" si="2"/>
        <v>5.4054054054055722E-3</v>
      </c>
    </row>
    <row r="27" spans="2:31" x14ac:dyDescent="0.25">
      <c r="R27" s="37"/>
      <c r="W27" s="143">
        <v>42424</v>
      </c>
      <c r="X27" s="12">
        <v>9.16</v>
      </c>
      <c r="Y27" s="12">
        <v>9.25</v>
      </c>
      <c r="Z27" s="12">
        <v>9.09</v>
      </c>
      <c r="AA27" s="12">
        <v>9.25</v>
      </c>
      <c r="AB27" s="105">
        <v>8500</v>
      </c>
      <c r="AC27" s="12">
        <v>9.25</v>
      </c>
      <c r="AD27" s="2">
        <f t="shared" si="1"/>
        <v>0.16000000000000014</v>
      </c>
      <c r="AE27" s="148">
        <f t="shared" si="2"/>
        <v>1.0928961748633892E-2</v>
      </c>
    </row>
    <row r="28" spans="2:31" x14ac:dyDescent="0.25">
      <c r="W28" s="143">
        <v>42423</v>
      </c>
      <c r="X28" s="12">
        <v>9.2100000000000009</v>
      </c>
      <c r="Y28" s="12">
        <v>9.2100000000000009</v>
      </c>
      <c r="Z28" s="12">
        <v>9.1</v>
      </c>
      <c r="AA28" s="12">
        <v>9.15</v>
      </c>
      <c r="AB28" s="105">
        <v>9100</v>
      </c>
      <c r="AC28" s="12">
        <v>9.15</v>
      </c>
      <c r="AD28" s="2">
        <f t="shared" si="1"/>
        <v>0.11000000000000121</v>
      </c>
      <c r="AE28" s="148">
        <f t="shared" si="2"/>
        <v>7.7092511013217013E-3</v>
      </c>
    </row>
    <row r="29" spans="2:31" x14ac:dyDescent="0.25">
      <c r="W29" s="143">
        <v>42422</v>
      </c>
      <c r="X29" s="12">
        <v>9.0500000000000007</v>
      </c>
      <c r="Y29" s="12">
        <v>9.08</v>
      </c>
      <c r="Z29" s="12">
        <v>8.99</v>
      </c>
      <c r="AA29" s="12">
        <v>9.08</v>
      </c>
      <c r="AB29" s="105">
        <v>7400</v>
      </c>
      <c r="AC29" s="12">
        <v>9.08</v>
      </c>
      <c r="AD29" s="2">
        <f t="shared" si="1"/>
        <v>8.9999999999999858E-2</v>
      </c>
      <c r="AE29" s="148">
        <f t="shared" si="2"/>
        <v>3.1818181818181746E-2</v>
      </c>
    </row>
    <row r="30" spans="2:31" x14ac:dyDescent="0.25">
      <c r="W30" s="143">
        <v>42419</v>
      </c>
      <c r="X30" s="12">
        <v>8.76</v>
      </c>
      <c r="Y30" s="12">
        <v>8.8000000000000007</v>
      </c>
      <c r="Z30" s="12">
        <v>8.75</v>
      </c>
      <c r="AA30" s="12">
        <v>8.8000000000000007</v>
      </c>
      <c r="AB30" s="105">
        <v>3400</v>
      </c>
      <c r="AC30" s="12">
        <v>8.8000000000000007</v>
      </c>
      <c r="AD30" s="2">
        <f t="shared" si="1"/>
        <v>5.0000000000000711E-2</v>
      </c>
      <c r="AE30" s="148">
        <f t="shared" si="2"/>
        <v>-2.1134593993325845E-2</v>
      </c>
    </row>
    <row r="31" spans="2:31" x14ac:dyDescent="0.25">
      <c r="W31" s="143">
        <v>42418</v>
      </c>
      <c r="X31" s="12">
        <v>9.11</v>
      </c>
      <c r="Y31" s="12">
        <v>9.11</v>
      </c>
      <c r="Z31" s="12">
        <v>8.89</v>
      </c>
      <c r="AA31" s="12">
        <v>8.99</v>
      </c>
      <c r="AB31" s="105">
        <v>13200</v>
      </c>
      <c r="AC31" s="12">
        <v>8.99</v>
      </c>
      <c r="AD31" s="2">
        <f t="shared" si="1"/>
        <v>0.21999999999999886</v>
      </c>
      <c r="AE31" s="148">
        <f t="shared" si="2"/>
        <v>4.4692737430167551E-3</v>
      </c>
    </row>
    <row r="32" spans="2:31" x14ac:dyDescent="0.25">
      <c r="W32" s="143">
        <v>42417</v>
      </c>
      <c r="X32" s="12">
        <v>8.9</v>
      </c>
      <c r="Y32" s="12">
        <v>8.98</v>
      </c>
      <c r="Z32" s="12">
        <v>8.9</v>
      </c>
      <c r="AA32" s="12">
        <v>8.9499999999999993</v>
      </c>
      <c r="AB32" s="105">
        <v>5900</v>
      </c>
      <c r="AC32" s="12">
        <v>8.9499999999999993</v>
      </c>
      <c r="AD32" s="2">
        <f t="shared" si="1"/>
        <v>8.0000000000000071E-2</v>
      </c>
      <c r="AE32" s="148">
        <f t="shared" si="2"/>
        <v>-5.5555555555556468E-3</v>
      </c>
    </row>
    <row r="33" spans="15:31" x14ac:dyDescent="0.25">
      <c r="W33" s="143">
        <v>42416</v>
      </c>
      <c r="X33" s="12">
        <v>8.99</v>
      </c>
      <c r="Y33" s="12">
        <v>9.01</v>
      </c>
      <c r="Z33" s="12">
        <v>8.9600000000000009</v>
      </c>
      <c r="AA33" s="12">
        <v>9</v>
      </c>
      <c r="AB33" s="105">
        <v>11800</v>
      </c>
      <c r="AC33" s="12">
        <v>9</v>
      </c>
      <c r="AD33" s="2">
        <f t="shared" si="1"/>
        <v>4.9999999999998934E-2</v>
      </c>
      <c r="AE33" s="148">
        <f t="shared" si="2"/>
        <v>1.2373453318335059E-2</v>
      </c>
    </row>
    <row r="34" spans="15:31" x14ac:dyDescent="0.25">
      <c r="W34" s="143">
        <v>42412</v>
      </c>
      <c r="X34" s="12">
        <v>8.73</v>
      </c>
      <c r="Y34" s="12">
        <v>8.89</v>
      </c>
      <c r="Z34" s="12">
        <v>8.68</v>
      </c>
      <c r="AA34" s="12">
        <v>8.89</v>
      </c>
      <c r="AB34" s="105">
        <v>2500</v>
      </c>
      <c r="AC34" s="12">
        <v>8.89</v>
      </c>
      <c r="AD34" s="2">
        <f t="shared" si="1"/>
        <v>0.21000000000000085</v>
      </c>
      <c r="AE34" s="148">
        <f t="shared" si="2"/>
        <v>2.5374855824682907E-2</v>
      </c>
    </row>
    <row r="35" spans="15:31" x14ac:dyDescent="0.25">
      <c r="W35" s="143">
        <v>42411</v>
      </c>
      <c r="X35" s="12">
        <v>8.66</v>
      </c>
      <c r="Y35" s="12">
        <v>8.74</v>
      </c>
      <c r="Z35" s="12">
        <v>8.61</v>
      </c>
      <c r="AA35" s="12">
        <v>8.67</v>
      </c>
      <c r="AB35" s="105">
        <v>3700</v>
      </c>
      <c r="AC35" s="12">
        <v>8.67</v>
      </c>
      <c r="AD35" s="2">
        <f t="shared" si="1"/>
        <v>0.13000000000000078</v>
      </c>
      <c r="AE35" s="148">
        <f t="shared" si="2"/>
        <v>-2.4746906636670452E-2</v>
      </c>
    </row>
    <row r="36" spans="15:31" x14ac:dyDescent="0.25">
      <c r="W36" s="143">
        <v>42410</v>
      </c>
      <c r="X36" s="12">
        <v>8.9700000000000006</v>
      </c>
      <c r="Y36" s="12">
        <v>8.9700000000000006</v>
      </c>
      <c r="Z36" s="12">
        <v>8.84</v>
      </c>
      <c r="AA36" s="12">
        <v>8.89</v>
      </c>
      <c r="AB36" s="105">
        <v>1400</v>
      </c>
      <c r="AC36" s="12">
        <v>8.89</v>
      </c>
      <c r="AD36" s="2">
        <f t="shared" si="1"/>
        <v>0.13000000000000078</v>
      </c>
      <c r="AE36" s="148">
        <f t="shared" si="2"/>
        <v>0</v>
      </c>
    </row>
    <row r="37" spans="15:31" ht="20.25" thickBot="1" x14ac:dyDescent="0.35">
      <c r="O37" s="420" t="s">
        <v>78</v>
      </c>
      <c r="P37" s="420"/>
      <c r="T37" s="101" t="s">
        <v>116</v>
      </c>
      <c r="W37" s="143">
        <v>42409</v>
      </c>
      <c r="X37" s="12">
        <v>8.82</v>
      </c>
      <c r="Y37" s="12">
        <v>8.93</v>
      </c>
      <c r="Z37" s="12">
        <v>8.81</v>
      </c>
      <c r="AA37" s="12">
        <v>8.89</v>
      </c>
      <c r="AB37" s="105">
        <v>6900</v>
      </c>
      <c r="AC37" s="12">
        <v>8.89</v>
      </c>
      <c r="AD37" s="2">
        <f t="shared" si="1"/>
        <v>0.11999999999999922</v>
      </c>
      <c r="AE37" s="148">
        <f t="shared" si="2"/>
        <v>-1.8763796909492259E-2</v>
      </c>
    </row>
    <row r="38" spans="15:31" ht="15.75" thickTop="1" x14ac:dyDescent="0.25">
      <c r="O38" s="93">
        <v>1.1000000000000001</v>
      </c>
      <c r="P38" s="93">
        <f>O38*$Q$4</f>
        <v>9.6470000000000002</v>
      </c>
      <c r="Q38" s="2"/>
      <c r="T38" s="138" t="s">
        <v>101</v>
      </c>
      <c r="U38" s="108">
        <v>9.2799999999999994</v>
      </c>
      <c r="W38" s="143">
        <v>42408</v>
      </c>
      <c r="X38" s="12">
        <v>9.14</v>
      </c>
      <c r="Y38" s="12">
        <v>9.17</v>
      </c>
      <c r="Z38" s="12">
        <v>8.9</v>
      </c>
      <c r="AA38" s="12">
        <v>9.06</v>
      </c>
      <c r="AB38" s="105">
        <v>30700</v>
      </c>
      <c r="AC38" s="12">
        <v>9.06</v>
      </c>
      <c r="AD38" s="2">
        <f t="shared" si="1"/>
        <v>0.26999999999999957</v>
      </c>
      <c r="AE38" s="148">
        <f t="shared" si="2"/>
        <v>2.8376844494892195E-2</v>
      </c>
    </row>
    <row r="39" spans="15:31" x14ac:dyDescent="0.25">
      <c r="O39" s="93">
        <v>1.0900000000000001</v>
      </c>
      <c r="P39" s="93">
        <f t="shared" ref="P39:P58" si="6">O39*$Q$4</f>
        <v>9.5593000000000004</v>
      </c>
      <c r="Q39" s="2"/>
      <c r="T39" s="103" t="s">
        <v>102</v>
      </c>
      <c r="U39" s="98" t="s">
        <v>134</v>
      </c>
      <c r="W39" s="143">
        <v>42405</v>
      </c>
      <c r="X39" s="12">
        <v>8.92</v>
      </c>
      <c r="Y39" s="12">
        <v>8.92</v>
      </c>
      <c r="Z39" s="12">
        <v>8.7899999999999991</v>
      </c>
      <c r="AA39" s="12">
        <v>8.81</v>
      </c>
      <c r="AB39" s="105">
        <v>5100</v>
      </c>
      <c r="AC39" s="12">
        <v>8.81</v>
      </c>
      <c r="AD39" s="2">
        <f t="shared" si="1"/>
        <v>0.13000000000000078</v>
      </c>
      <c r="AE39" s="148">
        <f t="shared" si="2"/>
        <v>-2.5442477876106095E-2</v>
      </c>
    </row>
    <row r="40" spans="15:31" x14ac:dyDescent="0.25">
      <c r="O40" s="93">
        <v>1.08</v>
      </c>
      <c r="P40" s="93">
        <f t="shared" si="6"/>
        <v>9.4716000000000005</v>
      </c>
      <c r="Q40" s="2"/>
      <c r="T40" s="103" t="s">
        <v>103</v>
      </c>
      <c r="U40" s="98" t="s">
        <v>134</v>
      </c>
      <c r="W40" s="143">
        <v>42404</v>
      </c>
      <c r="X40" s="12">
        <v>8.98</v>
      </c>
      <c r="Y40" s="12">
        <v>9.06</v>
      </c>
      <c r="Z40" s="12">
        <v>8.98</v>
      </c>
      <c r="AA40" s="12">
        <v>9.0399999999999991</v>
      </c>
      <c r="AB40" s="105">
        <v>1800</v>
      </c>
      <c r="AC40" s="12">
        <v>9.0399999999999991</v>
      </c>
      <c r="AD40" s="2">
        <f t="shared" si="1"/>
        <v>8.0000000000000071E-2</v>
      </c>
      <c r="AE40" s="148">
        <f t="shared" si="2"/>
        <v>2.4943310657596252E-2</v>
      </c>
    </row>
    <row r="41" spans="15:31" x14ac:dyDescent="0.25">
      <c r="O41" s="93">
        <v>1.07</v>
      </c>
      <c r="P41" s="93">
        <f t="shared" si="6"/>
        <v>9.3839000000000006</v>
      </c>
      <c r="Q41" s="2"/>
      <c r="T41" s="103" t="s">
        <v>104</v>
      </c>
      <c r="U41" s="98" t="s">
        <v>134</v>
      </c>
      <c r="W41" s="143">
        <v>42403</v>
      </c>
      <c r="X41" s="12">
        <v>8.9</v>
      </c>
      <c r="Y41" s="12">
        <v>8.92</v>
      </c>
      <c r="Z41" s="12">
        <v>8.7200000000000006</v>
      </c>
      <c r="AA41" s="12">
        <v>8.82</v>
      </c>
      <c r="AB41" s="105">
        <v>9100</v>
      </c>
      <c r="AC41" s="12">
        <v>8.82</v>
      </c>
      <c r="AD41" s="2">
        <f t="shared" si="1"/>
        <v>0.19999999999999929</v>
      </c>
      <c r="AE41" s="148">
        <f t="shared" si="2"/>
        <v>-3.076923076923066E-2</v>
      </c>
    </row>
    <row r="42" spans="15:31" x14ac:dyDescent="0.25">
      <c r="O42" s="93">
        <v>1.06</v>
      </c>
      <c r="P42" s="93">
        <f t="shared" si="6"/>
        <v>9.2962000000000007</v>
      </c>
      <c r="Q42" s="2"/>
      <c r="T42" s="103" t="s">
        <v>105</v>
      </c>
      <c r="U42" s="98">
        <v>28</v>
      </c>
      <c r="W42" s="143">
        <v>42402</v>
      </c>
      <c r="X42" s="12">
        <v>9.11</v>
      </c>
      <c r="Y42" s="12">
        <v>9.1300000000000008</v>
      </c>
      <c r="Z42" s="12">
        <v>9.0399999999999991</v>
      </c>
      <c r="AA42" s="12">
        <v>9.1</v>
      </c>
      <c r="AB42" s="105">
        <v>12600</v>
      </c>
      <c r="AC42" s="12">
        <v>9.1</v>
      </c>
      <c r="AD42" s="2">
        <f t="shared" si="1"/>
        <v>9.0000000000001634E-2</v>
      </c>
      <c r="AE42" s="148">
        <f t="shared" si="2"/>
        <v>-2.0452099031216364E-2</v>
      </c>
    </row>
    <row r="43" spans="15:31" x14ac:dyDescent="0.25">
      <c r="O43" s="93">
        <v>1.05</v>
      </c>
      <c r="P43" s="93">
        <f t="shared" si="6"/>
        <v>9.2085000000000008</v>
      </c>
      <c r="Q43" s="2"/>
      <c r="T43" s="103" t="s">
        <v>106</v>
      </c>
      <c r="U43" s="98">
        <v>0.454814</v>
      </c>
      <c r="W43" s="143">
        <v>42401</v>
      </c>
      <c r="X43" s="12">
        <v>9.1999999999999993</v>
      </c>
      <c r="Y43" s="12">
        <v>9.2899999999999991</v>
      </c>
      <c r="Z43" s="12">
        <v>9.1999999999999993</v>
      </c>
      <c r="AA43" s="12">
        <v>9.2899999999999991</v>
      </c>
      <c r="AB43" s="105">
        <v>27100</v>
      </c>
      <c r="AC43" s="12">
        <v>9.2899999999999991</v>
      </c>
      <c r="AD43" s="2">
        <f t="shared" si="1"/>
        <v>8.9999999999999858E-2</v>
      </c>
      <c r="AE43" s="148">
        <f t="shared" si="2"/>
        <v>9.7826086956520619E-3</v>
      </c>
    </row>
    <row r="44" spans="15:31" x14ac:dyDescent="0.25">
      <c r="O44" s="93">
        <v>1.04</v>
      </c>
      <c r="P44" s="93">
        <f t="shared" si="6"/>
        <v>9.1207999999999991</v>
      </c>
      <c r="Q44" s="2"/>
      <c r="T44" s="103" t="s">
        <v>107</v>
      </c>
      <c r="U44" s="98" t="s">
        <v>134</v>
      </c>
      <c r="W44" s="143">
        <v>42398</v>
      </c>
      <c r="X44" s="12">
        <v>8.85</v>
      </c>
      <c r="Y44" s="12">
        <v>9.1999999999999993</v>
      </c>
      <c r="Z44" s="12">
        <v>8.6</v>
      </c>
      <c r="AA44" s="12">
        <v>9.1999999999999993</v>
      </c>
      <c r="AB44" s="105">
        <v>30500</v>
      </c>
      <c r="AC44" s="12">
        <v>9.1999999999999993</v>
      </c>
      <c r="AD44" s="2">
        <f t="shared" si="1"/>
        <v>0.59999999999999964</v>
      </c>
      <c r="AE44" s="148">
        <f t="shared" si="2"/>
        <v>7.6670317634170981E-3</v>
      </c>
    </row>
    <row r="45" spans="15:31" x14ac:dyDescent="0.25">
      <c r="O45" s="93">
        <v>1.03</v>
      </c>
      <c r="P45" s="93">
        <f t="shared" si="6"/>
        <v>9.0330999999999992</v>
      </c>
      <c r="Q45" s="2"/>
      <c r="T45" s="103"/>
      <c r="U45" s="98"/>
      <c r="W45" s="143">
        <v>42397</v>
      </c>
      <c r="X45" s="12">
        <v>9.31</v>
      </c>
      <c r="Y45" s="12">
        <v>9.31</v>
      </c>
      <c r="Z45" s="12">
        <v>9.06</v>
      </c>
      <c r="AA45" s="12">
        <v>9.1300000000000008</v>
      </c>
      <c r="AB45" s="105">
        <v>48600</v>
      </c>
      <c r="AC45" s="12">
        <v>9.1300000000000008</v>
      </c>
      <c r="AD45" s="2">
        <f t="shared" si="1"/>
        <v>0.25</v>
      </c>
      <c r="AE45" s="148">
        <f t="shared" si="2"/>
        <v>0.10000000000000009</v>
      </c>
    </row>
    <row r="46" spans="15:31" x14ac:dyDescent="0.25">
      <c r="O46" s="93">
        <v>1.02</v>
      </c>
      <c r="P46" s="93">
        <f t="shared" si="6"/>
        <v>8.9453999999999994</v>
      </c>
      <c r="Q46" s="2"/>
      <c r="T46" s="103" t="s">
        <v>108</v>
      </c>
      <c r="U46" s="98" t="s">
        <v>302</v>
      </c>
      <c r="W46" s="143">
        <v>42396</v>
      </c>
      <c r="X46" s="12">
        <v>7.91</v>
      </c>
      <c r="Y46" s="12">
        <v>8.4</v>
      </c>
      <c r="Z46" s="12">
        <v>7.91</v>
      </c>
      <c r="AA46" s="12">
        <v>8.3000000000000007</v>
      </c>
      <c r="AB46" s="105">
        <v>7500</v>
      </c>
      <c r="AC46" s="12">
        <v>8.3000000000000007</v>
      </c>
      <c r="AD46" s="2">
        <f t="shared" si="1"/>
        <v>0.49000000000000021</v>
      </c>
      <c r="AE46" s="148">
        <f t="shared" si="2"/>
        <v>2.091020910209096E-2</v>
      </c>
    </row>
    <row r="47" spans="15:31" x14ac:dyDescent="0.25">
      <c r="O47" s="93">
        <v>1.01</v>
      </c>
      <c r="P47" s="93">
        <f t="shared" si="6"/>
        <v>8.8576999999999995</v>
      </c>
      <c r="Q47" s="2"/>
      <c r="T47" s="103" t="s">
        <v>109</v>
      </c>
      <c r="U47" s="98" t="s">
        <v>288</v>
      </c>
      <c r="W47" s="143">
        <v>42395</v>
      </c>
      <c r="X47" s="12">
        <v>8.06</v>
      </c>
      <c r="Y47" s="12">
        <v>8.14</v>
      </c>
      <c r="Z47" s="12">
        <v>8.01</v>
      </c>
      <c r="AA47" s="12">
        <v>8.1300000000000008</v>
      </c>
      <c r="AB47" s="105">
        <v>2300</v>
      </c>
      <c r="AC47" s="12">
        <v>8.1300000000000008</v>
      </c>
      <c r="AD47" s="2">
        <f t="shared" si="1"/>
        <v>0.13000000000000078</v>
      </c>
      <c r="AE47" s="148">
        <f t="shared" si="2"/>
        <v>2.4660912453762229E-3</v>
      </c>
    </row>
    <row r="48" spans="15:31" x14ac:dyDescent="0.25">
      <c r="O48" s="93">
        <v>1</v>
      </c>
      <c r="P48" s="93">
        <f t="shared" si="6"/>
        <v>8.77</v>
      </c>
      <c r="Q48" s="2"/>
      <c r="T48" s="103" t="s">
        <v>110</v>
      </c>
      <c r="U48" s="100">
        <v>0</v>
      </c>
      <c r="W48" s="143">
        <v>42394</v>
      </c>
      <c r="X48" s="12">
        <v>8.1199999999999992</v>
      </c>
      <c r="Y48" s="12">
        <v>8.1999999999999993</v>
      </c>
      <c r="Z48" s="12">
        <v>8.01</v>
      </c>
      <c r="AA48" s="12">
        <v>8.11</v>
      </c>
      <c r="AB48" s="105">
        <v>13400</v>
      </c>
      <c r="AC48" s="12">
        <v>8.11</v>
      </c>
      <c r="AD48" s="2">
        <f t="shared" si="1"/>
        <v>0.1899999999999995</v>
      </c>
      <c r="AE48" s="148">
        <f t="shared" si="2"/>
        <v>-2.2891566265060392E-2</v>
      </c>
    </row>
    <row r="49" spans="15:31" x14ac:dyDescent="0.25">
      <c r="O49" s="93">
        <v>0.99</v>
      </c>
      <c r="P49" s="93">
        <f t="shared" si="6"/>
        <v>8.6822999999999997</v>
      </c>
      <c r="Q49" s="2"/>
      <c r="T49" s="103" t="s">
        <v>113</v>
      </c>
      <c r="U49" s="100">
        <v>20420</v>
      </c>
      <c r="W49" s="143">
        <v>42391</v>
      </c>
      <c r="X49" s="12">
        <v>8.19</v>
      </c>
      <c r="Y49" s="12">
        <v>8.3000000000000007</v>
      </c>
      <c r="Z49" s="12">
        <v>8.19</v>
      </c>
      <c r="AA49" s="12">
        <v>8.3000000000000007</v>
      </c>
      <c r="AB49" s="105">
        <v>16000</v>
      </c>
      <c r="AC49" s="12">
        <v>8.3000000000000007</v>
      </c>
      <c r="AD49" s="2">
        <f t="shared" si="1"/>
        <v>0.11000000000000121</v>
      </c>
      <c r="AE49" s="148">
        <f t="shared" si="2"/>
        <v>3.2338308457711573E-2</v>
      </c>
    </row>
    <row r="50" spans="15:31" x14ac:dyDescent="0.25">
      <c r="O50" s="93">
        <v>0.98</v>
      </c>
      <c r="P50" s="93">
        <f t="shared" si="6"/>
        <v>8.5945999999999998</v>
      </c>
      <c r="Q50" s="2"/>
      <c r="T50" s="103" t="s">
        <v>111</v>
      </c>
      <c r="U50" s="98" t="s">
        <v>342</v>
      </c>
      <c r="W50" s="143">
        <v>42390</v>
      </c>
      <c r="X50" s="12">
        <v>7.96</v>
      </c>
      <c r="Y50" s="12">
        <v>8.1199999999999992</v>
      </c>
      <c r="Z50" s="12">
        <v>7.95</v>
      </c>
      <c r="AA50" s="12">
        <v>8.0399999999999991</v>
      </c>
      <c r="AB50" s="105">
        <v>9400</v>
      </c>
      <c r="AC50" s="12">
        <v>8.0399999999999991</v>
      </c>
      <c r="AD50" s="2">
        <f t="shared" si="1"/>
        <v>0.16999999999999904</v>
      </c>
      <c r="AE50" s="148">
        <f t="shared" si="2"/>
        <v>1.7721518987341645E-2</v>
      </c>
    </row>
    <row r="51" spans="15:31" x14ac:dyDescent="0.25">
      <c r="O51" s="93">
        <v>0.97</v>
      </c>
      <c r="P51" s="93">
        <f t="shared" si="6"/>
        <v>8.5068999999999999</v>
      </c>
      <c r="T51" s="103" t="s">
        <v>114</v>
      </c>
      <c r="U51" s="98">
        <v>27.62</v>
      </c>
      <c r="W51" s="143">
        <v>42389</v>
      </c>
      <c r="X51" s="12">
        <v>7.95</v>
      </c>
      <c r="Y51" s="12">
        <v>7.96</v>
      </c>
      <c r="Z51" s="12">
        <v>7.74</v>
      </c>
      <c r="AA51" s="12">
        <v>7.9</v>
      </c>
      <c r="AB51" s="105">
        <v>6000</v>
      </c>
      <c r="AC51" s="12">
        <v>7.9</v>
      </c>
      <c r="AD51" s="2">
        <f t="shared" si="1"/>
        <v>0.21999999999999975</v>
      </c>
      <c r="AE51" s="148">
        <f t="shared" si="2"/>
        <v>-4.0097205346294018E-2</v>
      </c>
    </row>
    <row r="52" spans="15:31" x14ac:dyDescent="0.25">
      <c r="O52" s="93">
        <v>0.96</v>
      </c>
      <c r="P52" s="93">
        <f t="shared" si="6"/>
        <v>8.4192</v>
      </c>
      <c r="T52" s="103" t="s">
        <v>115</v>
      </c>
      <c r="U52" s="98">
        <v>0.34</v>
      </c>
      <c r="W52" s="143">
        <v>42388</v>
      </c>
      <c r="X52" s="12">
        <v>8.32</v>
      </c>
      <c r="Y52" s="12">
        <v>8.33</v>
      </c>
      <c r="Z52" s="12">
        <v>8.16</v>
      </c>
      <c r="AA52" s="12">
        <v>8.23</v>
      </c>
      <c r="AB52" s="105">
        <v>24100</v>
      </c>
      <c r="AC52" s="12">
        <v>8.23</v>
      </c>
      <c r="AD52" s="2">
        <f t="shared" si="1"/>
        <v>0.16999999999999993</v>
      </c>
      <c r="AE52" s="148">
        <f t="shared" si="2"/>
        <v>3.7831021437578993E-2</v>
      </c>
    </row>
    <row r="53" spans="15:31" x14ac:dyDescent="0.25">
      <c r="O53" s="93">
        <v>0.95</v>
      </c>
      <c r="P53" s="93">
        <f t="shared" si="6"/>
        <v>8.3314999999999984</v>
      </c>
      <c r="T53" s="103" t="s">
        <v>112</v>
      </c>
      <c r="U53" s="98" t="s">
        <v>343</v>
      </c>
      <c r="W53" s="143">
        <v>42384</v>
      </c>
      <c r="X53" s="12">
        <v>7.93</v>
      </c>
      <c r="Y53" s="12">
        <v>7.98</v>
      </c>
      <c r="Z53" s="12">
        <v>7.9</v>
      </c>
      <c r="AA53" s="12">
        <v>7.93</v>
      </c>
      <c r="AB53" s="105">
        <v>7000</v>
      </c>
      <c r="AC53" s="12">
        <v>7.93</v>
      </c>
      <c r="AD53" s="2">
        <f t="shared" si="1"/>
        <v>8.0000000000000071E-2</v>
      </c>
      <c r="AE53" s="148">
        <f t="shared" si="2"/>
        <v>-4.2270531400966149E-2</v>
      </c>
    </row>
    <row r="54" spans="15:31" x14ac:dyDescent="0.25">
      <c r="O54" s="93">
        <v>0.94</v>
      </c>
      <c r="P54" s="93">
        <f t="shared" si="6"/>
        <v>8.2437999999999985</v>
      </c>
      <c r="W54" s="143">
        <v>42383</v>
      </c>
      <c r="X54" s="12">
        <v>8.14</v>
      </c>
      <c r="Y54" s="12">
        <v>8.34</v>
      </c>
      <c r="Z54" s="12">
        <v>8.1300000000000008</v>
      </c>
      <c r="AA54" s="12">
        <v>8.2799999999999994</v>
      </c>
      <c r="AB54" s="105">
        <v>31100</v>
      </c>
      <c r="AC54" s="12">
        <v>8.2799999999999994</v>
      </c>
      <c r="AD54" s="2">
        <f t="shared" si="1"/>
        <v>0.20999999999999908</v>
      </c>
      <c r="AE54" s="148">
        <f t="shared" si="2"/>
        <v>2.4752475247524774E-2</v>
      </c>
    </row>
    <row r="55" spans="15:31" x14ac:dyDescent="0.25">
      <c r="O55" s="93">
        <v>0.93</v>
      </c>
      <c r="P55" s="93">
        <f t="shared" si="6"/>
        <v>8.1561000000000003</v>
      </c>
      <c r="W55" s="143">
        <v>42382</v>
      </c>
      <c r="X55" s="12">
        <v>8.27</v>
      </c>
      <c r="Y55" s="12">
        <v>8.27</v>
      </c>
      <c r="Z55" s="12">
        <v>8.06</v>
      </c>
      <c r="AA55" s="12">
        <v>8.08</v>
      </c>
      <c r="AB55" s="105">
        <v>18800</v>
      </c>
      <c r="AC55" s="12">
        <v>8.08</v>
      </c>
      <c r="AD55" s="2">
        <f t="shared" si="1"/>
        <v>0.20999999999999908</v>
      </c>
      <c r="AE55" s="148">
        <f t="shared" si="2"/>
        <v>-7.3710073710073765E-3</v>
      </c>
    </row>
    <row r="56" spans="15:31" x14ac:dyDescent="0.25">
      <c r="O56" s="93">
        <v>0.92</v>
      </c>
      <c r="P56" s="93">
        <f t="shared" si="6"/>
        <v>8.0684000000000005</v>
      </c>
      <c r="W56" s="143">
        <v>42381</v>
      </c>
      <c r="X56" s="12">
        <v>8.16</v>
      </c>
      <c r="Y56" s="12">
        <v>8.2100000000000009</v>
      </c>
      <c r="Z56" s="12">
        <v>8.07</v>
      </c>
      <c r="AA56" s="12">
        <v>8.14</v>
      </c>
      <c r="AB56" s="105">
        <v>18200</v>
      </c>
      <c r="AC56" s="12">
        <v>8.14</v>
      </c>
      <c r="AD56" s="2">
        <f t="shared" si="1"/>
        <v>0.14000000000000057</v>
      </c>
      <c r="AE56" s="148">
        <f t="shared" si="2"/>
        <v>2.518891687657443E-2</v>
      </c>
    </row>
    <row r="57" spans="15:31" x14ac:dyDescent="0.25">
      <c r="O57" s="93">
        <v>0.91</v>
      </c>
      <c r="P57" s="93">
        <f t="shared" si="6"/>
        <v>7.9806999999999997</v>
      </c>
      <c r="W57" s="143">
        <v>42380</v>
      </c>
      <c r="X57" s="12">
        <v>7.93</v>
      </c>
      <c r="Y57" s="12">
        <v>8.02</v>
      </c>
      <c r="Z57" s="12">
        <v>7.65</v>
      </c>
      <c r="AA57" s="12">
        <v>7.94</v>
      </c>
      <c r="AB57" s="105">
        <v>22000</v>
      </c>
      <c r="AC57" s="12">
        <v>7.94</v>
      </c>
      <c r="AD57" s="2">
        <f t="shared" si="1"/>
        <v>0.36999999999999922</v>
      </c>
      <c r="AE57" s="148">
        <f t="shared" si="2"/>
        <v>1.1464968152866239E-2</v>
      </c>
    </row>
    <row r="58" spans="15:31" x14ac:dyDescent="0.25">
      <c r="O58" s="93">
        <v>0.9</v>
      </c>
      <c r="P58" s="93">
        <f t="shared" si="6"/>
        <v>7.8929999999999998</v>
      </c>
      <c r="W58" s="143">
        <v>42377</v>
      </c>
      <c r="X58" s="12">
        <v>8</v>
      </c>
      <c r="Y58" s="12">
        <v>8.02</v>
      </c>
      <c r="Z58" s="12">
        <v>7.85</v>
      </c>
      <c r="AA58" s="12">
        <v>7.85</v>
      </c>
      <c r="AB58" s="105">
        <v>10700</v>
      </c>
      <c r="AC58" s="12">
        <v>7.85</v>
      </c>
      <c r="AD58" s="2">
        <f t="shared" si="1"/>
        <v>0.16999999999999993</v>
      </c>
      <c r="AE58" s="148">
        <f t="shared" si="2"/>
        <v>6.4102564102563875E-3</v>
      </c>
    </row>
    <row r="59" spans="15:31" x14ac:dyDescent="0.25">
      <c r="O59" s="37"/>
      <c r="W59" s="143">
        <v>42376</v>
      </c>
      <c r="X59" s="12">
        <v>7.89</v>
      </c>
      <c r="Y59" s="12">
        <v>7.94</v>
      </c>
      <c r="Z59" s="12">
        <v>7.76</v>
      </c>
      <c r="AA59" s="12">
        <v>7.8</v>
      </c>
      <c r="AB59" s="105">
        <v>32000</v>
      </c>
      <c r="AC59" s="12">
        <v>7.8</v>
      </c>
      <c r="AD59" s="2">
        <f t="shared" si="1"/>
        <v>0.1800000000000006</v>
      </c>
      <c r="AE59" s="148">
        <f t="shared" si="2"/>
        <v>-2.5000000000000022E-2</v>
      </c>
    </row>
    <row r="60" spans="15:31" x14ac:dyDescent="0.25">
      <c r="W60" s="143">
        <v>42375</v>
      </c>
      <c r="X60" s="12">
        <v>8.02</v>
      </c>
      <c r="Y60" s="12">
        <v>8.07</v>
      </c>
      <c r="Z60" s="12">
        <v>7.98</v>
      </c>
      <c r="AA60" s="12">
        <v>8</v>
      </c>
      <c r="AB60" s="105">
        <v>16300</v>
      </c>
      <c r="AC60" s="12">
        <v>8</v>
      </c>
      <c r="AD60" s="2">
        <f t="shared" si="1"/>
        <v>8.9999999999999858E-2</v>
      </c>
      <c r="AE60" s="148">
        <f t="shared" si="2"/>
        <v>-3.3816425120772875E-2</v>
      </c>
    </row>
    <row r="61" spans="15:31" x14ac:dyDescent="0.25">
      <c r="W61" s="143">
        <v>42374</v>
      </c>
      <c r="X61" s="12">
        <v>8.17</v>
      </c>
      <c r="Y61" s="12">
        <v>8.2799999999999994</v>
      </c>
      <c r="Z61" s="12">
        <v>8.17</v>
      </c>
      <c r="AA61" s="12">
        <v>8.2799999999999994</v>
      </c>
      <c r="AB61" s="105">
        <v>19100</v>
      </c>
      <c r="AC61" s="12">
        <v>8.2799999999999994</v>
      </c>
      <c r="AD61" s="2">
        <f t="shared" si="1"/>
        <v>0.10999999999999943</v>
      </c>
      <c r="AE61" s="148">
        <f t="shared" si="2"/>
        <v>4.5454545454545414E-2</v>
      </c>
    </row>
    <row r="62" spans="15:31" x14ac:dyDescent="0.25">
      <c r="W62" s="143">
        <v>42373</v>
      </c>
      <c r="X62" s="12">
        <v>7.96</v>
      </c>
      <c r="Y62" s="12">
        <v>7.97</v>
      </c>
      <c r="Z62" s="12">
        <v>7.85</v>
      </c>
      <c r="AA62" s="12">
        <v>7.92</v>
      </c>
      <c r="AB62" s="105">
        <v>16900</v>
      </c>
      <c r="AC62" s="12">
        <v>7.92</v>
      </c>
      <c r="AD62" s="2">
        <f t="shared" si="1"/>
        <v>0.12000000000000011</v>
      </c>
      <c r="AE62" s="148">
        <f t="shared" si="2"/>
        <v>-4.5783132530120563E-2</v>
      </c>
    </row>
    <row r="63" spans="15:31" x14ac:dyDescent="0.25">
      <c r="W63" s="143">
        <v>42369</v>
      </c>
      <c r="X63" s="12">
        <v>8.26</v>
      </c>
      <c r="Y63" s="12">
        <v>8.35</v>
      </c>
      <c r="Z63" s="12">
        <v>8.26</v>
      </c>
      <c r="AA63" s="12">
        <v>8.3000000000000007</v>
      </c>
      <c r="AB63" s="105">
        <v>14700</v>
      </c>
      <c r="AC63" s="12">
        <v>8.3000000000000007</v>
      </c>
      <c r="AD63" s="2">
        <f t="shared" si="1"/>
        <v>8.9999999999999858E-2</v>
      </c>
      <c r="AE63" s="148">
        <f t="shared" si="2"/>
        <v>-5.9880239520956335E-3</v>
      </c>
    </row>
    <row r="64" spans="15:31" x14ac:dyDescent="0.25">
      <c r="W64" s="143">
        <v>42368</v>
      </c>
      <c r="X64" s="12">
        <v>8.36</v>
      </c>
      <c r="Y64" s="12">
        <v>8.43</v>
      </c>
      <c r="Z64" s="12">
        <v>8.33</v>
      </c>
      <c r="AA64" s="12">
        <v>8.35</v>
      </c>
      <c r="AB64" s="105">
        <v>4700</v>
      </c>
      <c r="AC64" s="12">
        <v>8.35</v>
      </c>
      <c r="AD64" s="2">
        <f t="shared" si="1"/>
        <v>9.9999999999999645E-2</v>
      </c>
      <c r="AE64" s="148">
        <f t="shared" si="2"/>
        <v>-2.4532710280373959E-2</v>
      </c>
    </row>
    <row r="65" spans="23:31" x14ac:dyDescent="0.25">
      <c r="W65" s="143">
        <v>42367</v>
      </c>
      <c r="X65" s="12">
        <v>8.5500000000000007</v>
      </c>
      <c r="Y65" s="12">
        <v>8.59</v>
      </c>
      <c r="Z65" s="12">
        <v>8.5399999999999991</v>
      </c>
      <c r="AA65" s="12">
        <v>8.56</v>
      </c>
      <c r="AB65" s="105">
        <v>6600</v>
      </c>
      <c r="AC65" s="12">
        <v>8.56</v>
      </c>
      <c r="AD65" s="2">
        <f t="shared" si="1"/>
        <v>5.0000000000000711E-2</v>
      </c>
      <c r="AE65" s="148">
        <f t="shared" si="2"/>
        <v>1.542111506524324E-2</v>
      </c>
    </row>
    <row r="66" spans="23:31" x14ac:dyDescent="0.25">
      <c r="W66" s="143">
        <v>42366</v>
      </c>
      <c r="X66" s="12">
        <v>8.44</v>
      </c>
      <c r="Y66" s="12">
        <v>8.44</v>
      </c>
      <c r="Z66" s="12">
        <v>8.4</v>
      </c>
      <c r="AA66" s="12">
        <v>8.43</v>
      </c>
      <c r="AB66" s="105">
        <v>3300</v>
      </c>
      <c r="AC66" s="12">
        <v>8.43</v>
      </c>
      <c r="AD66" s="2">
        <f t="shared" si="1"/>
        <v>3.9999999999999147E-2</v>
      </c>
      <c r="AE66" s="148">
        <f t="shared" si="2"/>
        <v>-3.5460992907803135E-3</v>
      </c>
    </row>
    <row r="67" spans="23:31" x14ac:dyDescent="0.25">
      <c r="W67" s="143">
        <v>42362</v>
      </c>
      <c r="X67" s="12">
        <v>8.52</v>
      </c>
      <c r="Y67" s="12">
        <v>8.52</v>
      </c>
      <c r="Z67" s="12">
        <v>8.4600000000000009</v>
      </c>
      <c r="AA67" s="12">
        <v>8.4600000000000009</v>
      </c>
      <c r="AB67" s="105">
        <v>2200</v>
      </c>
      <c r="AC67" s="12">
        <v>8.4600000000000009</v>
      </c>
      <c r="AD67" s="2">
        <f t="shared" ref="AD67:AD68" si="7">Y67-Z67</f>
        <v>5.9999999999998721E-2</v>
      </c>
      <c r="AE67" s="148" t="e">
        <f t="shared" ref="AE67:AE68" si="8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37" priority="12">
      <formula>Q7&gt;0</formula>
    </cfRule>
    <cfRule type="expression" dxfId="136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35" priority="5">
      <formula>F15&gt;0</formula>
    </cfRule>
    <cfRule type="expression" dxfId="134" priority="6">
      <formula>F15&lt;0</formula>
    </cfRule>
  </conditionalFormatting>
  <conditionalFormatting sqref="F16:F17">
    <cfRule type="expression" dxfId="133" priority="3">
      <formula>F16&gt;0</formula>
    </cfRule>
    <cfRule type="expression" dxfId="132" priority="4">
      <formula>F16&lt;0</formula>
    </cfRule>
  </conditionalFormatting>
  <conditionalFormatting sqref="H15:H17">
    <cfRule type="expression" dxfId="131" priority="1">
      <formula>H15&gt;0</formula>
    </cfRule>
    <cfRule type="expression" dxfId="13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42460</v>
      </c>
      <c r="X2" s="12">
        <v>157.02000000000001</v>
      </c>
      <c r="Y2" s="12">
        <v>157.37</v>
      </c>
      <c r="Z2" s="12">
        <v>154.44999999999999</v>
      </c>
      <c r="AA2" s="12">
        <v>154.5</v>
      </c>
      <c r="AB2" s="105">
        <v>2489600</v>
      </c>
      <c r="AC2" s="12">
        <v>154.5</v>
      </c>
      <c r="AD2" s="2">
        <f>Y2-Z2</f>
        <v>2.9200000000000159</v>
      </c>
      <c r="AE2" s="148">
        <f>AC2/AC3-1</f>
        <v>-1.5484610973045321E-2</v>
      </c>
    </row>
    <row r="3" spans="1:31" x14ac:dyDescent="0.25">
      <c r="A3" s="26" t="s">
        <v>71</v>
      </c>
      <c r="B3" s="419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157.80000000000001</v>
      </c>
      <c r="T3" s="71"/>
      <c r="W3" s="143">
        <v>42459</v>
      </c>
      <c r="X3" s="12">
        <v>155</v>
      </c>
      <c r="Y3" s="12">
        <v>157.28</v>
      </c>
      <c r="Z3" s="12">
        <v>154.54</v>
      </c>
      <c r="AA3" s="12">
        <v>156.93</v>
      </c>
      <c r="AB3" s="105">
        <v>2672700</v>
      </c>
      <c r="AC3" s="12">
        <v>156.93</v>
      </c>
      <c r="AD3" s="2">
        <f t="shared" ref="AD3:AD66" si="1">Y3-Z3</f>
        <v>2.7400000000000091</v>
      </c>
      <c r="AE3" s="148">
        <f t="shared" ref="AE3:AE66" si="2">AC3/AC4-1</f>
        <v>1.816648283916189E-2</v>
      </c>
    </row>
    <row r="4" spans="1:31" x14ac:dyDescent="0.25">
      <c r="B4" s="419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157.80000000000001</v>
      </c>
      <c r="T4" s="71"/>
      <c r="W4" s="143">
        <v>42458</v>
      </c>
      <c r="X4" s="12">
        <v>153.27000000000001</v>
      </c>
      <c r="Y4" s="12">
        <v>154.93</v>
      </c>
      <c r="Z4" s="12">
        <v>152.18</v>
      </c>
      <c r="AA4" s="12">
        <v>154.13</v>
      </c>
      <c r="AB4" s="105">
        <v>2676500</v>
      </c>
      <c r="AC4" s="12">
        <v>154.13</v>
      </c>
      <c r="AD4" s="2">
        <f t="shared" si="1"/>
        <v>2.75</v>
      </c>
      <c r="AE4" s="148">
        <f t="shared" si="2"/>
        <v>6.727629000653268E-3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42457</v>
      </c>
      <c r="X5" s="12">
        <v>153.28</v>
      </c>
      <c r="Y5" s="12">
        <v>153.5</v>
      </c>
      <c r="Z5" s="12">
        <v>152.07</v>
      </c>
      <c r="AA5" s="12">
        <v>153.1</v>
      </c>
      <c r="AB5" s="105">
        <v>1720000</v>
      </c>
      <c r="AC5" s="12">
        <v>153.1</v>
      </c>
      <c r="AD5" s="2">
        <f t="shared" si="1"/>
        <v>1.4300000000000068</v>
      </c>
      <c r="AE5" s="148">
        <f t="shared" si="2"/>
        <v>6.5359477124182774E-4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42453</v>
      </c>
      <c r="X6" s="12">
        <v>151.76</v>
      </c>
      <c r="Y6" s="12">
        <v>153.29</v>
      </c>
      <c r="Z6" s="12">
        <v>151.12</v>
      </c>
      <c r="AA6" s="12">
        <v>153</v>
      </c>
      <c r="AB6" s="105">
        <v>2560700</v>
      </c>
      <c r="AC6" s="12">
        <v>153</v>
      </c>
      <c r="AD6" s="2">
        <f t="shared" si="1"/>
        <v>2.1699999999999875</v>
      </c>
      <c r="AE6" s="148">
        <f t="shared" si="2"/>
        <v>6.5363749264690796E-5</v>
      </c>
    </row>
    <row r="7" spans="1:31" ht="15.75" x14ac:dyDescent="0.25">
      <c r="B7" s="419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178</v>
      </c>
      <c r="T7" s="71"/>
      <c r="W7" s="143">
        <v>42452</v>
      </c>
      <c r="X7" s="12">
        <v>154.82</v>
      </c>
      <c r="Y7" s="12">
        <v>155.32</v>
      </c>
      <c r="Z7" s="12">
        <v>152.34</v>
      </c>
      <c r="AA7" s="12">
        <v>152.99</v>
      </c>
      <c r="AB7" s="105">
        <v>2744000</v>
      </c>
      <c r="AC7" s="12">
        <v>152.99</v>
      </c>
      <c r="AD7" s="2">
        <f t="shared" si="1"/>
        <v>2.9799999999999898</v>
      </c>
      <c r="AE7" s="148">
        <f t="shared" si="2"/>
        <v>-1.1437063840785577E-2</v>
      </c>
    </row>
    <row r="8" spans="1:31" x14ac:dyDescent="0.25">
      <c r="B8" s="423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42451</v>
      </c>
      <c r="X8" s="12">
        <v>152.4</v>
      </c>
      <c r="Y8" s="12">
        <v>155.61000000000001</v>
      </c>
      <c r="Z8" s="12">
        <v>151.55000000000001</v>
      </c>
      <c r="AA8" s="12">
        <v>154.76</v>
      </c>
      <c r="AB8" s="105">
        <v>3389600</v>
      </c>
      <c r="AC8" s="12">
        <v>154.76</v>
      </c>
      <c r="AD8" s="2">
        <f t="shared" si="1"/>
        <v>4.0600000000000023</v>
      </c>
      <c r="AE8" s="148">
        <f t="shared" si="2"/>
        <v>1.2231015762966813E-2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42450</v>
      </c>
      <c r="X9" s="12">
        <v>152.59</v>
      </c>
      <c r="Y9" s="12">
        <v>153</v>
      </c>
      <c r="Z9" s="12">
        <v>150.83000000000001</v>
      </c>
      <c r="AA9" s="12">
        <v>152.88999999999999</v>
      </c>
      <c r="AB9" s="105">
        <v>2816900</v>
      </c>
      <c r="AC9" s="12">
        <v>152.88999999999999</v>
      </c>
      <c r="AD9" s="2">
        <f t="shared" si="1"/>
        <v>2.1699999999999875</v>
      </c>
      <c r="AE9" s="148">
        <f t="shared" si="2"/>
        <v>2.6231228277262542E-3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42447</v>
      </c>
      <c r="X10" s="12">
        <v>151.94</v>
      </c>
      <c r="Y10" s="12">
        <v>153</v>
      </c>
      <c r="Z10" s="12">
        <v>150.87</v>
      </c>
      <c r="AA10" s="12">
        <v>152.49</v>
      </c>
      <c r="AB10" s="105">
        <v>7016400</v>
      </c>
      <c r="AC10" s="12">
        <v>152.49</v>
      </c>
      <c r="AD10" s="2">
        <f t="shared" si="1"/>
        <v>2.1299999999999955</v>
      </c>
      <c r="AE10" s="148">
        <f t="shared" si="2"/>
        <v>6.202573408116141E-3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42446</v>
      </c>
      <c r="X11" s="12">
        <v>147.37</v>
      </c>
      <c r="Y11" s="12">
        <v>151.72</v>
      </c>
      <c r="Z11" s="12">
        <v>147.37</v>
      </c>
      <c r="AA11" s="12">
        <v>151.55000000000001</v>
      </c>
      <c r="AB11" s="105">
        <v>4467800</v>
      </c>
      <c r="AC11" s="12">
        <v>151.55000000000001</v>
      </c>
      <c r="AD11" s="2">
        <f t="shared" si="1"/>
        <v>4.3499999999999943</v>
      </c>
      <c r="AE11" s="148">
        <f t="shared" si="2"/>
        <v>1.964610105631448E-2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42445</v>
      </c>
      <c r="X12" s="12">
        <v>147.46</v>
      </c>
      <c r="Y12" s="12">
        <v>149.27000000000001</v>
      </c>
      <c r="Z12" s="12">
        <v>146.85</v>
      </c>
      <c r="AA12" s="12">
        <v>148.63</v>
      </c>
      <c r="AB12" s="105">
        <v>3480100</v>
      </c>
      <c r="AC12" s="12">
        <v>148.63</v>
      </c>
      <c r="AD12" s="2">
        <f t="shared" si="1"/>
        <v>2.4200000000000159</v>
      </c>
      <c r="AE12" s="148" t="e">
        <f t="shared" si="2"/>
        <v>#DIV/0!</v>
      </c>
    </row>
    <row r="13" spans="1:31" x14ac:dyDescent="0.25">
      <c r="W13" s="143">
        <v>42445</v>
      </c>
      <c r="X13" s="12" t="s">
        <v>263</v>
      </c>
      <c r="Y13" s="12"/>
      <c r="Z13" s="12"/>
      <c r="AA13" s="12"/>
      <c r="AB13" s="105"/>
      <c r="AC13" s="12"/>
      <c r="AD13" s="2">
        <f t="shared" si="1"/>
        <v>0</v>
      </c>
      <c r="AE13" s="148">
        <f t="shared" si="2"/>
        <v>-1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42444</v>
      </c>
      <c r="X14" s="12">
        <v>148.5</v>
      </c>
      <c r="Y14" s="12">
        <v>149.97999999999999</v>
      </c>
      <c r="Z14" s="12">
        <v>146.08000000000001</v>
      </c>
      <c r="AA14" s="12">
        <v>148.47</v>
      </c>
      <c r="AB14" s="105">
        <v>3089100</v>
      </c>
      <c r="AC14" s="12">
        <v>147.97999999999999</v>
      </c>
      <c r="AD14" s="2">
        <f t="shared" si="1"/>
        <v>3.8999999999999773</v>
      </c>
      <c r="AE14" s="148">
        <f t="shared" si="2"/>
        <v>2.2350152387402566E-3</v>
      </c>
    </row>
    <row r="15" spans="1:31" x14ac:dyDescent="0.25">
      <c r="W15" s="143">
        <v>42443</v>
      </c>
      <c r="X15" s="12">
        <v>147.11000000000001</v>
      </c>
      <c r="Y15" s="12">
        <v>149.19</v>
      </c>
      <c r="Z15" s="12">
        <v>147</v>
      </c>
      <c r="AA15" s="12">
        <v>148.13999999999999</v>
      </c>
      <c r="AB15" s="105">
        <v>2844400</v>
      </c>
      <c r="AC15" s="12">
        <v>147.65</v>
      </c>
      <c r="AD15" s="2">
        <f t="shared" si="1"/>
        <v>2.1899999999999977</v>
      </c>
      <c r="AE15" s="148">
        <f t="shared" si="2"/>
        <v>-4.5843726825322006E-3</v>
      </c>
    </row>
    <row r="16" spans="1:31" x14ac:dyDescent="0.25">
      <c r="B16" s="209" t="s">
        <v>117</v>
      </c>
      <c r="C16" s="209" t="s">
        <v>167</v>
      </c>
      <c r="D16" s="210" t="s">
        <v>166</v>
      </c>
      <c r="E16" s="212" t="s">
        <v>168</v>
      </c>
      <c r="F16" s="213" t="s">
        <v>65</v>
      </c>
      <c r="G16" s="253" t="s">
        <v>172</v>
      </c>
      <c r="H16" s="213" t="s">
        <v>90</v>
      </c>
      <c r="W16" s="143">
        <v>42440</v>
      </c>
      <c r="X16" s="12">
        <v>145.99</v>
      </c>
      <c r="Y16" s="12">
        <v>150.02000000000001</v>
      </c>
      <c r="Z16" s="12">
        <v>145.75</v>
      </c>
      <c r="AA16" s="12">
        <v>148.82</v>
      </c>
      <c r="AB16" s="105">
        <v>5582200</v>
      </c>
      <c r="AC16" s="12">
        <v>148.33000000000001</v>
      </c>
      <c r="AD16" s="2">
        <f t="shared" si="1"/>
        <v>4.2700000000000102</v>
      </c>
      <c r="AE16" s="148">
        <f t="shared" si="2"/>
        <v>3.0498818952341411E-2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42439</v>
      </c>
      <c r="X17" s="12">
        <v>143.46</v>
      </c>
      <c r="Y17" s="12">
        <v>145.80000000000001</v>
      </c>
      <c r="Z17" s="12">
        <v>142</v>
      </c>
      <c r="AA17" s="12">
        <v>144.41999999999999</v>
      </c>
      <c r="AB17" s="105">
        <v>5454600</v>
      </c>
      <c r="AC17" s="12">
        <v>143.94</v>
      </c>
      <c r="AD17" s="2">
        <f t="shared" si="1"/>
        <v>3.8000000000000114</v>
      </c>
      <c r="AE17" s="148">
        <f t="shared" si="2"/>
        <v>1.7315711357692942E-2</v>
      </c>
    </row>
    <row r="18" spans="2:31" x14ac:dyDescent="0.25">
      <c r="B18" s="211">
        <v>42314</v>
      </c>
      <c r="C18" s="12">
        <v>0</v>
      </c>
      <c r="D18" s="222" t="s">
        <v>134</v>
      </c>
      <c r="E18" s="222" t="s">
        <v>134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42438</v>
      </c>
      <c r="X18" s="12">
        <v>140.75</v>
      </c>
      <c r="Y18" s="12">
        <v>142.53</v>
      </c>
      <c r="Z18" s="12">
        <v>140.47</v>
      </c>
      <c r="AA18" s="12">
        <v>141.96</v>
      </c>
      <c r="AB18" s="105">
        <v>3115200</v>
      </c>
      <c r="AC18" s="12">
        <v>141.49</v>
      </c>
      <c r="AD18" s="2">
        <f t="shared" si="1"/>
        <v>2.0600000000000023</v>
      </c>
      <c r="AE18" s="148">
        <f t="shared" si="2"/>
        <v>1.6670259394984788E-2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42437</v>
      </c>
      <c r="X19" s="12">
        <v>142.29</v>
      </c>
      <c r="Y19" s="12">
        <v>142.82</v>
      </c>
      <c r="Z19" s="12">
        <v>139.41</v>
      </c>
      <c r="AA19" s="12">
        <v>139.63</v>
      </c>
      <c r="AB19" s="105">
        <v>3321600</v>
      </c>
      <c r="AC19" s="12">
        <v>139.16999999999999</v>
      </c>
      <c r="AD19" s="2">
        <f t="shared" si="1"/>
        <v>3.4099999999999966</v>
      </c>
      <c r="AE19" s="148">
        <f t="shared" si="2"/>
        <v>-2.7055369127516826E-2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42436</v>
      </c>
      <c r="X20" s="12">
        <v>144.76</v>
      </c>
      <c r="Y20" s="12">
        <v>146.22999999999999</v>
      </c>
      <c r="Z20" s="12">
        <v>140.57</v>
      </c>
      <c r="AA20" s="12">
        <v>143.51</v>
      </c>
      <c r="AB20" s="105">
        <v>4136300</v>
      </c>
      <c r="AC20" s="12">
        <v>143.04</v>
      </c>
      <c r="AD20" s="2">
        <f t="shared" si="1"/>
        <v>5.6599999999999966</v>
      </c>
      <c r="AE20" s="148">
        <f t="shared" si="2"/>
        <v>-1.7447451573018413E-2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42433</v>
      </c>
      <c r="X21" s="12">
        <v>146</v>
      </c>
      <c r="Y21" s="12">
        <v>147.86000000000001</v>
      </c>
      <c r="Z21" s="12">
        <v>141.72</v>
      </c>
      <c r="AA21" s="12">
        <v>146.06</v>
      </c>
      <c r="AB21" s="105">
        <v>7239900</v>
      </c>
      <c r="AC21" s="12">
        <v>145.58000000000001</v>
      </c>
      <c r="AD21" s="2">
        <f t="shared" si="1"/>
        <v>6.1400000000000148</v>
      </c>
      <c r="AE21" s="148">
        <f t="shared" si="2"/>
        <v>6.3559322033898358E-2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42432</v>
      </c>
      <c r="X22" s="12">
        <v>137.75</v>
      </c>
      <c r="Y22" s="12">
        <v>138.85</v>
      </c>
      <c r="Z22" s="12">
        <v>134.30000000000001</v>
      </c>
      <c r="AA22" s="12">
        <v>137.33000000000001</v>
      </c>
      <c r="AB22" s="105">
        <v>5943700</v>
      </c>
      <c r="AC22" s="12">
        <v>136.88</v>
      </c>
      <c r="AD22" s="2">
        <f t="shared" si="1"/>
        <v>4.5499999999999829</v>
      </c>
      <c r="AE22" s="148">
        <f t="shared" si="2"/>
        <v>2.6369762672133756E-3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42431</v>
      </c>
      <c r="X23" s="12">
        <v>137.85</v>
      </c>
      <c r="Y23" s="12">
        <v>138.24</v>
      </c>
      <c r="Z23" s="12">
        <v>135.05000000000001</v>
      </c>
      <c r="AA23" s="12">
        <v>136.97</v>
      </c>
      <c r="AB23" s="105">
        <v>4383400</v>
      </c>
      <c r="AC23" s="12">
        <v>136.52000000000001</v>
      </c>
      <c r="AD23" s="2">
        <f t="shared" si="1"/>
        <v>3.1899999999999977</v>
      </c>
      <c r="AE23" s="148">
        <f t="shared" si="2"/>
        <v>-1.0509531057476207E-2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42430</v>
      </c>
      <c r="X24" s="12">
        <v>135.37</v>
      </c>
      <c r="Y24" s="12">
        <v>138.63999999999999</v>
      </c>
      <c r="Z24" s="12">
        <v>134.62</v>
      </c>
      <c r="AA24" s="12">
        <v>138.43</v>
      </c>
      <c r="AB24" s="105">
        <v>4490600</v>
      </c>
      <c r="AC24" s="12">
        <v>137.97</v>
      </c>
      <c r="AD24" s="2">
        <f t="shared" si="1"/>
        <v>4.0199999999999818</v>
      </c>
      <c r="AE24" s="148">
        <f t="shared" si="2"/>
        <v>3.3250954841608671E-2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42429</v>
      </c>
      <c r="X25" s="12">
        <v>133.34</v>
      </c>
      <c r="Y25" s="12">
        <v>137.91999999999999</v>
      </c>
      <c r="Z25" s="12">
        <v>132.9</v>
      </c>
      <c r="AA25" s="12">
        <v>133.97</v>
      </c>
      <c r="AB25" s="105">
        <v>3591100</v>
      </c>
      <c r="AC25" s="12">
        <v>133.53</v>
      </c>
      <c r="AD25" s="2">
        <f t="shared" si="1"/>
        <v>5.0199999999999818</v>
      </c>
      <c r="AE25" s="148">
        <f t="shared" si="2"/>
        <v>6.4822491897189582E-3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42426</v>
      </c>
      <c r="X26" s="12">
        <v>134.19999999999999</v>
      </c>
      <c r="Y26" s="12">
        <v>134.97</v>
      </c>
      <c r="Z26" s="12">
        <v>132.25</v>
      </c>
      <c r="AA26" s="12">
        <v>133.11000000000001</v>
      </c>
      <c r="AB26" s="105">
        <v>2714200</v>
      </c>
      <c r="AC26" s="12">
        <v>132.66999999999999</v>
      </c>
      <c r="AD26" s="2">
        <f t="shared" si="1"/>
        <v>2.7199999999999989</v>
      </c>
      <c r="AE26" s="148">
        <f t="shared" si="2"/>
        <v>4.8473831704913817E-3</v>
      </c>
    </row>
    <row r="27" spans="2:31" x14ac:dyDescent="0.25">
      <c r="W27" s="143">
        <v>42425</v>
      </c>
      <c r="X27" s="12">
        <v>130.78</v>
      </c>
      <c r="Y27" s="12">
        <v>132.49</v>
      </c>
      <c r="Z27" s="12">
        <v>128.69</v>
      </c>
      <c r="AA27" s="12">
        <v>132.47</v>
      </c>
      <c r="AB27" s="105">
        <v>2565200</v>
      </c>
      <c r="AC27" s="12">
        <v>132.03</v>
      </c>
      <c r="AD27" s="2">
        <f t="shared" si="1"/>
        <v>3.8000000000000114</v>
      </c>
      <c r="AE27" s="148">
        <f t="shared" si="2"/>
        <v>1.6318990070048445E-2</v>
      </c>
    </row>
    <row r="28" spans="2:31" x14ac:dyDescent="0.25">
      <c r="W28" s="143">
        <v>42424</v>
      </c>
      <c r="X28" s="12">
        <v>126.51</v>
      </c>
      <c r="Y28" s="12">
        <v>131.25</v>
      </c>
      <c r="Z28" s="12">
        <v>125.41</v>
      </c>
      <c r="AA28" s="12">
        <v>130.34</v>
      </c>
      <c r="AB28" s="105">
        <v>2568000</v>
      </c>
      <c r="AC28" s="12">
        <v>129.91</v>
      </c>
      <c r="AD28" s="2">
        <f t="shared" si="1"/>
        <v>5.8400000000000034</v>
      </c>
      <c r="AE28" s="148">
        <f t="shared" si="2"/>
        <v>1.6987631125724212E-2</v>
      </c>
    </row>
    <row r="29" spans="2:31" x14ac:dyDescent="0.25">
      <c r="W29" s="143">
        <v>42423</v>
      </c>
      <c r="X29" s="12">
        <v>130.16</v>
      </c>
      <c r="Y29" s="12">
        <v>130.5</v>
      </c>
      <c r="Z29" s="12">
        <v>128.06</v>
      </c>
      <c r="AA29" s="12">
        <v>128.16</v>
      </c>
      <c r="AB29" s="105">
        <v>2235200</v>
      </c>
      <c r="AC29" s="12">
        <v>127.74</v>
      </c>
      <c r="AD29" s="2">
        <f t="shared" si="1"/>
        <v>2.4399999999999977</v>
      </c>
      <c r="AE29" s="148">
        <f t="shared" si="2"/>
        <v>-1.8969357192228031E-2</v>
      </c>
    </row>
    <row r="30" spans="2:31" x14ac:dyDescent="0.25">
      <c r="W30" s="143">
        <v>42422</v>
      </c>
      <c r="X30" s="12">
        <v>130</v>
      </c>
      <c r="Y30" s="12">
        <v>132.43</v>
      </c>
      <c r="Z30" s="12">
        <v>129.49</v>
      </c>
      <c r="AA30" s="12">
        <v>130.63999999999999</v>
      </c>
      <c r="AB30" s="105">
        <v>2420400</v>
      </c>
      <c r="AC30" s="12">
        <v>130.21</v>
      </c>
      <c r="AD30" s="2">
        <f t="shared" si="1"/>
        <v>2.9399999999999977</v>
      </c>
      <c r="AE30" s="148">
        <f t="shared" si="2"/>
        <v>1.5282651072124898E-2</v>
      </c>
    </row>
    <row r="31" spans="2:31" x14ac:dyDescent="0.25">
      <c r="W31" s="143">
        <v>42419</v>
      </c>
      <c r="X31" s="12">
        <v>127.05</v>
      </c>
      <c r="Y31" s="12">
        <v>128.79</v>
      </c>
      <c r="Z31" s="12">
        <v>125</v>
      </c>
      <c r="AA31" s="12">
        <v>128.66999999999999</v>
      </c>
      <c r="AB31" s="105">
        <v>3111800</v>
      </c>
      <c r="AC31" s="12">
        <v>128.25</v>
      </c>
      <c r="AD31" s="2">
        <f t="shared" si="1"/>
        <v>3.789999999999992</v>
      </c>
      <c r="AE31" s="148">
        <f t="shared" si="2"/>
        <v>1.2633241215949331E-2</v>
      </c>
    </row>
    <row r="32" spans="2:31" x14ac:dyDescent="0.25">
      <c r="W32" s="143">
        <v>42418</v>
      </c>
      <c r="X32" s="12">
        <v>131.76</v>
      </c>
      <c r="Y32" s="12">
        <v>131.99</v>
      </c>
      <c r="Z32" s="12">
        <v>126.08</v>
      </c>
      <c r="AA32" s="12">
        <v>127.07</v>
      </c>
      <c r="AB32" s="105">
        <v>3920200</v>
      </c>
      <c r="AC32" s="12">
        <v>126.65</v>
      </c>
      <c r="AD32" s="2">
        <f t="shared" si="1"/>
        <v>5.9100000000000108</v>
      </c>
      <c r="AE32" s="148">
        <f t="shared" si="2"/>
        <v>-2.7639155470249421E-2</v>
      </c>
    </row>
    <row r="33" spans="15:31" x14ac:dyDescent="0.25">
      <c r="W33" s="143">
        <v>42417</v>
      </c>
      <c r="X33" s="12">
        <v>127</v>
      </c>
      <c r="Y33" s="12">
        <v>130.82</v>
      </c>
      <c r="Z33" s="12">
        <v>126.73</v>
      </c>
      <c r="AA33" s="12">
        <v>130.68</v>
      </c>
      <c r="AB33" s="105">
        <v>3274200</v>
      </c>
      <c r="AC33" s="12">
        <v>130.25</v>
      </c>
      <c r="AD33" s="2">
        <f t="shared" si="1"/>
        <v>4.0899999999999892</v>
      </c>
      <c r="AE33" s="148">
        <f t="shared" si="2"/>
        <v>3.5209028771260531E-2</v>
      </c>
    </row>
    <row r="34" spans="15:31" x14ac:dyDescent="0.25">
      <c r="W34" s="143">
        <v>42416</v>
      </c>
      <c r="X34" s="12">
        <v>123.27</v>
      </c>
      <c r="Y34" s="12">
        <v>126.79</v>
      </c>
      <c r="Z34" s="12">
        <v>122.95</v>
      </c>
      <c r="AA34" s="12">
        <v>126.24</v>
      </c>
      <c r="AB34" s="105">
        <v>3852100</v>
      </c>
      <c r="AC34" s="12">
        <v>125.82</v>
      </c>
      <c r="AD34" s="2">
        <f t="shared" si="1"/>
        <v>3.8400000000000034</v>
      </c>
      <c r="AE34" s="148">
        <f t="shared" si="2"/>
        <v>3.7605145967342768E-2</v>
      </c>
    </row>
    <row r="35" spans="15:31" x14ac:dyDescent="0.25">
      <c r="W35" s="143">
        <v>42412</v>
      </c>
      <c r="X35" s="12">
        <v>117.76</v>
      </c>
      <c r="Y35" s="12">
        <v>122.33</v>
      </c>
      <c r="Z35" s="12">
        <v>115.73</v>
      </c>
      <c r="AA35" s="12">
        <v>121.66</v>
      </c>
      <c r="AB35" s="105">
        <v>3996500</v>
      </c>
      <c r="AC35" s="12">
        <v>121.26</v>
      </c>
      <c r="AD35" s="2">
        <f t="shared" si="1"/>
        <v>6.5999999999999943</v>
      </c>
      <c r="AE35" s="148">
        <f t="shared" si="2"/>
        <v>4.5976020012076235E-2</v>
      </c>
    </row>
    <row r="36" spans="15:31" x14ac:dyDescent="0.25">
      <c r="W36" s="143">
        <v>42411</v>
      </c>
      <c r="X36" s="12">
        <v>116.5</v>
      </c>
      <c r="Y36" s="12">
        <v>117.64</v>
      </c>
      <c r="Z36" s="12">
        <v>114.25</v>
      </c>
      <c r="AA36" s="12">
        <v>116.31</v>
      </c>
      <c r="AB36" s="105">
        <v>6667300</v>
      </c>
      <c r="AC36" s="12">
        <v>115.93</v>
      </c>
      <c r="AD36" s="2">
        <f t="shared" si="1"/>
        <v>3.3900000000000006</v>
      </c>
      <c r="AE36" s="148">
        <f t="shared" si="2"/>
        <v>-2.4240383806076848E-2</v>
      </c>
    </row>
    <row r="37" spans="15:31" x14ac:dyDescent="0.25">
      <c r="W37" s="143">
        <v>42410</v>
      </c>
      <c r="X37" s="12">
        <v>122.49</v>
      </c>
      <c r="Y37" s="12">
        <v>123.67</v>
      </c>
      <c r="Z37" s="12">
        <v>118.65</v>
      </c>
      <c r="AA37" s="12">
        <v>119.2</v>
      </c>
      <c r="AB37" s="105">
        <v>4547300</v>
      </c>
      <c r="AC37" s="12">
        <v>118.81</v>
      </c>
      <c r="AD37" s="2">
        <f t="shared" si="1"/>
        <v>5.019999999999996</v>
      </c>
      <c r="AE37" s="148">
        <f t="shared" si="2"/>
        <v>-4.1907635571201141E-3</v>
      </c>
    </row>
    <row r="38" spans="15:31" x14ac:dyDescent="0.25">
      <c r="W38" s="143">
        <v>42409</v>
      </c>
      <c r="X38" s="12">
        <v>119.83</v>
      </c>
      <c r="Y38" s="12">
        <v>125.72</v>
      </c>
      <c r="Z38" s="12">
        <v>118.77</v>
      </c>
      <c r="AA38" s="12">
        <v>119.71</v>
      </c>
      <c r="AB38" s="105">
        <v>6340000</v>
      </c>
      <c r="AC38" s="12">
        <v>119.31</v>
      </c>
      <c r="AD38" s="2">
        <f t="shared" si="1"/>
        <v>6.9500000000000028</v>
      </c>
      <c r="AE38" s="148">
        <f t="shared" si="2"/>
        <v>-1.7701300839782608E-2</v>
      </c>
    </row>
    <row r="39" spans="15:31" x14ac:dyDescent="0.25">
      <c r="W39" s="143">
        <v>42408</v>
      </c>
      <c r="X39" s="12">
        <v>126.99</v>
      </c>
      <c r="Y39" s="12">
        <v>126.99</v>
      </c>
      <c r="Z39" s="12">
        <v>119.22</v>
      </c>
      <c r="AA39" s="12">
        <v>121.86</v>
      </c>
      <c r="AB39" s="105">
        <v>9124200</v>
      </c>
      <c r="AC39" s="12">
        <v>121.46</v>
      </c>
      <c r="AD39" s="2">
        <f t="shared" si="1"/>
        <v>7.769999999999996</v>
      </c>
      <c r="AE39" s="148">
        <f t="shared" si="2"/>
        <v>-5.0648741597623892E-2</v>
      </c>
    </row>
    <row r="40" spans="15:31" x14ac:dyDescent="0.25">
      <c r="W40" s="143">
        <v>42405</v>
      </c>
      <c r="X40" s="12">
        <v>137</v>
      </c>
      <c r="Y40" s="12">
        <v>137</v>
      </c>
      <c r="Z40" s="12">
        <v>126.98</v>
      </c>
      <c r="AA40" s="12">
        <v>128.36000000000001</v>
      </c>
      <c r="AB40" s="105">
        <v>7095300</v>
      </c>
      <c r="AC40" s="12">
        <v>127.94</v>
      </c>
      <c r="AD40" s="2">
        <f t="shared" si="1"/>
        <v>10.019999999999996</v>
      </c>
      <c r="AE40" s="148">
        <f t="shared" si="2"/>
        <v>-5.6976487064199777E-2</v>
      </c>
    </row>
    <row r="41" spans="15:31" ht="20.25" thickBot="1" x14ac:dyDescent="0.35">
      <c r="O41" s="420" t="s">
        <v>78</v>
      </c>
      <c r="P41" s="420"/>
      <c r="T41" s="101" t="s">
        <v>116</v>
      </c>
      <c r="W41" s="143">
        <v>42404</v>
      </c>
      <c r="X41" s="12">
        <v>131.4</v>
      </c>
      <c r="Y41" s="12">
        <v>137.27000000000001</v>
      </c>
      <c r="Z41" s="12">
        <v>130.5</v>
      </c>
      <c r="AA41" s="12">
        <v>136.12</v>
      </c>
      <c r="AB41" s="105">
        <v>6083300</v>
      </c>
      <c r="AC41" s="12">
        <v>135.66999999999999</v>
      </c>
      <c r="AD41" s="2">
        <f t="shared" si="1"/>
        <v>6.7700000000000102</v>
      </c>
      <c r="AE41" s="148">
        <f t="shared" si="2"/>
        <v>3.6202550981440318E-2</v>
      </c>
    </row>
    <row r="42" spans="15:31" ht="15.75" thickTop="1" x14ac:dyDescent="0.25">
      <c r="O42" s="93">
        <v>1.1000000000000001</v>
      </c>
      <c r="P42" s="93">
        <f>O42*$Q$4</f>
        <v>173.58</v>
      </c>
      <c r="Q42" s="2"/>
      <c r="T42" s="145" t="s">
        <v>101</v>
      </c>
      <c r="U42" s="108">
        <v>154.5</v>
      </c>
      <c r="W42" s="143">
        <v>42403</v>
      </c>
      <c r="X42" s="12">
        <v>137.25</v>
      </c>
      <c r="Y42" s="12">
        <v>137.61000000000001</v>
      </c>
      <c r="Z42" s="12">
        <v>130.29</v>
      </c>
      <c r="AA42" s="12">
        <v>131.36000000000001</v>
      </c>
      <c r="AB42" s="105">
        <v>5623400</v>
      </c>
      <c r="AC42" s="12">
        <v>130.93</v>
      </c>
      <c r="AD42" s="2">
        <f t="shared" si="1"/>
        <v>7.3200000000000216</v>
      </c>
      <c r="AE42" s="148">
        <f t="shared" si="2"/>
        <v>-1.4081325301204872E-2</v>
      </c>
    </row>
    <row r="43" spans="15:31" x14ac:dyDescent="0.25">
      <c r="O43" s="93">
        <v>1.0900000000000001</v>
      </c>
      <c r="P43" s="93">
        <f t="shared" ref="P43:P62" si="5">O43*$Q$4</f>
        <v>172.00200000000004</v>
      </c>
      <c r="Q43" s="2"/>
      <c r="T43" s="146" t="s">
        <v>102</v>
      </c>
      <c r="U43" s="98" t="s">
        <v>134</v>
      </c>
      <c r="W43" s="143">
        <v>42402</v>
      </c>
      <c r="X43" s="12">
        <v>135.01</v>
      </c>
      <c r="Y43" s="12">
        <v>137.59</v>
      </c>
      <c r="Z43" s="12">
        <v>131.69999999999999</v>
      </c>
      <c r="AA43" s="12">
        <v>133.24</v>
      </c>
      <c r="AB43" s="105">
        <v>5900500</v>
      </c>
      <c r="AC43" s="12">
        <v>132.80000000000001</v>
      </c>
      <c r="AD43" s="2">
        <f t="shared" si="1"/>
        <v>5.8900000000000148</v>
      </c>
      <c r="AE43" s="148">
        <f t="shared" si="2"/>
        <v>-3.2281571085039595E-2</v>
      </c>
    </row>
    <row r="44" spans="15:31" x14ac:dyDescent="0.25">
      <c r="O44" s="93">
        <v>1.08</v>
      </c>
      <c r="P44" s="93">
        <f t="shared" si="5"/>
        <v>170.42400000000004</v>
      </c>
      <c r="Q44" s="2"/>
      <c r="T44" s="146" t="s">
        <v>103</v>
      </c>
      <c r="U44" s="98" t="s">
        <v>344</v>
      </c>
      <c r="W44" s="143">
        <v>42401</v>
      </c>
      <c r="X44" s="12">
        <v>133.34</v>
      </c>
      <c r="Y44" s="12">
        <v>138.69</v>
      </c>
      <c r="Z44" s="12">
        <v>132.96</v>
      </c>
      <c r="AA44" s="12">
        <v>137.68</v>
      </c>
      <c r="AB44" s="105">
        <v>4561900</v>
      </c>
      <c r="AC44" s="12">
        <v>137.22999999999999</v>
      </c>
      <c r="AD44" s="2">
        <f t="shared" si="1"/>
        <v>5.7299999999999898</v>
      </c>
      <c r="AE44" s="148">
        <f t="shared" si="2"/>
        <v>2.9714114204246966E-2</v>
      </c>
    </row>
    <row r="45" spans="15:31" x14ac:dyDescent="0.25">
      <c r="O45" s="93">
        <v>1.07</v>
      </c>
      <c r="P45" s="93">
        <f t="shared" si="5"/>
        <v>168.84600000000003</v>
      </c>
      <c r="Q45" s="2"/>
      <c r="T45" s="146" t="s">
        <v>104</v>
      </c>
      <c r="U45" s="98" t="s">
        <v>345</v>
      </c>
      <c r="W45" s="143">
        <v>42398</v>
      </c>
      <c r="X45" s="12">
        <v>129.44</v>
      </c>
      <c r="Y45" s="12">
        <v>134.34</v>
      </c>
      <c r="Z45" s="12">
        <v>128.11000000000001</v>
      </c>
      <c r="AA45" s="12">
        <v>133.71</v>
      </c>
      <c r="AB45" s="105">
        <v>25944900</v>
      </c>
      <c r="AC45" s="12">
        <v>133.27000000000001</v>
      </c>
      <c r="AD45" s="2">
        <f t="shared" si="1"/>
        <v>6.2299999999999898</v>
      </c>
      <c r="AE45" s="148">
        <f t="shared" si="2"/>
        <v>5.8118300913060805E-2</v>
      </c>
    </row>
    <row r="46" spans="15:31" x14ac:dyDescent="0.25">
      <c r="O46" s="93">
        <v>1.06</v>
      </c>
      <c r="P46" s="93">
        <f t="shared" si="5"/>
        <v>167.26800000000003</v>
      </c>
      <c r="Q46" s="2"/>
      <c r="T46" s="146" t="s">
        <v>105</v>
      </c>
      <c r="U46" s="98">
        <v>178.85</v>
      </c>
      <c r="W46" s="143">
        <v>42397</v>
      </c>
      <c r="X46" s="12">
        <v>122.94</v>
      </c>
      <c r="Y46" s="12">
        <v>126.55</v>
      </c>
      <c r="Z46" s="12">
        <v>122</v>
      </c>
      <c r="AA46" s="12">
        <v>126.37</v>
      </c>
      <c r="AB46" s="105">
        <v>4996900</v>
      </c>
      <c r="AC46" s="12">
        <v>125.95</v>
      </c>
      <c r="AD46" s="2">
        <f t="shared" si="1"/>
        <v>4.5499999999999972</v>
      </c>
      <c r="AE46" s="148">
        <f t="shared" si="2"/>
        <v>3.2800328003280033E-2</v>
      </c>
    </row>
    <row r="47" spans="15:31" x14ac:dyDescent="0.25">
      <c r="O47" s="93">
        <v>1.05</v>
      </c>
      <c r="P47" s="93">
        <f t="shared" si="5"/>
        <v>165.69000000000003</v>
      </c>
      <c r="Q47" s="2"/>
      <c r="T47" s="146" t="s">
        <v>106</v>
      </c>
      <c r="U47" s="98">
        <v>0.90342199999999995</v>
      </c>
      <c r="W47" s="143">
        <v>42396</v>
      </c>
      <c r="X47" s="12">
        <v>123.65</v>
      </c>
      <c r="Y47" s="12">
        <v>125.41</v>
      </c>
      <c r="Z47" s="12">
        <v>120.09</v>
      </c>
      <c r="AA47" s="12">
        <v>122.35</v>
      </c>
      <c r="AB47" s="105">
        <v>5815600</v>
      </c>
      <c r="AC47" s="12">
        <v>121.95</v>
      </c>
      <c r="AD47" s="2">
        <f t="shared" si="1"/>
        <v>5.3199999999999932</v>
      </c>
      <c r="AE47" s="148">
        <f t="shared" si="2"/>
        <v>-1.6373608646555904E-2</v>
      </c>
    </row>
    <row r="48" spans="15:31" x14ac:dyDescent="0.25">
      <c r="O48" s="93">
        <v>1.04</v>
      </c>
      <c r="P48" s="93">
        <f t="shared" si="5"/>
        <v>164.11200000000002</v>
      </c>
      <c r="Q48" s="2"/>
      <c r="T48" s="146" t="s">
        <v>107</v>
      </c>
      <c r="U48" s="98" t="s">
        <v>134</v>
      </c>
      <c r="W48" s="143">
        <v>42395</v>
      </c>
      <c r="X48" s="12">
        <v>125</v>
      </c>
      <c r="Y48" s="12">
        <v>126.51</v>
      </c>
      <c r="Z48" s="12">
        <v>124</v>
      </c>
      <c r="AA48" s="12">
        <v>124.39</v>
      </c>
      <c r="AB48" s="105">
        <v>11913400</v>
      </c>
      <c r="AC48" s="12">
        <v>123.98</v>
      </c>
      <c r="AD48" s="2">
        <f t="shared" si="1"/>
        <v>2.5100000000000051</v>
      </c>
      <c r="AE48" s="148">
        <f t="shared" si="2"/>
        <v>-8.0593165699549552E-4</v>
      </c>
    </row>
    <row r="49" spans="15:31" x14ac:dyDescent="0.25">
      <c r="O49" s="93">
        <v>1.03</v>
      </c>
      <c r="P49" s="93">
        <f t="shared" si="5"/>
        <v>162.53400000000002</v>
      </c>
      <c r="Q49" s="2"/>
      <c r="T49" s="146"/>
      <c r="U49" s="98"/>
      <c r="W49" s="143">
        <v>42394</v>
      </c>
      <c r="X49" s="12">
        <v>124.43</v>
      </c>
      <c r="Y49" s="12">
        <v>124.98</v>
      </c>
      <c r="Z49" s="12">
        <v>124</v>
      </c>
      <c r="AA49" s="12">
        <v>124.49</v>
      </c>
      <c r="AB49" s="105">
        <v>6135900</v>
      </c>
      <c r="AC49" s="12">
        <v>124.08</v>
      </c>
      <c r="AD49" s="2">
        <f t="shared" si="1"/>
        <v>0.98000000000000398</v>
      </c>
      <c r="AE49" s="148">
        <f t="shared" si="2"/>
        <v>-1.6116035455271405E-4</v>
      </c>
    </row>
    <row r="50" spans="15:31" x14ac:dyDescent="0.25">
      <c r="O50" s="93">
        <v>1.02</v>
      </c>
      <c r="P50" s="93">
        <f t="shared" si="5"/>
        <v>160.95600000000002</v>
      </c>
      <c r="Q50" s="2"/>
      <c r="T50" s="146" t="s">
        <v>108</v>
      </c>
      <c r="U50" s="98" t="s">
        <v>302</v>
      </c>
      <c r="W50" s="143">
        <v>42391</v>
      </c>
      <c r="X50" s="12">
        <v>126.48</v>
      </c>
      <c r="Y50" s="12">
        <v>126.48</v>
      </c>
      <c r="Z50" s="12">
        <v>124.23</v>
      </c>
      <c r="AA50" s="12">
        <v>124.51</v>
      </c>
      <c r="AB50" s="105">
        <v>5842800</v>
      </c>
      <c r="AC50" s="12">
        <v>124.1</v>
      </c>
      <c r="AD50" s="2">
        <f t="shared" si="1"/>
        <v>2.25</v>
      </c>
      <c r="AE50" s="148">
        <f t="shared" si="2"/>
        <v>-1.6113438607812114E-4</v>
      </c>
    </row>
    <row r="51" spans="15:31" x14ac:dyDescent="0.25">
      <c r="O51" s="93">
        <v>1.01</v>
      </c>
      <c r="P51" s="93">
        <f t="shared" si="5"/>
        <v>159.37800000000001</v>
      </c>
      <c r="Q51" s="2"/>
      <c r="T51" s="146" t="s">
        <v>109</v>
      </c>
      <c r="U51" s="98" t="s">
        <v>346</v>
      </c>
      <c r="W51" s="143">
        <v>42390</v>
      </c>
      <c r="X51" s="12">
        <v>124.8</v>
      </c>
      <c r="Y51" s="12">
        <v>126</v>
      </c>
      <c r="Z51" s="12">
        <v>123.35</v>
      </c>
      <c r="AA51" s="12">
        <v>124.53</v>
      </c>
      <c r="AB51" s="105">
        <v>4847500</v>
      </c>
      <c r="AC51" s="12">
        <v>124.12</v>
      </c>
      <c r="AD51" s="2">
        <f t="shared" si="1"/>
        <v>2.6500000000000057</v>
      </c>
      <c r="AE51" s="148">
        <f t="shared" si="2"/>
        <v>5.6716901636688632E-3</v>
      </c>
    </row>
    <row r="52" spans="15:31" x14ac:dyDescent="0.25">
      <c r="O52" s="93">
        <v>1</v>
      </c>
      <c r="P52" s="93">
        <f t="shared" si="5"/>
        <v>157.80000000000001</v>
      </c>
      <c r="Q52" s="2"/>
      <c r="T52" s="146" t="s">
        <v>110</v>
      </c>
      <c r="U52" s="100">
        <v>0</v>
      </c>
      <c r="W52" s="143">
        <v>42389</v>
      </c>
      <c r="X52" s="12">
        <v>117.83</v>
      </c>
      <c r="Y52" s="12">
        <v>125.58</v>
      </c>
      <c r="Z52" s="12">
        <v>117.17</v>
      </c>
      <c r="AA52" s="12">
        <v>123.83</v>
      </c>
      <c r="AB52" s="105">
        <v>10398800</v>
      </c>
      <c r="AC52" s="12">
        <v>123.42</v>
      </c>
      <c r="AD52" s="2">
        <f t="shared" si="1"/>
        <v>8.4099999999999966</v>
      </c>
      <c r="AE52" s="148">
        <f t="shared" si="2"/>
        <v>3.1336174479819512E-2</v>
      </c>
    </row>
    <row r="53" spans="15:31" x14ac:dyDescent="0.25">
      <c r="O53" s="93">
        <v>0.99</v>
      </c>
      <c r="P53" s="93">
        <f t="shared" si="5"/>
        <v>156.22200000000001</v>
      </c>
      <c r="Q53" s="2"/>
      <c r="T53" s="146" t="s">
        <v>113</v>
      </c>
      <c r="U53" s="100">
        <v>5042540</v>
      </c>
      <c r="W53" s="143">
        <v>42388</v>
      </c>
      <c r="X53" s="12">
        <v>122.76</v>
      </c>
      <c r="Y53" s="12">
        <v>124.8</v>
      </c>
      <c r="Z53" s="12">
        <v>119.01</v>
      </c>
      <c r="AA53" s="12">
        <v>120.07</v>
      </c>
      <c r="AB53" s="105">
        <v>5477300</v>
      </c>
      <c r="AC53" s="12">
        <v>119.67</v>
      </c>
      <c r="AD53" s="2">
        <f t="shared" si="1"/>
        <v>5.789999999999992</v>
      </c>
      <c r="AE53" s="148">
        <f t="shared" si="2"/>
        <v>8.3633018315643071E-4</v>
      </c>
    </row>
    <row r="54" spans="15:31" x14ac:dyDescent="0.25">
      <c r="O54" s="93">
        <v>0.98</v>
      </c>
      <c r="P54" s="93">
        <f t="shared" si="5"/>
        <v>154.64400000000001</v>
      </c>
      <c r="Q54" s="2"/>
      <c r="T54" s="146" t="s">
        <v>111</v>
      </c>
      <c r="U54" s="98" t="s">
        <v>347</v>
      </c>
      <c r="W54" s="143">
        <v>42384</v>
      </c>
      <c r="X54" s="12">
        <v>120.21</v>
      </c>
      <c r="Y54" s="12">
        <v>123.79</v>
      </c>
      <c r="Z54" s="12">
        <v>119.3</v>
      </c>
      <c r="AA54" s="12">
        <v>119.97</v>
      </c>
      <c r="AB54" s="105">
        <v>7591600</v>
      </c>
      <c r="AC54" s="12">
        <v>119.57</v>
      </c>
      <c r="AD54" s="2">
        <f t="shared" si="1"/>
        <v>4.4900000000000091</v>
      </c>
      <c r="AE54" s="148">
        <f t="shared" si="2"/>
        <v>-4.1753486135598705E-2</v>
      </c>
    </row>
    <row r="55" spans="15:31" x14ac:dyDescent="0.25">
      <c r="O55" s="93">
        <v>0.97</v>
      </c>
      <c r="P55" s="93">
        <f t="shared" si="5"/>
        <v>153.066</v>
      </c>
      <c r="T55" s="146" t="s">
        <v>114</v>
      </c>
      <c r="U55" s="98">
        <v>31.83</v>
      </c>
      <c r="W55" s="143">
        <v>42383</v>
      </c>
      <c r="X55" s="12">
        <v>124.19</v>
      </c>
      <c r="Y55" s="12">
        <v>126.68</v>
      </c>
      <c r="Z55" s="12">
        <v>120.29</v>
      </c>
      <c r="AA55" s="12">
        <v>125.19</v>
      </c>
      <c r="AB55" s="105">
        <v>6394200</v>
      </c>
      <c r="AC55" s="12">
        <v>124.78</v>
      </c>
      <c r="AD55" s="2">
        <f t="shared" si="1"/>
        <v>6.3900000000000006</v>
      </c>
      <c r="AE55" s="148">
        <f t="shared" si="2"/>
        <v>1.5296989422294516E-2</v>
      </c>
    </row>
    <row r="56" spans="15:31" x14ac:dyDescent="0.25">
      <c r="O56" s="93">
        <v>0.96</v>
      </c>
      <c r="P56" s="93">
        <f t="shared" si="5"/>
        <v>151.488</v>
      </c>
      <c r="T56" s="146" t="s">
        <v>115</v>
      </c>
      <c r="U56" s="98">
        <v>4.8499999999999996</v>
      </c>
      <c r="W56" s="143">
        <v>42382</v>
      </c>
      <c r="X56" s="12">
        <v>127.75</v>
      </c>
      <c r="Y56" s="12">
        <v>129.97999999999999</v>
      </c>
      <c r="Z56" s="12">
        <v>123.08</v>
      </c>
      <c r="AA56" s="12">
        <v>123.31</v>
      </c>
      <c r="AB56" s="105">
        <v>4847000</v>
      </c>
      <c r="AC56" s="12">
        <v>122.9</v>
      </c>
      <c r="AD56" s="2">
        <f t="shared" si="1"/>
        <v>6.8999999999999915</v>
      </c>
      <c r="AE56" s="148">
        <f t="shared" si="2"/>
        <v>-5.0891960769171352E-2</v>
      </c>
    </row>
    <row r="57" spans="15:31" x14ac:dyDescent="0.25">
      <c r="O57" s="93">
        <v>0.95</v>
      </c>
      <c r="P57" s="93">
        <f t="shared" si="5"/>
        <v>149.91</v>
      </c>
      <c r="T57" s="146" t="s">
        <v>112</v>
      </c>
      <c r="U57" s="98" t="s">
        <v>289</v>
      </c>
      <c r="W57" s="143">
        <v>42381</v>
      </c>
      <c r="X57" s="12">
        <v>129.86000000000001</v>
      </c>
      <c r="Y57" s="12">
        <v>131.66999999999999</v>
      </c>
      <c r="Z57" s="12">
        <v>126.86</v>
      </c>
      <c r="AA57" s="12">
        <v>129.91999999999999</v>
      </c>
      <c r="AB57" s="105">
        <v>4111200</v>
      </c>
      <c r="AC57" s="12">
        <v>129.49</v>
      </c>
      <c r="AD57" s="2">
        <f t="shared" si="1"/>
        <v>4.8099999999999881</v>
      </c>
      <c r="AE57" s="148">
        <f t="shared" si="2"/>
        <v>1.4652875724808112E-2</v>
      </c>
    </row>
    <row r="58" spans="15:31" x14ac:dyDescent="0.25">
      <c r="O58" s="93">
        <v>0.94</v>
      </c>
      <c r="P58" s="93">
        <f t="shared" si="5"/>
        <v>148.33199999999999</v>
      </c>
      <c r="W58" s="143">
        <v>42380</v>
      </c>
      <c r="X58" s="12">
        <v>129.5</v>
      </c>
      <c r="Y58" s="12">
        <v>129.97</v>
      </c>
      <c r="Z58" s="12">
        <v>125.42</v>
      </c>
      <c r="AA58" s="12">
        <v>128.04</v>
      </c>
      <c r="AB58" s="105">
        <v>3894100</v>
      </c>
      <c r="AC58" s="12">
        <v>127.62</v>
      </c>
      <c r="AD58" s="2">
        <f t="shared" si="1"/>
        <v>4.5499999999999972</v>
      </c>
      <c r="AE58" s="148">
        <f t="shared" si="2"/>
        <v>-1.2521521364845523E-3</v>
      </c>
    </row>
    <row r="59" spans="15:31" x14ac:dyDescent="0.25">
      <c r="O59" s="93">
        <v>0.93</v>
      </c>
      <c r="P59" s="93">
        <f t="shared" si="5"/>
        <v>146.75400000000002</v>
      </c>
      <c r="W59" s="143">
        <v>42377</v>
      </c>
      <c r="X59" s="12">
        <v>130.03</v>
      </c>
      <c r="Y59" s="12">
        <v>133.46</v>
      </c>
      <c r="Z59" s="12">
        <v>128.06</v>
      </c>
      <c r="AA59" s="12">
        <v>128.19999999999999</v>
      </c>
      <c r="AB59" s="105">
        <v>6464100</v>
      </c>
      <c r="AC59" s="12">
        <v>127.78</v>
      </c>
      <c r="AD59" s="2">
        <f t="shared" si="1"/>
        <v>5.4000000000000057</v>
      </c>
      <c r="AE59" s="148">
        <f t="shared" si="2"/>
        <v>-6.530866117244627E-3</v>
      </c>
    </row>
    <row r="60" spans="15:31" x14ac:dyDescent="0.25">
      <c r="O60" s="93">
        <v>0.92</v>
      </c>
      <c r="P60" s="93">
        <f t="shared" si="5"/>
        <v>145.17600000000002</v>
      </c>
      <c r="W60" s="143">
        <v>42376</v>
      </c>
      <c r="X60" s="12">
        <v>131.31</v>
      </c>
      <c r="Y60" s="12">
        <v>133.77000000000001</v>
      </c>
      <c r="Z60" s="12">
        <v>128.19</v>
      </c>
      <c r="AA60" s="12">
        <v>129.05000000000001</v>
      </c>
      <c r="AB60" s="105">
        <v>5005600</v>
      </c>
      <c r="AC60" s="12">
        <v>128.62</v>
      </c>
      <c r="AD60" s="2">
        <f t="shared" si="1"/>
        <v>5.5800000000000125</v>
      </c>
      <c r="AE60" s="148">
        <f t="shared" si="2"/>
        <v>-3.184042152803912E-2</v>
      </c>
    </row>
    <row r="61" spans="15:31" x14ac:dyDescent="0.25">
      <c r="O61" s="93">
        <v>0.91</v>
      </c>
      <c r="P61" s="93">
        <f t="shared" si="5"/>
        <v>143.59800000000001</v>
      </c>
      <c r="W61" s="143">
        <v>42375</v>
      </c>
      <c r="X61" s="12">
        <v>134.57</v>
      </c>
      <c r="Y61" s="12">
        <v>136.06</v>
      </c>
      <c r="Z61" s="12">
        <v>132.28</v>
      </c>
      <c r="AA61" s="12">
        <v>133.29</v>
      </c>
      <c r="AB61" s="105">
        <v>5082400</v>
      </c>
      <c r="AC61" s="12">
        <v>132.85</v>
      </c>
      <c r="AD61" s="2">
        <f t="shared" si="1"/>
        <v>3.7800000000000011</v>
      </c>
      <c r="AE61" s="148">
        <f t="shared" si="2"/>
        <v>-3.0787189027504214E-2</v>
      </c>
    </row>
    <row r="62" spans="15:31" x14ac:dyDescent="0.25">
      <c r="O62" s="93">
        <v>0.9</v>
      </c>
      <c r="P62" s="93">
        <f t="shared" si="5"/>
        <v>142.02000000000001</v>
      </c>
      <c r="W62" s="143">
        <v>42374</v>
      </c>
      <c r="X62" s="12">
        <v>143.13999999999999</v>
      </c>
      <c r="Y62" s="12">
        <v>143.30000000000001</v>
      </c>
      <c r="Z62" s="12">
        <v>137.21</v>
      </c>
      <c r="AA62" s="12">
        <v>137.52000000000001</v>
      </c>
      <c r="AB62" s="105">
        <v>3817300</v>
      </c>
      <c r="AC62" s="12">
        <v>137.07</v>
      </c>
      <c r="AD62" s="2">
        <f t="shared" si="1"/>
        <v>6.0900000000000034</v>
      </c>
      <c r="AE62" s="148">
        <f t="shared" si="2"/>
        <v>-3.3425005288766685E-2</v>
      </c>
    </row>
    <row r="63" spans="15:31" x14ac:dyDescent="0.25">
      <c r="W63" s="143">
        <v>42373</v>
      </c>
      <c r="X63" s="12">
        <v>142.07</v>
      </c>
      <c r="Y63" s="12">
        <v>142.35</v>
      </c>
      <c r="Z63" s="12">
        <v>139.88</v>
      </c>
      <c r="AA63" s="12">
        <v>142.28</v>
      </c>
      <c r="AB63" s="105">
        <v>3097000</v>
      </c>
      <c r="AC63" s="12">
        <v>141.81</v>
      </c>
      <c r="AD63" s="2">
        <f t="shared" si="1"/>
        <v>2.4699999999999989</v>
      </c>
      <c r="AE63" s="148">
        <f t="shared" si="2"/>
        <v>-1.9769129743554159E-2</v>
      </c>
    </row>
    <row r="64" spans="15:31" x14ac:dyDescent="0.25">
      <c r="W64" s="143">
        <v>42369</v>
      </c>
      <c r="X64" s="12">
        <v>146.58000000000001</v>
      </c>
      <c r="Y64" s="12">
        <v>147.5</v>
      </c>
      <c r="Z64" s="12">
        <v>145.12</v>
      </c>
      <c r="AA64" s="12">
        <v>145.15</v>
      </c>
      <c r="AB64" s="105">
        <v>1967300</v>
      </c>
      <c r="AC64" s="12">
        <v>144.66999999999999</v>
      </c>
      <c r="AD64" s="2">
        <f t="shared" si="1"/>
        <v>2.3799999999999955</v>
      </c>
      <c r="AE64" s="148">
        <f t="shared" si="2"/>
        <v>-1.5046296296296391E-2</v>
      </c>
    </row>
    <row r="65" spans="23:31" x14ac:dyDescent="0.25">
      <c r="W65" s="143">
        <v>42368</v>
      </c>
      <c r="X65" s="12">
        <v>147.51</v>
      </c>
      <c r="Y65" s="12">
        <v>148.88999999999999</v>
      </c>
      <c r="Z65" s="12">
        <v>147.12</v>
      </c>
      <c r="AA65" s="12">
        <v>147.37</v>
      </c>
      <c r="AB65" s="105">
        <v>1739600</v>
      </c>
      <c r="AC65" s="12">
        <v>146.88</v>
      </c>
      <c r="AD65" s="2">
        <f t="shared" si="1"/>
        <v>1.7699999999999818</v>
      </c>
      <c r="AE65" s="148">
        <f t="shared" si="2"/>
        <v>-3.8657171922684697E-3</v>
      </c>
    </row>
    <row r="66" spans="23:31" x14ac:dyDescent="0.25">
      <c r="W66" s="143">
        <v>42367</v>
      </c>
      <c r="X66" s="12">
        <v>147</v>
      </c>
      <c r="Y66" s="12">
        <v>148.78</v>
      </c>
      <c r="Z66" s="12">
        <v>145.01</v>
      </c>
      <c r="AA66" s="12">
        <v>147.94</v>
      </c>
      <c r="AB66" s="105">
        <v>2253300</v>
      </c>
      <c r="AC66" s="12">
        <v>147.44999999999999</v>
      </c>
      <c r="AD66" s="2">
        <f t="shared" si="1"/>
        <v>3.7700000000000102</v>
      </c>
      <c r="AE66" s="148">
        <f t="shared" si="2"/>
        <v>1.0831562350037682E-2</v>
      </c>
    </row>
    <row r="67" spans="23:31" x14ac:dyDescent="0.25">
      <c r="W67" s="143">
        <v>42366</v>
      </c>
      <c r="X67" s="12">
        <v>145.9</v>
      </c>
      <c r="Y67" s="12">
        <v>146.4</v>
      </c>
      <c r="Z67" s="12">
        <v>143.93</v>
      </c>
      <c r="AA67" s="12">
        <v>146.35</v>
      </c>
      <c r="AB67" s="105">
        <v>1387300</v>
      </c>
      <c r="AC67" s="12">
        <v>145.87</v>
      </c>
      <c r="AD67" s="2">
        <f t="shared" ref="AD67:AD68" si="6">Y67-Z67</f>
        <v>2.4699999999999989</v>
      </c>
      <c r="AE67" s="148">
        <f t="shared" ref="AE67" si="7">AC67/AC68-1</f>
        <v>2.0570488206250737E-4</v>
      </c>
    </row>
    <row r="68" spans="23:31" x14ac:dyDescent="0.25">
      <c r="W68" s="143">
        <v>42362</v>
      </c>
      <c r="X68" s="12">
        <v>146.41</v>
      </c>
      <c r="Y68" s="12">
        <v>147.29</v>
      </c>
      <c r="Z68" s="12">
        <v>145.72</v>
      </c>
      <c r="AA68" s="12">
        <v>146.32</v>
      </c>
      <c r="AB68" s="105">
        <v>743600</v>
      </c>
      <c r="AC68" s="12">
        <v>145.84</v>
      </c>
      <c r="AD68" s="2">
        <f t="shared" si="6"/>
        <v>1.5699999999999932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29" priority="10">
      <formula>Q7&gt;0</formula>
    </cfRule>
    <cfRule type="expression" dxfId="12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27" priority="3">
      <formula>F17&gt;0</formula>
    </cfRule>
    <cfRule type="expression" dxfId="126" priority="4">
      <formula>F17&lt;0</formula>
    </cfRule>
  </conditionalFormatting>
  <conditionalFormatting sqref="H17:H19">
    <cfRule type="expression" dxfId="125" priority="1">
      <formula>H17&gt;0</formula>
    </cfRule>
    <cfRule type="expression" dxfId="124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0</v>
      </c>
      <c r="T2" s="1"/>
      <c r="W2" s="143">
        <v>42460</v>
      </c>
      <c r="X2" s="12">
        <v>49.37</v>
      </c>
      <c r="Y2" s="12">
        <v>49.74</v>
      </c>
      <c r="Z2" s="12">
        <v>48.66</v>
      </c>
      <c r="AA2" s="12">
        <v>48.68</v>
      </c>
      <c r="AB2" s="105">
        <v>6523900</v>
      </c>
      <c r="AC2" s="12">
        <v>48.68</v>
      </c>
      <c r="AD2" s="2">
        <f>Y2-Z2</f>
        <v>1.0800000000000054</v>
      </c>
      <c r="AE2" s="148">
        <f>AC2/AC3-1</f>
        <v>-1.3176565984188038E-2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(F11-K11-M11)/Q2)</f>
        <v>47.01</v>
      </c>
      <c r="T3" s="1"/>
      <c r="W3" s="143">
        <v>42459</v>
      </c>
      <c r="X3" s="12">
        <v>49.54</v>
      </c>
      <c r="Y3" s="12">
        <v>50.08</v>
      </c>
      <c r="Z3" s="12">
        <v>49.29</v>
      </c>
      <c r="AA3" s="12">
        <v>49.33</v>
      </c>
      <c r="AB3" s="105">
        <v>5756600</v>
      </c>
      <c r="AC3" s="12">
        <v>49.33</v>
      </c>
      <c r="AD3" s="2">
        <f t="shared" ref="AD3:AD66" si="0">Y3-Z3</f>
        <v>0.78999999999999915</v>
      </c>
      <c r="AE3" s="148">
        <f t="shared" ref="AE3:AE66" si="1">AC3/AC4-1</f>
        <v>4.0708324852432032E-3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47.01</v>
      </c>
      <c r="T4" s="173"/>
      <c r="W4" s="143">
        <v>42458</v>
      </c>
      <c r="X4" s="12">
        <v>48.1</v>
      </c>
      <c r="Y4" s="12">
        <v>49.18</v>
      </c>
      <c r="Z4" s="12">
        <v>48.03</v>
      </c>
      <c r="AA4" s="12">
        <v>49.13</v>
      </c>
      <c r="AB4" s="105">
        <v>7261600</v>
      </c>
      <c r="AC4" s="12">
        <v>49.13</v>
      </c>
      <c r="AD4" s="2">
        <f t="shared" si="0"/>
        <v>1.1499999999999986</v>
      </c>
      <c r="AE4" s="148">
        <f t="shared" si="1"/>
        <v>1.9294605809128562E-2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0</v>
      </c>
      <c r="W5" s="143">
        <v>42457</v>
      </c>
      <c r="X5" s="12">
        <v>47.9</v>
      </c>
      <c r="Y5" s="12">
        <v>48.51</v>
      </c>
      <c r="Z5" s="12">
        <v>47.77</v>
      </c>
      <c r="AA5" s="12">
        <v>48.2</v>
      </c>
      <c r="AB5" s="105">
        <v>5875600</v>
      </c>
      <c r="AC5" s="12">
        <v>48.2</v>
      </c>
      <c r="AD5" s="2">
        <f t="shared" si="0"/>
        <v>0.73999999999999488</v>
      </c>
      <c r="AE5" s="148">
        <f t="shared" si="1"/>
        <v>7.5250836120401843E-3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0</v>
      </c>
      <c r="W6" s="143">
        <v>42453</v>
      </c>
      <c r="X6" s="12">
        <v>48.48</v>
      </c>
      <c r="Y6" s="12">
        <v>48.56</v>
      </c>
      <c r="Z6" s="12">
        <v>47.36</v>
      </c>
      <c r="AA6" s="12">
        <v>47.84</v>
      </c>
      <c r="AB6" s="105">
        <v>9126500</v>
      </c>
      <c r="AC6" s="12">
        <v>47.84</v>
      </c>
      <c r="AD6" s="2">
        <f t="shared" si="0"/>
        <v>1.2000000000000028</v>
      </c>
      <c r="AE6" s="148">
        <f t="shared" si="1"/>
        <v>-2.1876916785933176E-2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205.01999999999998</v>
      </c>
      <c r="R7" s="206"/>
      <c r="W7" s="143">
        <v>42452</v>
      </c>
      <c r="X7" s="12">
        <v>49.59</v>
      </c>
      <c r="Y7" s="12">
        <v>49.73</v>
      </c>
      <c r="Z7" s="12">
        <v>48.6</v>
      </c>
      <c r="AA7" s="12">
        <v>48.91</v>
      </c>
      <c r="AB7" s="105">
        <v>8772600</v>
      </c>
      <c r="AC7" s="12">
        <v>48.91</v>
      </c>
      <c r="AD7" s="2">
        <f t="shared" si="0"/>
        <v>1.1299999999999955</v>
      </c>
      <c r="AE7" s="148">
        <f t="shared" si="1"/>
        <v>-9.7185665114396524E-3</v>
      </c>
    </row>
    <row r="8" spans="1:31" x14ac:dyDescent="0.25">
      <c r="O8" s="13" t="s">
        <v>90</v>
      </c>
      <c r="Q8" s="148">
        <f>(Q4-Q3)/Q3</f>
        <v>0</v>
      </c>
      <c r="W8" s="143">
        <v>42451</v>
      </c>
      <c r="X8" s="12">
        <v>48.71</v>
      </c>
      <c r="Y8" s="12">
        <v>49.74</v>
      </c>
      <c r="Z8" s="12">
        <v>48.2</v>
      </c>
      <c r="AA8" s="12">
        <v>49.39</v>
      </c>
      <c r="AB8" s="105">
        <v>13345800</v>
      </c>
      <c r="AC8" s="12">
        <v>49.39</v>
      </c>
      <c r="AD8" s="2">
        <f t="shared" si="0"/>
        <v>1.5399999999999991</v>
      </c>
      <c r="AE8" s="148">
        <f t="shared" si="1"/>
        <v>-1.4565043894652741E-2</v>
      </c>
    </row>
    <row r="9" spans="1:31" x14ac:dyDescent="0.25">
      <c r="W9" s="143">
        <v>42450</v>
      </c>
      <c r="X9" s="12">
        <v>50.04</v>
      </c>
      <c r="Y9" s="12">
        <v>50.5</v>
      </c>
      <c r="Z9" s="12">
        <v>49.94</v>
      </c>
      <c r="AA9" s="12">
        <v>50.12</v>
      </c>
      <c r="AB9" s="105">
        <v>7211900</v>
      </c>
      <c r="AC9" s="12">
        <v>50.12</v>
      </c>
      <c r="AD9" s="2">
        <f t="shared" si="0"/>
        <v>0.56000000000000227</v>
      </c>
      <c r="AE9" s="148">
        <f t="shared" si="1"/>
        <v>1.3986013986013734E-3</v>
      </c>
    </row>
    <row r="10" spans="1:31" x14ac:dyDescent="0.25">
      <c r="W10" s="143">
        <v>42447</v>
      </c>
      <c r="X10" s="12">
        <v>48.67</v>
      </c>
      <c r="Y10" s="12">
        <v>50.3</v>
      </c>
      <c r="Z10" s="12">
        <v>48.58</v>
      </c>
      <c r="AA10" s="12">
        <v>50.05</v>
      </c>
      <c r="AB10" s="105">
        <v>12414000</v>
      </c>
      <c r="AC10" s="12">
        <v>50.05</v>
      </c>
      <c r="AD10" s="2">
        <f t="shared" si="0"/>
        <v>1.7199999999999989</v>
      </c>
      <c r="AE10" s="148">
        <f t="shared" si="1"/>
        <v>2.9411764705882248E-2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42446</v>
      </c>
      <c r="X11" s="12">
        <v>48.58</v>
      </c>
      <c r="Y11" s="12">
        <v>48.78</v>
      </c>
      <c r="Z11" s="12">
        <v>48.06</v>
      </c>
      <c r="AA11" s="12">
        <v>48.62</v>
      </c>
      <c r="AB11" s="105">
        <v>6574300</v>
      </c>
      <c r="AC11" s="12">
        <v>48.62</v>
      </c>
      <c r="AD11" s="2">
        <f t="shared" si="0"/>
        <v>0.71999999999999886</v>
      </c>
      <c r="AE11" s="148">
        <f t="shared" si="1"/>
        <v>-3.0756612671725136E-3</v>
      </c>
    </row>
    <row r="12" spans="1:31" x14ac:dyDescent="0.25">
      <c r="W12" s="143">
        <v>42445</v>
      </c>
      <c r="X12" s="12">
        <v>47.47</v>
      </c>
      <c r="Y12" s="12">
        <v>48.8</v>
      </c>
      <c r="Z12" s="12">
        <v>47.37</v>
      </c>
      <c r="AA12" s="12">
        <v>48.77</v>
      </c>
      <c r="AB12" s="105">
        <v>6369900</v>
      </c>
      <c r="AC12" s="12">
        <v>48.77</v>
      </c>
      <c r="AD12" s="2">
        <f t="shared" si="0"/>
        <v>1.4299999999999997</v>
      </c>
      <c r="AE12" s="148">
        <f t="shared" si="1"/>
        <v>2.114740368509227E-2</v>
      </c>
    </row>
    <row r="13" spans="1:31" x14ac:dyDescent="0.25">
      <c r="W13" s="143">
        <v>42444</v>
      </c>
      <c r="X13" s="12">
        <v>47.82</v>
      </c>
      <c r="Y13" s="12">
        <v>47.94</v>
      </c>
      <c r="Z13" s="12">
        <v>47.43</v>
      </c>
      <c r="AA13" s="12">
        <v>47.76</v>
      </c>
      <c r="AB13" s="105">
        <v>4749800</v>
      </c>
      <c r="AC13" s="12">
        <v>47.76</v>
      </c>
      <c r="AD13" s="2">
        <f t="shared" si="0"/>
        <v>0.50999999999999801</v>
      </c>
      <c r="AE13" s="148">
        <f t="shared" si="1"/>
        <v>-2.7145541866778755E-3</v>
      </c>
    </row>
    <row r="14" spans="1:31" x14ac:dyDescent="0.25">
      <c r="W14" s="143">
        <v>42443</v>
      </c>
      <c r="X14" s="12">
        <v>47.5</v>
      </c>
      <c r="Y14" s="12">
        <v>48.24</v>
      </c>
      <c r="Z14" s="12">
        <v>47.32</v>
      </c>
      <c r="AA14" s="12">
        <v>47.89</v>
      </c>
      <c r="AB14" s="105">
        <v>5751700</v>
      </c>
      <c r="AC14" s="12">
        <v>47.89</v>
      </c>
      <c r="AD14" s="2">
        <f t="shared" si="0"/>
        <v>0.92000000000000171</v>
      </c>
      <c r="AE14" s="148">
        <f t="shared" si="1"/>
        <v>4.1937513105474444E-3</v>
      </c>
    </row>
    <row r="15" spans="1:31" x14ac:dyDescent="0.25">
      <c r="W15" s="143">
        <v>42440</v>
      </c>
      <c r="X15" s="12">
        <v>47.47</v>
      </c>
      <c r="Y15" s="12">
        <v>48.07</v>
      </c>
      <c r="Z15" s="12">
        <v>47.28</v>
      </c>
      <c r="AA15" s="12">
        <v>47.69</v>
      </c>
      <c r="AB15" s="105">
        <v>6630100</v>
      </c>
      <c r="AC15" s="12">
        <v>47.69</v>
      </c>
      <c r="AD15" s="2">
        <f t="shared" si="0"/>
        <v>0.78999999999999915</v>
      </c>
      <c r="AE15" s="148">
        <f t="shared" si="1"/>
        <v>1.4680851063829659E-2</v>
      </c>
    </row>
    <row r="16" spans="1:31" x14ac:dyDescent="0.25">
      <c r="W16" s="143">
        <v>42439</v>
      </c>
      <c r="X16" s="12">
        <v>47</v>
      </c>
      <c r="Y16" s="12">
        <v>47.49</v>
      </c>
      <c r="Z16" s="12">
        <v>46.28</v>
      </c>
      <c r="AA16" s="12">
        <v>47</v>
      </c>
      <c r="AB16" s="105">
        <v>8293400</v>
      </c>
      <c r="AC16" s="12">
        <v>47</v>
      </c>
      <c r="AD16" s="2">
        <f t="shared" si="0"/>
        <v>1.2100000000000009</v>
      </c>
      <c r="AE16" s="148">
        <f t="shared" si="1"/>
        <v>5.5626872058194277E-3</v>
      </c>
    </row>
    <row r="17" spans="2:31" x14ac:dyDescent="0.25">
      <c r="B17" s="209" t="s">
        <v>117</v>
      </c>
      <c r="C17" s="209" t="s">
        <v>167</v>
      </c>
      <c r="D17" s="210" t="s">
        <v>166</v>
      </c>
      <c r="E17" s="212" t="s">
        <v>168</v>
      </c>
      <c r="F17" s="212" t="s">
        <v>65</v>
      </c>
      <c r="G17" s="253" t="s">
        <v>172</v>
      </c>
      <c r="H17" s="253" t="s">
        <v>90</v>
      </c>
      <c r="I17" s="253" t="s">
        <v>179</v>
      </c>
      <c r="W17" s="143">
        <v>42438</v>
      </c>
      <c r="X17" s="12">
        <v>46.31</v>
      </c>
      <c r="Y17" s="12">
        <v>46.94</v>
      </c>
      <c r="Z17" s="12">
        <v>46.22</v>
      </c>
      <c r="AA17" s="12">
        <v>46.74</v>
      </c>
      <c r="AB17" s="105">
        <v>8448900</v>
      </c>
      <c r="AC17" s="12">
        <v>46.74</v>
      </c>
      <c r="AD17" s="2">
        <f t="shared" si="0"/>
        <v>0.71999999999999886</v>
      </c>
      <c r="AE17" s="148">
        <f t="shared" si="1"/>
        <v>1.1250540891388994E-2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42437</v>
      </c>
      <c r="X18" s="12">
        <v>46.71</v>
      </c>
      <c r="Y18" s="12">
        <v>47.1</v>
      </c>
      <c r="Z18" s="12">
        <v>46.01</v>
      </c>
      <c r="AA18" s="12">
        <v>46.22</v>
      </c>
      <c r="AB18" s="105">
        <v>13501300</v>
      </c>
      <c r="AC18" s="12">
        <v>46.22</v>
      </c>
      <c r="AD18" s="2">
        <f t="shared" si="0"/>
        <v>1.0900000000000034</v>
      </c>
      <c r="AE18" s="148">
        <f t="shared" si="1"/>
        <v>-4.484397602810497E-2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42436</v>
      </c>
      <c r="X19" s="12">
        <v>48.24</v>
      </c>
      <c r="Y19" s="12">
        <v>48.48</v>
      </c>
      <c r="Z19" s="12">
        <v>47.85</v>
      </c>
      <c r="AA19" s="12">
        <v>48.39</v>
      </c>
      <c r="AB19" s="105">
        <v>7922300</v>
      </c>
      <c r="AC19" s="12">
        <v>48.39</v>
      </c>
      <c r="AD19" s="2">
        <f t="shared" si="0"/>
        <v>0.62999999999999545</v>
      </c>
      <c r="AE19" s="148">
        <f t="shared" si="1"/>
        <v>-5.7530306143415144E-3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42433</v>
      </c>
      <c r="X20" s="12">
        <v>49.06</v>
      </c>
      <c r="Y20" s="12">
        <v>49.1</v>
      </c>
      <c r="Z20" s="12">
        <v>48.47</v>
      </c>
      <c r="AA20" s="12">
        <v>48.67</v>
      </c>
      <c r="AB20" s="105">
        <v>8512300</v>
      </c>
      <c r="AC20" s="12">
        <v>48.67</v>
      </c>
      <c r="AD20" s="2">
        <f t="shared" si="0"/>
        <v>0.63000000000000256</v>
      </c>
      <c r="AE20" s="148">
        <f t="shared" si="1"/>
        <v>-2.4595203935232623E-3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42432</v>
      </c>
      <c r="X21" s="12">
        <v>48.59</v>
      </c>
      <c r="Y21" s="12">
        <v>49.01</v>
      </c>
      <c r="Z21" s="12">
        <v>48.35</v>
      </c>
      <c r="AA21" s="12">
        <v>48.79</v>
      </c>
      <c r="AB21" s="105">
        <v>8835200</v>
      </c>
      <c r="AC21" s="12">
        <v>48.79</v>
      </c>
      <c r="AD21" s="2">
        <f t="shared" si="0"/>
        <v>0.65999999999999659</v>
      </c>
      <c r="AE21" s="148">
        <f t="shared" si="1"/>
        <v>4.9433573635426775E-3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42431</v>
      </c>
      <c r="X22" s="12">
        <v>48.1</v>
      </c>
      <c r="Y22" s="12">
        <v>48.58</v>
      </c>
      <c r="Z22" s="12">
        <v>47.61</v>
      </c>
      <c r="AA22" s="12">
        <v>48.55</v>
      </c>
      <c r="AB22" s="105">
        <v>8922500</v>
      </c>
      <c r="AC22" s="12">
        <v>48.55</v>
      </c>
      <c r="AD22" s="2">
        <f t="shared" si="0"/>
        <v>0.96999999999999886</v>
      </c>
      <c r="AE22" s="148">
        <f t="shared" si="1"/>
        <v>-7.1574642126789323E-3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42430</v>
      </c>
      <c r="X23" s="12">
        <v>48.73</v>
      </c>
      <c r="Y23" s="12">
        <v>49.25</v>
      </c>
      <c r="Z23" s="12">
        <v>48.42</v>
      </c>
      <c r="AA23" s="12">
        <v>48.9</v>
      </c>
      <c r="AB23" s="105">
        <v>7845300</v>
      </c>
      <c r="AC23" s="12">
        <v>48.9</v>
      </c>
      <c r="AD23" s="2">
        <f t="shared" si="0"/>
        <v>0.82999999999999829</v>
      </c>
      <c r="AE23" s="148">
        <f t="shared" si="1"/>
        <v>1.3681592039801016E-2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42429</v>
      </c>
      <c r="X24" s="12">
        <v>47.75</v>
      </c>
      <c r="Y24" s="12">
        <v>48.8</v>
      </c>
      <c r="Z24" s="12">
        <v>47.4</v>
      </c>
      <c r="AA24" s="12">
        <v>48.24</v>
      </c>
      <c r="AB24" s="105">
        <v>7907200</v>
      </c>
      <c r="AC24" s="12">
        <v>48.24</v>
      </c>
      <c r="AD24" s="2">
        <f t="shared" si="0"/>
        <v>1.3999999999999986</v>
      </c>
      <c r="AE24" s="148">
        <f t="shared" si="1"/>
        <v>7.9398244880903857E-3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205.02</v>
      </c>
      <c r="G25" s="43"/>
      <c r="H25" s="260"/>
      <c r="I25" s="43"/>
      <c r="W25" s="143">
        <v>42426</v>
      </c>
      <c r="X25" s="12">
        <v>49.35</v>
      </c>
      <c r="Y25" s="12">
        <v>49.45</v>
      </c>
      <c r="Z25" s="12">
        <v>47.7</v>
      </c>
      <c r="AA25" s="12">
        <v>47.86</v>
      </c>
      <c r="AB25" s="105">
        <v>12275400</v>
      </c>
      <c r="AC25" s="12">
        <v>47.86</v>
      </c>
      <c r="AD25" s="2">
        <f t="shared" si="0"/>
        <v>1.75</v>
      </c>
      <c r="AE25" s="148">
        <f t="shared" si="1"/>
        <v>-2.7235772357723675E-2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42425</v>
      </c>
      <c r="X26" s="12">
        <v>49.08</v>
      </c>
      <c r="Y26" s="12">
        <v>49.45</v>
      </c>
      <c r="Z26" s="12">
        <v>48.67</v>
      </c>
      <c r="AA26" s="12">
        <v>49.2</v>
      </c>
      <c r="AB26" s="105">
        <v>7523200</v>
      </c>
      <c r="AC26" s="12">
        <v>49.2</v>
      </c>
      <c r="AD26" s="2">
        <f t="shared" si="0"/>
        <v>0.78000000000000114</v>
      </c>
      <c r="AE26" s="148">
        <f t="shared" si="1"/>
        <v>5.312627707396933E-3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42424</v>
      </c>
      <c r="X27" s="12">
        <v>48.45</v>
      </c>
      <c r="Y27" s="12">
        <v>49.05</v>
      </c>
      <c r="Z27" s="12">
        <v>47.79</v>
      </c>
      <c r="AA27" s="12">
        <v>48.94</v>
      </c>
      <c r="AB27" s="105">
        <v>9035600</v>
      </c>
      <c r="AC27" s="12">
        <v>48.94</v>
      </c>
      <c r="AD27" s="2">
        <f t="shared" si="0"/>
        <v>1.259999999999998</v>
      </c>
      <c r="AE27" s="148">
        <f t="shared" si="1"/>
        <v>-2.0429009193068115E-4</v>
      </c>
    </row>
    <row r="28" spans="2:31" x14ac:dyDescent="0.25">
      <c r="W28" s="143">
        <v>42423</v>
      </c>
      <c r="X28" s="12">
        <v>48.47</v>
      </c>
      <c r="Y28" s="12">
        <v>49.45</v>
      </c>
      <c r="Z28" s="12">
        <v>48.45</v>
      </c>
      <c r="AA28" s="12">
        <v>48.95</v>
      </c>
      <c r="AB28" s="105">
        <v>9388000</v>
      </c>
      <c r="AC28" s="12">
        <v>48.95</v>
      </c>
      <c r="AD28" s="2">
        <f t="shared" si="0"/>
        <v>1</v>
      </c>
      <c r="AE28" s="148">
        <f t="shared" si="1"/>
        <v>2.6628430970914163E-3</v>
      </c>
    </row>
    <row r="29" spans="2:31" x14ac:dyDescent="0.25">
      <c r="W29" s="143">
        <v>42422</v>
      </c>
      <c r="X29" s="12">
        <v>46.72</v>
      </c>
      <c r="Y29" s="12">
        <v>48.91</v>
      </c>
      <c r="Z29" s="12">
        <v>46.72</v>
      </c>
      <c r="AA29" s="12">
        <v>48.82</v>
      </c>
      <c r="AB29" s="105">
        <v>12741900</v>
      </c>
      <c r="AC29" s="12">
        <v>48.82</v>
      </c>
      <c r="AD29" s="2">
        <f t="shared" si="0"/>
        <v>2.1899999999999977</v>
      </c>
      <c r="AE29" s="148">
        <f t="shared" si="1"/>
        <v>4.4948630136986356E-2</v>
      </c>
    </row>
    <row r="30" spans="2:31" x14ac:dyDescent="0.25">
      <c r="W30" s="143">
        <v>42419</v>
      </c>
      <c r="X30" s="12">
        <v>46.46</v>
      </c>
      <c r="Y30" s="12">
        <v>47.15</v>
      </c>
      <c r="Z30" s="12">
        <v>46.24</v>
      </c>
      <c r="AA30" s="12">
        <v>46.72</v>
      </c>
      <c r="AB30" s="105">
        <v>10572300</v>
      </c>
      <c r="AC30" s="12">
        <v>46.72</v>
      </c>
      <c r="AD30" s="2">
        <f t="shared" si="0"/>
        <v>0.90999999999999659</v>
      </c>
      <c r="AE30" s="148">
        <f t="shared" si="1"/>
        <v>5.5962117950925094E-3</v>
      </c>
    </row>
    <row r="31" spans="2:31" x14ac:dyDescent="0.25">
      <c r="W31" s="143">
        <v>42418</v>
      </c>
      <c r="X31" s="12">
        <v>46.4</v>
      </c>
      <c r="Y31" s="12">
        <v>46.68</v>
      </c>
      <c r="Z31" s="12">
        <v>45.98</v>
      </c>
      <c r="AA31" s="12">
        <v>46.46</v>
      </c>
      <c r="AB31" s="105">
        <v>10915500</v>
      </c>
      <c r="AC31" s="12">
        <v>46.46</v>
      </c>
      <c r="AD31" s="2">
        <f t="shared" si="0"/>
        <v>0.70000000000000284</v>
      </c>
      <c r="AE31" s="148">
        <f t="shared" si="1"/>
        <v>7.8091106290671952E-3</v>
      </c>
    </row>
    <row r="32" spans="2:31" x14ac:dyDescent="0.25">
      <c r="W32" s="143">
        <v>42417</v>
      </c>
      <c r="X32" s="12">
        <v>44.98</v>
      </c>
      <c r="Y32" s="12">
        <v>46.27</v>
      </c>
      <c r="Z32" s="12">
        <v>44.95</v>
      </c>
      <c r="AA32" s="12">
        <v>46.1</v>
      </c>
      <c r="AB32" s="105">
        <v>10328100</v>
      </c>
      <c r="AC32" s="12">
        <v>46.1</v>
      </c>
      <c r="AD32" s="2">
        <f t="shared" si="0"/>
        <v>1.3200000000000003</v>
      </c>
      <c r="AE32" s="148">
        <f t="shared" si="1"/>
        <v>3.4096007178106902E-2</v>
      </c>
    </row>
    <row r="33" spans="15:31" x14ac:dyDescent="0.25">
      <c r="W33" s="143">
        <v>42416</v>
      </c>
      <c r="X33" s="12">
        <v>43.49</v>
      </c>
      <c r="Y33" s="12">
        <v>44.67</v>
      </c>
      <c r="Z33" s="12">
        <v>43.09</v>
      </c>
      <c r="AA33" s="12">
        <v>44.58</v>
      </c>
      <c r="AB33" s="105">
        <v>8095400</v>
      </c>
      <c r="AC33" s="12">
        <v>44.58</v>
      </c>
      <c r="AD33" s="2">
        <f t="shared" si="0"/>
        <v>1.5799999999999983</v>
      </c>
      <c r="AE33" s="148">
        <f t="shared" si="1"/>
        <v>3.6985345429169536E-2</v>
      </c>
    </row>
    <row r="34" spans="15:31" x14ac:dyDescent="0.25">
      <c r="W34" s="143">
        <v>42412</v>
      </c>
      <c r="X34" s="12">
        <v>43</v>
      </c>
      <c r="Y34" s="12">
        <v>43.14</v>
      </c>
      <c r="Z34" s="12">
        <v>42.14</v>
      </c>
      <c r="AA34" s="12">
        <v>42.99</v>
      </c>
      <c r="AB34" s="105">
        <v>7552700</v>
      </c>
      <c r="AC34" s="12">
        <v>42.99</v>
      </c>
      <c r="AD34" s="2">
        <f t="shared" si="0"/>
        <v>1</v>
      </c>
      <c r="AE34" s="148" t="e">
        <f t="shared" si="1"/>
        <v>#DIV/0!</v>
      </c>
    </row>
    <row r="35" spans="15:31" x14ac:dyDescent="0.25">
      <c r="W35" s="143">
        <v>42412</v>
      </c>
      <c r="X35" s="12" t="s">
        <v>225</v>
      </c>
      <c r="Y35" s="12"/>
      <c r="Z35" s="12"/>
      <c r="AA35" s="12"/>
      <c r="AB35" s="105"/>
      <c r="AC35" s="12"/>
      <c r="AD35" s="2">
        <f t="shared" si="0"/>
        <v>0</v>
      </c>
      <c r="AE35" s="148">
        <f t="shared" si="1"/>
        <v>-1</v>
      </c>
    </row>
    <row r="36" spans="15:31" x14ac:dyDescent="0.25">
      <c r="W36" s="143">
        <v>42411</v>
      </c>
      <c r="X36" s="12">
        <v>42.62</v>
      </c>
      <c r="Y36" s="12">
        <v>43.52</v>
      </c>
      <c r="Z36" s="12">
        <v>42.14</v>
      </c>
      <c r="AA36" s="12">
        <v>42.7</v>
      </c>
      <c r="AB36" s="105">
        <v>10019500</v>
      </c>
      <c r="AC36" s="12">
        <v>42.57</v>
      </c>
      <c r="AD36" s="2">
        <f t="shared" si="0"/>
        <v>1.3800000000000026</v>
      </c>
      <c r="AE36" s="148">
        <f t="shared" si="1"/>
        <v>-1.2984001854857485E-2</v>
      </c>
    </row>
    <row r="37" spans="15:31" x14ac:dyDescent="0.25">
      <c r="W37" s="143">
        <v>42410</v>
      </c>
      <c r="X37" s="12">
        <v>42.63</v>
      </c>
      <c r="Y37" s="12">
        <v>43.78</v>
      </c>
      <c r="Z37" s="12">
        <v>42.47</v>
      </c>
      <c r="AA37" s="12">
        <v>43.27</v>
      </c>
      <c r="AB37" s="105">
        <v>11356200</v>
      </c>
      <c r="AC37" s="12">
        <v>43.13</v>
      </c>
      <c r="AD37" s="2">
        <f t="shared" si="0"/>
        <v>1.3100000000000023</v>
      </c>
      <c r="AE37" s="148">
        <f t="shared" si="1"/>
        <v>3.0585424133811268E-2</v>
      </c>
    </row>
    <row r="38" spans="15:31" x14ac:dyDescent="0.25">
      <c r="W38" s="143">
        <v>42409</v>
      </c>
      <c r="X38" s="12">
        <v>40.35</v>
      </c>
      <c r="Y38" s="12">
        <v>42.49</v>
      </c>
      <c r="Z38" s="12">
        <v>40.03</v>
      </c>
      <c r="AA38" s="12">
        <v>41.98</v>
      </c>
      <c r="AB38" s="105">
        <v>12082600</v>
      </c>
      <c r="AC38" s="12">
        <v>41.85</v>
      </c>
      <c r="AD38" s="2">
        <f t="shared" si="0"/>
        <v>2.4600000000000009</v>
      </c>
      <c r="AE38" s="148">
        <f t="shared" si="1"/>
        <v>2.9773622047244208E-2</v>
      </c>
    </row>
    <row r="39" spans="15:31" x14ac:dyDescent="0.25">
      <c r="W39" s="143">
        <v>42408</v>
      </c>
      <c r="X39" s="12">
        <v>41.31</v>
      </c>
      <c r="Y39" s="12">
        <v>41.6</v>
      </c>
      <c r="Z39" s="12">
        <v>40.049999999999997</v>
      </c>
      <c r="AA39" s="12">
        <v>40.770000000000003</v>
      </c>
      <c r="AB39" s="105">
        <v>15450900</v>
      </c>
      <c r="AC39" s="12">
        <v>40.64</v>
      </c>
      <c r="AD39" s="2">
        <f t="shared" si="0"/>
        <v>1.5500000000000043</v>
      </c>
      <c r="AE39" s="148">
        <f t="shared" si="1"/>
        <v>-2.9608404966571245E-2</v>
      </c>
    </row>
    <row r="40" spans="15:31" ht="20.25" thickBot="1" x14ac:dyDescent="0.35">
      <c r="O40" s="420" t="s">
        <v>78</v>
      </c>
      <c r="P40" s="420"/>
      <c r="T40" s="101" t="s">
        <v>116</v>
      </c>
      <c r="W40" s="143">
        <v>42405</v>
      </c>
      <c r="X40" s="12">
        <v>44.14</v>
      </c>
      <c r="Y40" s="12">
        <v>44.55</v>
      </c>
      <c r="Z40" s="12">
        <v>41.67</v>
      </c>
      <c r="AA40" s="12">
        <v>42.01</v>
      </c>
      <c r="AB40" s="105">
        <v>14206000</v>
      </c>
      <c r="AC40" s="12">
        <v>41.88</v>
      </c>
      <c r="AD40" s="2">
        <f t="shared" si="0"/>
        <v>2.8799999999999955</v>
      </c>
      <c r="AE40" s="148">
        <f t="shared" si="1"/>
        <v>-4.6013667425968019E-2</v>
      </c>
    </row>
    <row r="41" spans="15:31" ht="15.75" thickTop="1" x14ac:dyDescent="0.25">
      <c r="O41" s="93">
        <v>1.1000000000000001</v>
      </c>
      <c r="P41" s="93">
        <f>O41*$Q$4</f>
        <v>51.710999999999999</v>
      </c>
      <c r="Q41" s="2"/>
      <c r="T41" s="138" t="s">
        <v>101</v>
      </c>
      <c r="U41" s="108">
        <v>48.68</v>
      </c>
      <c r="W41" s="143">
        <v>42404</v>
      </c>
      <c r="X41" s="12">
        <v>43.78</v>
      </c>
      <c r="Y41" s="12">
        <v>44.37</v>
      </c>
      <c r="Z41" s="12">
        <v>43.36</v>
      </c>
      <c r="AA41" s="12">
        <v>44.04</v>
      </c>
      <c r="AB41" s="105">
        <v>9444000</v>
      </c>
      <c r="AC41" s="12">
        <v>43.9</v>
      </c>
      <c r="AD41" s="2">
        <f t="shared" si="0"/>
        <v>1.009999999999998</v>
      </c>
      <c r="AE41" s="148">
        <f t="shared" si="1"/>
        <v>5.4970224461750039E-3</v>
      </c>
    </row>
    <row r="42" spans="15:31" x14ac:dyDescent="0.25">
      <c r="O42" s="93">
        <v>1.0900000000000001</v>
      </c>
      <c r="P42" s="93">
        <f t="shared" ref="P42:P61" si="5">O42*$Q$4</f>
        <v>51.240900000000003</v>
      </c>
      <c r="Q42" s="2"/>
      <c r="T42" s="103" t="s">
        <v>102</v>
      </c>
      <c r="U42" s="98" t="s">
        <v>134</v>
      </c>
      <c r="W42" s="143">
        <v>42403</v>
      </c>
      <c r="X42" s="12">
        <v>43.97</v>
      </c>
      <c r="Y42" s="12">
        <v>44.15</v>
      </c>
      <c r="Z42" s="12">
        <v>42.11</v>
      </c>
      <c r="AA42" s="12">
        <v>43.8</v>
      </c>
      <c r="AB42" s="105">
        <v>10049100</v>
      </c>
      <c r="AC42" s="12">
        <v>43.66</v>
      </c>
      <c r="AD42" s="2">
        <f t="shared" si="0"/>
        <v>2.0399999999999991</v>
      </c>
      <c r="AE42" s="148">
        <f t="shared" si="1"/>
        <v>4.3708304577869672E-3</v>
      </c>
    </row>
    <row r="43" spans="15:31" x14ac:dyDescent="0.25">
      <c r="O43" s="93">
        <v>1.08</v>
      </c>
      <c r="P43" s="93">
        <f t="shared" si="5"/>
        <v>50.770800000000001</v>
      </c>
      <c r="Q43" s="2"/>
      <c r="T43" s="103" t="s">
        <v>103</v>
      </c>
      <c r="U43" s="98" t="s">
        <v>348</v>
      </c>
      <c r="W43" s="143">
        <v>42402</v>
      </c>
      <c r="X43" s="12">
        <v>45.19</v>
      </c>
      <c r="Y43" s="12">
        <v>45.52</v>
      </c>
      <c r="Z43" s="12">
        <v>43.32</v>
      </c>
      <c r="AA43" s="12">
        <v>43.61</v>
      </c>
      <c r="AB43" s="105">
        <v>8994000</v>
      </c>
      <c r="AC43" s="12">
        <v>43.47</v>
      </c>
      <c r="AD43" s="2">
        <f t="shared" si="0"/>
        <v>2.2000000000000028</v>
      </c>
      <c r="AE43" s="148">
        <f t="shared" si="1"/>
        <v>-3.550033281562015E-2</v>
      </c>
    </row>
    <row r="44" spans="15:31" x14ac:dyDescent="0.25">
      <c r="O44" s="93">
        <v>1.07</v>
      </c>
      <c r="P44" s="93">
        <f t="shared" si="5"/>
        <v>50.300699999999999</v>
      </c>
      <c r="Q44" s="2"/>
      <c r="T44" s="103" t="s">
        <v>104</v>
      </c>
      <c r="U44" s="98" t="s">
        <v>349</v>
      </c>
      <c r="W44" s="143">
        <v>42401</v>
      </c>
      <c r="X44" s="12">
        <v>44.73</v>
      </c>
      <c r="Y44" s="12">
        <v>45.58</v>
      </c>
      <c r="Z44" s="12">
        <v>44.01</v>
      </c>
      <c r="AA44" s="12">
        <v>45.21</v>
      </c>
      <c r="AB44" s="105">
        <v>8618200</v>
      </c>
      <c r="AC44" s="12">
        <v>45.07</v>
      </c>
      <c r="AD44" s="2">
        <f t="shared" si="0"/>
        <v>1.5700000000000003</v>
      </c>
      <c r="AE44" s="148">
        <f t="shared" si="1"/>
        <v>2.0838052095130344E-2</v>
      </c>
    </row>
    <row r="45" spans="15:31" x14ac:dyDescent="0.25">
      <c r="O45" s="93">
        <v>1.06</v>
      </c>
      <c r="P45" s="93">
        <f t="shared" si="5"/>
        <v>49.830599999999997</v>
      </c>
      <c r="Q45" s="2"/>
      <c r="T45" s="103" t="s">
        <v>105</v>
      </c>
      <c r="U45" s="98">
        <v>65.069999999999993</v>
      </c>
      <c r="W45" s="143">
        <v>42398</v>
      </c>
      <c r="X45" s="12">
        <v>43.14</v>
      </c>
      <c r="Y45" s="12">
        <v>44.34</v>
      </c>
      <c r="Z45" s="12">
        <v>42.42</v>
      </c>
      <c r="AA45" s="12">
        <v>44.29</v>
      </c>
      <c r="AB45" s="105">
        <v>12820100</v>
      </c>
      <c r="AC45" s="12">
        <v>44.15</v>
      </c>
      <c r="AD45" s="2">
        <f t="shared" si="0"/>
        <v>1.9200000000000017</v>
      </c>
      <c r="AE45" s="148">
        <f t="shared" si="1"/>
        <v>2.5313516024152216E-2</v>
      </c>
    </row>
    <row r="46" spans="15:31" x14ac:dyDescent="0.25">
      <c r="O46" s="93">
        <v>1.05</v>
      </c>
      <c r="P46" s="93">
        <f t="shared" si="5"/>
        <v>49.360500000000002</v>
      </c>
      <c r="Q46" s="2"/>
      <c r="T46" s="103" t="s">
        <v>106</v>
      </c>
      <c r="U46" s="98">
        <v>1.31121</v>
      </c>
      <c r="W46" s="143">
        <v>42397</v>
      </c>
      <c r="X46" s="12">
        <v>44.84</v>
      </c>
      <c r="Y46" s="12">
        <v>45</v>
      </c>
      <c r="Z46" s="12">
        <v>42.52</v>
      </c>
      <c r="AA46" s="12">
        <v>43.2</v>
      </c>
      <c r="AB46" s="105">
        <v>13996900</v>
      </c>
      <c r="AC46" s="12">
        <v>43.06</v>
      </c>
      <c r="AD46" s="2">
        <f t="shared" si="0"/>
        <v>2.4799999999999969</v>
      </c>
      <c r="AE46" s="148">
        <f t="shared" si="1"/>
        <v>-3.409600717810668E-2</v>
      </c>
    </row>
    <row r="47" spans="15:31" x14ac:dyDescent="0.25">
      <c r="O47" s="93">
        <v>1.04</v>
      </c>
      <c r="P47" s="93">
        <f t="shared" si="5"/>
        <v>48.8904</v>
      </c>
      <c r="Q47" s="2"/>
      <c r="T47" s="103" t="s">
        <v>126</v>
      </c>
      <c r="U47" s="98" t="s">
        <v>241</v>
      </c>
      <c r="W47" s="143">
        <v>42396</v>
      </c>
      <c r="X47" s="12">
        <v>46.36</v>
      </c>
      <c r="Y47" s="12">
        <v>47</v>
      </c>
      <c r="Z47" s="12">
        <v>44.62</v>
      </c>
      <c r="AA47" s="12">
        <v>44.72</v>
      </c>
      <c r="AB47" s="105">
        <v>10669700</v>
      </c>
      <c r="AC47" s="12">
        <v>44.58</v>
      </c>
      <c r="AD47" s="2">
        <f t="shared" si="0"/>
        <v>2.3800000000000026</v>
      </c>
      <c r="AE47" s="148">
        <f t="shared" si="1"/>
        <v>-3.0026109660574507E-2</v>
      </c>
    </row>
    <row r="48" spans="15:31" x14ac:dyDescent="0.25">
      <c r="O48" s="93">
        <v>1.03</v>
      </c>
      <c r="P48" s="93">
        <f t="shared" si="5"/>
        <v>48.420299999999997</v>
      </c>
      <c r="Q48" s="2"/>
      <c r="T48" s="103"/>
      <c r="U48" s="98"/>
      <c r="W48" s="143">
        <v>42395</v>
      </c>
      <c r="X48" s="12">
        <v>46.49</v>
      </c>
      <c r="Y48" s="12">
        <v>46.9</v>
      </c>
      <c r="Z48" s="12">
        <v>45.63</v>
      </c>
      <c r="AA48" s="12">
        <v>46.11</v>
      </c>
      <c r="AB48" s="105">
        <v>8685100</v>
      </c>
      <c r="AC48" s="12">
        <v>45.96</v>
      </c>
      <c r="AD48" s="2">
        <f t="shared" si="0"/>
        <v>1.269999999999996</v>
      </c>
      <c r="AE48" s="148">
        <f t="shared" si="1"/>
        <v>3.7126010045862579E-3</v>
      </c>
    </row>
    <row r="49" spans="15:31" x14ac:dyDescent="0.25">
      <c r="O49" s="93">
        <v>1.02</v>
      </c>
      <c r="P49" s="93">
        <f t="shared" si="5"/>
        <v>47.950199999999995</v>
      </c>
      <c r="Q49" s="2"/>
      <c r="T49" s="103" t="s">
        <v>108</v>
      </c>
      <c r="U49" s="98" t="s">
        <v>302</v>
      </c>
      <c r="W49" s="143">
        <v>42394</v>
      </c>
      <c r="X49" s="12">
        <v>47.59</v>
      </c>
      <c r="Y49" s="12">
        <v>47.62</v>
      </c>
      <c r="Z49" s="12">
        <v>45.85</v>
      </c>
      <c r="AA49" s="12">
        <v>45.94</v>
      </c>
      <c r="AB49" s="105">
        <v>8602600</v>
      </c>
      <c r="AC49" s="12">
        <v>45.79</v>
      </c>
      <c r="AD49" s="2">
        <f t="shared" si="0"/>
        <v>1.769999999999996</v>
      </c>
      <c r="AE49" s="148">
        <f t="shared" si="1"/>
        <v>-1.7592791246513584E-2</v>
      </c>
    </row>
    <row r="50" spans="15:31" x14ac:dyDescent="0.25">
      <c r="O50" s="93">
        <v>1.01</v>
      </c>
      <c r="P50" s="93">
        <f t="shared" si="5"/>
        <v>47.4801</v>
      </c>
      <c r="Q50" s="2"/>
      <c r="T50" s="103" t="s">
        <v>109</v>
      </c>
      <c r="U50" s="98" t="s">
        <v>242</v>
      </c>
      <c r="W50" s="143">
        <v>42391</v>
      </c>
      <c r="X50" s="12">
        <v>47.09</v>
      </c>
      <c r="Y50" s="12">
        <v>47.49</v>
      </c>
      <c r="Z50" s="12">
        <v>46.53</v>
      </c>
      <c r="AA50" s="12">
        <v>46.76</v>
      </c>
      <c r="AB50" s="105">
        <v>9419500</v>
      </c>
      <c r="AC50" s="12">
        <v>46.61</v>
      </c>
      <c r="AD50" s="2">
        <f t="shared" si="0"/>
        <v>0.96000000000000085</v>
      </c>
      <c r="AE50" s="148">
        <f t="shared" si="1"/>
        <v>5.1757601897779448E-3</v>
      </c>
    </row>
    <row r="51" spans="15:31" x14ac:dyDescent="0.25">
      <c r="O51" s="93">
        <v>1</v>
      </c>
      <c r="P51" s="93">
        <f t="shared" si="5"/>
        <v>47.01</v>
      </c>
      <c r="Q51" s="2"/>
      <c r="T51" s="103" t="s">
        <v>110</v>
      </c>
      <c r="U51" s="100">
        <v>1672</v>
      </c>
      <c r="W51" s="143">
        <v>42390</v>
      </c>
      <c r="X51" s="12">
        <v>46.65</v>
      </c>
      <c r="Y51" s="12">
        <v>47.12</v>
      </c>
      <c r="Z51" s="12">
        <v>45.37</v>
      </c>
      <c r="AA51" s="12">
        <v>46.52</v>
      </c>
      <c r="AB51" s="105">
        <v>12817400</v>
      </c>
      <c r="AC51" s="12">
        <v>46.37</v>
      </c>
      <c r="AD51" s="2">
        <f t="shared" si="0"/>
        <v>1.75</v>
      </c>
      <c r="AE51" s="148">
        <f t="shared" si="1"/>
        <v>1.8002195389681619E-2</v>
      </c>
    </row>
    <row r="52" spans="15:31" x14ac:dyDescent="0.25">
      <c r="O52" s="93">
        <v>0.99</v>
      </c>
      <c r="P52" s="93">
        <f t="shared" si="5"/>
        <v>46.539899999999996</v>
      </c>
      <c r="Q52" s="2"/>
      <c r="T52" s="103" t="s">
        <v>113</v>
      </c>
      <c r="U52" s="100">
        <v>10234200</v>
      </c>
      <c r="W52" s="143">
        <v>42389</v>
      </c>
      <c r="X52" s="12">
        <v>46.09</v>
      </c>
      <c r="Y52" s="12">
        <v>46.76</v>
      </c>
      <c r="Z52" s="12">
        <v>42.54</v>
      </c>
      <c r="AA52" s="12">
        <v>45.69</v>
      </c>
      <c r="AB52" s="105">
        <v>21927500</v>
      </c>
      <c r="AC52" s="12">
        <v>45.55</v>
      </c>
      <c r="AD52" s="2">
        <f t="shared" si="0"/>
        <v>4.2199999999999989</v>
      </c>
      <c r="AE52" s="148">
        <f t="shared" si="1"/>
        <v>-5.6756166775814298E-3</v>
      </c>
    </row>
    <row r="53" spans="15:31" x14ac:dyDescent="0.25">
      <c r="O53" s="93">
        <v>0.98</v>
      </c>
      <c r="P53" s="93">
        <f t="shared" si="5"/>
        <v>46.069800000000001</v>
      </c>
      <c r="Q53" s="2"/>
      <c r="T53" s="103" t="s">
        <v>111</v>
      </c>
      <c r="U53" s="98" t="s">
        <v>350</v>
      </c>
      <c r="W53" s="143">
        <v>42388</v>
      </c>
      <c r="X53" s="12">
        <v>45.8</v>
      </c>
      <c r="Y53" s="12">
        <v>46.75</v>
      </c>
      <c r="Z53" s="12">
        <v>45.19</v>
      </c>
      <c r="AA53" s="12">
        <v>45.96</v>
      </c>
      <c r="AB53" s="105">
        <v>16014700</v>
      </c>
      <c r="AC53" s="12">
        <v>45.81</v>
      </c>
      <c r="AD53" s="2">
        <f t="shared" si="0"/>
        <v>1.5600000000000023</v>
      </c>
      <c r="AE53" s="148">
        <f t="shared" si="1"/>
        <v>3.2687105500450953E-2</v>
      </c>
    </row>
    <row r="54" spans="15:31" x14ac:dyDescent="0.25">
      <c r="O54" s="93">
        <v>0.97</v>
      </c>
      <c r="P54" s="93">
        <f t="shared" si="5"/>
        <v>45.599699999999999</v>
      </c>
      <c r="T54" s="103" t="s">
        <v>114</v>
      </c>
      <c r="U54" s="98">
        <v>8.65</v>
      </c>
      <c r="W54" s="143">
        <v>42384</v>
      </c>
      <c r="X54" s="12">
        <v>43.88</v>
      </c>
      <c r="Y54" s="12">
        <v>45.36</v>
      </c>
      <c r="Z54" s="12">
        <v>43.45</v>
      </c>
      <c r="AA54" s="12">
        <v>44.5</v>
      </c>
      <c r="AB54" s="105">
        <v>16408600</v>
      </c>
      <c r="AC54" s="12">
        <v>44.36</v>
      </c>
      <c r="AD54" s="2">
        <f t="shared" si="0"/>
        <v>1.9099999999999966</v>
      </c>
      <c r="AE54" s="148">
        <f t="shared" si="1"/>
        <v>-1.8584070796460295E-2</v>
      </c>
    </row>
    <row r="55" spans="15:31" x14ac:dyDescent="0.25">
      <c r="O55" s="93">
        <v>0.96</v>
      </c>
      <c r="P55" s="93">
        <f t="shared" si="5"/>
        <v>45.129599999999996</v>
      </c>
      <c r="T55" s="103" t="s">
        <v>115</v>
      </c>
      <c r="U55" s="98">
        <v>5.63</v>
      </c>
      <c r="W55" s="143">
        <v>42383</v>
      </c>
      <c r="X55" s="12">
        <v>45.03</v>
      </c>
      <c r="Y55" s="12">
        <v>45.75</v>
      </c>
      <c r="Z55" s="12">
        <v>44.02</v>
      </c>
      <c r="AA55" s="12">
        <v>45.34</v>
      </c>
      <c r="AB55" s="105">
        <v>11555000</v>
      </c>
      <c r="AC55" s="12">
        <v>45.2</v>
      </c>
      <c r="AD55" s="2">
        <f t="shared" si="0"/>
        <v>1.7299999999999969</v>
      </c>
      <c r="AE55" s="148">
        <f t="shared" si="1"/>
        <v>8.9285714285716189E-3</v>
      </c>
    </row>
    <row r="56" spans="15:31" x14ac:dyDescent="0.25">
      <c r="O56" s="93">
        <v>0.95</v>
      </c>
      <c r="P56" s="93">
        <f t="shared" si="5"/>
        <v>44.659499999999994</v>
      </c>
      <c r="T56" s="103" t="s">
        <v>112</v>
      </c>
      <c r="U56" s="98" t="s">
        <v>351</v>
      </c>
      <c r="W56" s="143">
        <v>42382</v>
      </c>
      <c r="X56" s="12">
        <v>47.5</v>
      </c>
      <c r="Y56" s="12">
        <v>47.5</v>
      </c>
      <c r="Z56" s="12">
        <v>44.54</v>
      </c>
      <c r="AA56" s="12">
        <v>44.94</v>
      </c>
      <c r="AB56" s="105">
        <v>10964500</v>
      </c>
      <c r="AC56" s="12">
        <v>44.8</v>
      </c>
      <c r="AD56" s="2">
        <f t="shared" si="0"/>
        <v>2.9600000000000009</v>
      </c>
      <c r="AE56" s="148">
        <f t="shared" si="1"/>
        <v>-4.2939542832728161E-2</v>
      </c>
    </row>
    <row r="57" spans="15:31" x14ac:dyDescent="0.25">
      <c r="O57" s="93">
        <v>0.94</v>
      </c>
      <c r="P57" s="93">
        <f t="shared" si="5"/>
        <v>44.189399999999999</v>
      </c>
      <c r="W57" s="143">
        <v>42381</v>
      </c>
      <c r="X57" s="12">
        <v>47.07</v>
      </c>
      <c r="Y57" s="12">
        <v>47.48</v>
      </c>
      <c r="Z57" s="12">
        <v>45.82</v>
      </c>
      <c r="AA57" s="12">
        <v>46.96</v>
      </c>
      <c r="AB57" s="105">
        <v>12163400</v>
      </c>
      <c r="AC57" s="12">
        <v>46.81</v>
      </c>
      <c r="AD57" s="2">
        <f t="shared" si="0"/>
        <v>1.6599999999999966</v>
      </c>
      <c r="AE57" s="148">
        <f t="shared" si="1"/>
        <v>4.7220433569434839E-3</v>
      </c>
    </row>
    <row r="58" spans="15:31" x14ac:dyDescent="0.25">
      <c r="O58" s="93">
        <v>0.93</v>
      </c>
      <c r="P58" s="93">
        <f t="shared" si="5"/>
        <v>43.719299999999997</v>
      </c>
      <c r="W58" s="143">
        <v>42380</v>
      </c>
      <c r="X58" s="12">
        <v>46.99</v>
      </c>
      <c r="Y58" s="12">
        <v>47.29</v>
      </c>
      <c r="Z58" s="12">
        <v>45.57</v>
      </c>
      <c r="AA58" s="12">
        <v>46.74</v>
      </c>
      <c r="AB58" s="105">
        <v>12096400</v>
      </c>
      <c r="AC58" s="12">
        <v>46.59</v>
      </c>
      <c r="AD58" s="2">
        <f t="shared" si="0"/>
        <v>1.7199999999999989</v>
      </c>
      <c r="AE58" s="148">
        <f t="shared" si="1"/>
        <v>2.7981058975463657E-3</v>
      </c>
    </row>
    <row r="59" spans="15:31" x14ac:dyDescent="0.25">
      <c r="O59" s="93">
        <v>0.92</v>
      </c>
      <c r="P59" s="93">
        <f t="shared" si="5"/>
        <v>43.249200000000002</v>
      </c>
      <c r="W59" s="143">
        <v>42377</v>
      </c>
      <c r="X59" s="12">
        <v>47.48</v>
      </c>
      <c r="Y59" s="12">
        <v>48.95</v>
      </c>
      <c r="Z59" s="12">
        <v>46.49</v>
      </c>
      <c r="AA59" s="12">
        <v>46.61</v>
      </c>
      <c r="AB59" s="105">
        <v>10850300</v>
      </c>
      <c r="AC59" s="12">
        <v>46.46</v>
      </c>
      <c r="AD59" s="2">
        <f t="shared" si="0"/>
        <v>2.4600000000000009</v>
      </c>
      <c r="AE59" s="148">
        <f t="shared" si="1"/>
        <v>-8.3244397011740245E-3</v>
      </c>
    </row>
    <row r="60" spans="15:31" x14ac:dyDescent="0.25">
      <c r="O60" s="93">
        <v>0.91</v>
      </c>
      <c r="P60" s="93">
        <f t="shared" si="5"/>
        <v>42.7791</v>
      </c>
      <c r="W60" s="143">
        <v>42376</v>
      </c>
      <c r="X60" s="12">
        <v>48.39</v>
      </c>
      <c r="Y60" s="12">
        <v>48.68</v>
      </c>
      <c r="Z60" s="12">
        <v>46.74</v>
      </c>
      <c r="AA60" s="12">
        <v>47</v>
      </c>
      <c r="AB60" s="105">
        <v>11301100</v>
      </c>
      <c r="AC60" s="12">
        <v>46.85</v>
      </c>
      <c r="AD60" s="2">
        <f t="shared" si="0"/>
        <v>1.9399999999999977</v>
      </c>
      <c r="AE60" s="148">
        <f t="shared" si="1"/>
        <v>-3.9565395653956559E-2</v>
      </c>
    </row>
    <row r="61" spans="15:31" x14ac:dyDescent="0.25">
      <c r="O61" s="93">
        <v>0.9</v>
      </c>
      <c r="P61" s="93">
        <f t="shared" si="5"/>
        <v>42.308999999999997</v>
      </c>
      <c r="W61" s="143">
        <v>42375</v>
      </c>
      <c r="X61" s="12">
        <v>47.79</v>
      </c>
      <c r="Y61" s="12">
        <v>49.3</v>
      </c>
      <c r="Z61" s="12">
        <v>47.63</v>
      </c>
      <c r="AA61" s="12">
        <v>48.93</v>
      </c>
      <c r="AB61" s="105">
        <v>10375900</v>
      </c>
      <c r="AC61" s="12">
        <v>48.78</v>
      </c>
      <c r="AD61" s="2">
        <f t="shared" si="0"/>
        <v>1.6699999999999946</v>
      </c>
      <c r="AE61" s="148">
        <f t="shared" si="1"/>
        <v>7.4349442379182396E-3</v>
      </c>
    </row>
    <row r="62" spans="15:31" x14ac:dyDescent="0.25">
      <c r="W62" s="143">
        <v>42374</v>
      </c>
      <c r="X62" s="12">
        <v>49.31</v>
      </c>
      <c r="Y62" s="12">
        <v>49.75</v>
      </c>
      <c r="Z62" s="12">
        <v>47.04</v>
      </c>
      <c r="AA62" s="12">
        <v>48.57</v>
      </c>
      <c r="AB62" s="105">
        <v>14557200</v>
      </c>
      <c r="AC62" s="12">
        <v>48.42</v>
      </c>
      <c r="AD62" s="2">
        <f t="shared" si="0"/>
        <v>2.7100000000000009</v>
      </c>
      <c r="AE62" s="148">
        <f t="shared" si="1"/>
        <v>-1.8552875695732052E-3</v>
      </c>
    </row>
    <row r="63" spans="15:31" x14ac:dyDescent="0.25">
      <c r="W63" s="143">
        <v>42373</v>
      </c>
      <c r="X63" s="12">
        <v>49.42</v>
      </c>
      <c r="Y63" s="12">
        <v>49.42</v>
      </c>
      <c r="Z63" s="12">
        <v>48.3</v>
      </c>
      <c r="AA63" s="12">
        <v>48.66</v>
      </c>
      <c r="AB63" s="105">
        <v>12323200</v>
      </c>
      <c r="AC63" s="12">
        <v>48.51</v>
      </c>
      <c r="AD63" s="2">
        <f t="shared" si="0"/>
        <v>1.1200000000000045</v>
      </c>
      <c r="AE63" s="148">
        <f t="shared" si="1"/>
        <v>-3.9976251731644652E-2</v>
      </c>
    </row>
    <row r="64" spans="15:31" x14ac:dyDescent="0.25">
      <c r="W64" s="143">
        <v>42369</v>
      </c>
      <c r="X64" s="12">
        <v>51</v>
      </c>
      <c r="Y64" s="12">
        <v>51.08</v>
      </c>
      <c r="Z64" s="12">
        <v>50.35</v>
      </c>
      <c r="AA64" s="12">
        <v>50.69</v>
      </c>
      <c r="AB64" s="105">
        <v>5911400</v>
      </c>
      <c r="AC64" s="12">
        <v>50.53</v>
      </c>
      <c r="AD64" s="2">
        <f t="shared" si="0"/>
        <v>0.72999999999999687</v>
      </c>
      <c r="AE64" s="148">
        <f t="shared" si="1"/>
        <v>-9.4099196236031579E-3</v>
      </c>
    </row>
    <row r="65" spans="23:31" x14ac:dyDescent="0.25">
      <c r="W65" s="143">
        <v>42368</v>
      </c>
      <c r="X65" s="12">
        <v>52.23</v>
      </c>
      <c r="Y65" s="12">
        <v>52.3</v>
      </c>
      <c r="Z65" s="12">
        <v>51.07</v>
      </c>
      <c r="AA65" s="12">
        <v>51.17</v>
      </c>
      <c r="AB65" s="105">
        <v>5060000</v>
      </c>
      <c r="AC65" s="12">
        <v>51.01</v>
      </c>
      <c r="AD65" s="2">
        <f t="shared" si="0"/>
        <v>1.2299999999999969</v>
      </c>
      <c r="AE65" s="148">
        <f t="shared" si="1"/>
        <v>-1.9227071716977462E-2</v>
      </c>
    </row>
    <row r="66" spans="23:31" x14ac:dyDescent="0.25">
      <c r="W66" s="143">
        <v>42367</v>
      </c>
      <c r="X66" s="12">
        <v>51.93</v>
      </c>
      <c r="Y66" s="12">
        <v>52.41</v>
      </c>
      <c r="Z66" s="12">
        <v>51.89</v>
      </c>
      <c r="AA66" s="12">
        <v>52.17</v>
      </c>
      <c r="AB66" s="105">
        <v>4300100</v>
      </c>
      <c r="AC66" s="12">
        <v>52.01</v>
      </c>
      <c r="AD66" s="2">
        <f t="shared" si="0"/>
        <v>0.51999999999999602</v>
      </c>
      <c r="AE66" s="148">
        <f t="shared" si="1"/>
        <v>4.2479243097122144E-3</v>
      </c>
    </row>
    <row r="67" spans="23:31" x14ac:dyDescent="0.25">
      <c r="W67" s="143">
        <v>42366</v>
      </c>
      <c r="X67" s="12">
        <v>52.41</v>
      </c>
      <c r="Y67" s="12">
        <v>52.72</v>
      </c>
      <c r="Z67" s="12">
        <v>51.32</v>
      </c>
      <c r="AA67" s="12">
        <v>51.95</v>
      </c>
      <c r="AB67" s="105">
        <v>5295300</v>
      </c>
      <c r="AC67" s="12">
        <v>51.79</v>
      </c>
      <c r="AD67" s="2">
        <f t="shared" ref="AD67" si="6">Y67-Z67</f>
        <v>1.3999999999999986</v>
      </c>
      <c r="AE67" s="148" t="e">
        <f>AC67/#REF!-1</f>
        <v>#REF!</v>
      </c>
    </row>
    <row r="68" spans="23:31" x14ac:dyDescent="0.25">
      <c r="W68" s="143">
        <v>42362</v>
      </c>
      <c r="X68" s="12">
        <v>51.71</v>
      </c>
      <c r="Y68" s="12">
        <v>52.65</v>
      </c>
      <c r="Z68" s="12">
        <v>51.69</v>
      </c>
      <c r="AA68" s="12">
        <v>52.26</v>
      </c>
      <c r="AB68" s="105">
        <v>3834200</v>
      </c>
      <c r="AC68" s="12">
        <v>52.09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3" priority="17">
      <formula>Q7&gt;0</formula>
    </cfRule>
    <cfRule type="expression" dxfId="12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21" priority="11">
      <formula>F22&gt;0</formula>
    </cfRule>
    <cfRule type="expression" dxfId="120" priority="12">
      <formula>F22&lt;0</formula>
    </cfRule>
  </conditionalFormatting>
  <conditionalFormatting sqref="F25:F27">
    <cfRule type="expression" dxfId="119" priority="7">
      <formula>F25&gt;0</formula>
    </cfRule>
    <cfRule type="expression" dxfId="118" priority="8">
      <formula>F25&lt;0</formula>
    </cfRule>
  </conditionalFormatting>
  <conditionalFormatting sqref="F25:F27">
    <cfRule type="expression" dxfId="117" priority="9">
      <formula>F25&gt;0</formula>
    </cfRule>
    <cfRule type="expression" dxfId="116" priority="10">
      <formula>F25&lt;0</formula>
    </cfRule>
  </conditionalFormatting>
  <conditionalFormatting sqref="H22:H27">
    <cfRule type="expression" dxfId="115" priority="5">
      <formula>H22&gt;0</formula>
    </cfRule>
    <cfRule type="expression" dxfId="114" priority="6">
      <formula>H22&lt;0</formula>
    </cfRule>
  </conditionalFormatting>
  <conditionalFormatting sqref="F18:F21">
    <cfRule type="expression" dxfId="113" priority="3">
      <formula>F18&gt;0</formula>
    </cfRule>
    <cfRule type="expression" dxfId="112" priority="4">
      <formula>F18&lt;0</formula>
    </cfRule>
  </conditionalFormatting>
  <conditionalFormatting sqref="H18:H21">
    <cfRule type="expression" dxfId="111" priority="1">
      <formula>H18&gt;0</formula>
    </cfRule>
    <cfRule type="expression" dxfId="11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42460</v>
      </c>
      <c r="X2" s="12">
        <v>99.01</v>
      </c>
      <c r="Y2" s="12">
        <v>100.37</v>
      </c>
      <c r="Z2" s="12">
        <v>99.01</v>
      </c>
      <c r="AA2" s="12">
        <v>99.31</v>
      </c>
      <c r="AB2" s="105">
        <v>6974000</v>
      </c>
      <c r="AC2" s="12">
        <v>99.31</v>
      </c>
      <c r="AD2" s="2">
        <f>Y2-Z2</f>
        <v>1.3599999999999994</v>
      </c>
      <c r="AE2" s="148">
        <f>AC2/AC3-1</f>
        <v>4.044080477201506E-3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255">
        <f>IF(Q2=0, Q4, (F11-K11)/Q2)</f>
        <v>96.787600000000026</v>
      </c>
      <c r="T3" s="1"/>
      <c r="W3" s="143">
        <v>42459</v>
      </c>
      <c r="X3" s="12">
        <v>98.9</v>
      </c>
      <c r="Y3" s="12">
        <v>99.09</v>
      </c>
      <c r="Z3" s="12">
        <v>98.35</v>
      </c>
      <c r="AA3" s="12">
        <v>98.91</v>
      </c>
      <c r="AB3" s="105">
        <v>5649700</v>
      </c>
      <c r="AC3" s="12">
        <v>98.91</v>
      </c>
      <c r="AD3" s="2">
        <f t="shared" ref="AD3:AD66" si="1">Y3-Z3</f>
        <v>0.74000000000000909</v>
      </c>
      <c r="AE3" s="148">
        <f t="shared" ref="AE3:AE66" si="2">AC3/AC4-1</f>
        <v>7.640586797065918E-3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99.07</v>
      </c>
      <c r="T4" s="173"/>
      <c r="W4" s="143">
        <v>42458</v>
      </c>
      <c r="X4" s="12">
        <v>98</v>
      </c>
      <c r="Y4" s="12">
        <v>98.37</v>
      </c>
      <c r="Z4" s="12">
        <v>97.36</v>
      </c>
      <c r="AA4" s="12">
        <v>98.16</v>
      </c>
      <c r="AB4" s="105">
        <v>5124300</v>
      </c>
      <c r="AC4" s="12">
        <v>98.16</v>
      </c>
      <c r="AD4" s="2">
        <f t="shared" si="1"/>
        <v>1.0100000000000051</v>
      </c>
      <c r="AE4" s="148">
        <f t="shared" si="2"/>
        <v>7.1363033948412813E-4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2476.75</v>
      </c>
      <c r="W5" s="143">
        <v>42457</v>
      </c>
      <c r="X5" s="12">
        <v>97.5</v>
      </c>
      <c r="Y5" s="12">
        <v>98.46</v>
      </c>
      <c r="Z5" s="12">
        <v>97.45</v>
      </c>
      <c r="AA5" s="12">
        <v>98.09</v>
      </c>
      <c r="AB5" s="105">
        <v>5297100</v>
      </c>
      <c r="AC5" s="12">
        <v>98.09</v>
      </c>
      <c r="AD5" s="2">
        <f t="shared" si="1"/>
        <v>1.0099999999999909</v>
      </c>
      <c r="AE5" s="148">
        <f t="shared" si="2"/>
        <v>8.9487759720223714E-3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42453</v>
      </c>
      <c r="X6" s="12">
        <v>96.55</v>
      </c>
      <c r="Y6" s="12">
        <v>97.49</v>
      </c>
      <c r="Z6" s="12">
        <v>96.3</v>
      </c>
      <c r="AA6" s="12">
        <v>97.22</v>
      </c>
      <c r="AB6" s="105">
        <v>5547400</v>
      </c>
      <c r="AC6" s="12">
        <v>97.22</v>
      </c>
      <c r="AD6" s="2">
        <f t="shared" si="1"/>
        <v>1.1899999999999977</v>
      </c>
      <c r="AE6" s="148">
        <f t="shared" si="2"/>
        <v>4.0276773727150328E-3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57.059999999999491</v>
      </c>
      <c r="R7" s="206"/>
      <c r="W7" s="143">
        <v>42452</v>
      </c>
      <c r="X7" s="12">
        <v>97.72</v>
      </c>
      <c r="Y7" s="12">
        <v>97.85</v>
      </c>
      <c r="Z7" s="12">
        <v>96.75</v>
      </c>
      <c r="AA7" s="12">
        <v>96.83</v>
      </c>
      <c r="AB7" s="105">
        <v>5466600</v>
      </c>
      <c r="AC7" s="12">
        <v>96.83</v>
      </c>
      <c r="AD7" s="2">
        <f t="shared" si="1"/>
        <v>1.0999999999999943</v>
      </c>
      <c r="AE7" s="148">
        <f t="shared" si="2"/>
        <v>-7.6860012297601532E-3</v>
      </c>
    </row>
    <row r="8" spans="1:31" x14ac:dyDescent="0.25">
      <c r="H8" s="81"/>
      <c r="O8" s="13" t="s">
        <v>90</v>
      </c>
      <c r="Q8" s="148">
        <f>(Q4-Q3)/Q3</f>
        <v>2.3581533171604281E-2</v>
      </c>
      <c r="W8" s="143">
        <v>42451</v>
      </c>
      <c r="X8" s="12">
        <v>97.59</v>
      </c>
      <c r="Y8" s="12">
        <v>98.32</v>
      </c>
      <c r="Z8" s="12">
        <v>97.44</v>
      </c>
      <c r="AA8" s="12">
        <v>97.58</v>
      </c>
      <c r="AB8" s="105">
        <v>6418700</v>
      </c>
      <c r="AC8" s="12">
        <v>97.58</v>
      </c>
      <c r="AD8" s="2">
        <f t="shared" si="1"/>
        <v>0.87999999999999545</v>
      </c>
      <c r="AE8" s="148">
        <f t="shared" si="2"/>
        <v>-8.9376396506194444E-3</v>
      </c>
    </row>
    <row r="9" spans="1:31" x14ac:dyDescent="0.25">
      <c r="H9" s="81"/>
      <c r="W9" s="143">
        <v>42450</v>
      </c>
      <c r="X9" s="12">
        <v>98.92</v>
      </c>
      <c r="Y9" s="12">
        <v>99.12</v>
      </c>
      <c r="Z9" s="12">
        <v>97.7</v>
      </c>
      <c r="AA9" s="12">
        <v>98.46</v>
      </c>
      <c r="AB9" s="105">
        <v>7039800</v>
      </c>
      <c r="AC9" s="12">
        <v>98.46</v>
      </c>
      <c r="AD9" s="2">
        <f t="shared" si="1"/>
        <v>1.4200000000000017</v>
      </c>
      <c r="AE9" s="148">
        <f t="shared" si="2"/>
        <v>-7.4596774193549376E-3</v>
      </c>
    </row>
    <row r="10" spans="1:31" x14ac:dyDescent="0.25">
      <c r="W10" s="143">
        <v>42447</v>
      </c>
      <c r="X10" s="12">
        <v>99.98</v>
      </c>
      <c r="Y10" s="12">
        <v>100.15</v>
      </c>
      <c r="Z10" s="12">
        <v>98.96</v>
      </c>
      <c r="AA10" s="12">
        <v>99.2</v>
      </c>
      <c r="AB10" s="105">
        <v>10073800</v>
      </c>
      <c r="AC10" s="12">
        <v>99.2</v>
      </c>
      <c r="AD10" s="2">
        <f t="shared" si="1"/>
        <v>1.1900000000000119</v>
      </c>
      <c r="AE10" s="148">
        <f t="shared" si="2"/>
        <v>-4.0160642570280514E-3</v>
      </c>
    </row>
    <row r="11" spans="1:31" x14ac:dyDescent="0.25">
      <c r="A11" s="3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42446</v>
      </c>
      <c r="X11" s="12">
        <v>98.28</v>
      </c>
      <c r="Y11" s="12">
        <v>99.91</v>
      </c>
      <c r="Z11" s="12">
        <v>98.28</v>
      </c>
      <c r="AA11" s="12">
        <v>99.6</v>
      </c>
      <c r="AB11" s="105">
        <v>6372900</v>
      </c>
      <c r="AC11" s="12">
        <v>99.6</v>
      </c>
      <c r="AD11" s="2">
        <f t="shared" si="1"/>
        <v>1.6299999999999955</v>
      </c>
      <c r="AE11" s="148">
        <f t="shared" si="2"/>
        <v>1.1783827712312123E-2</v>
      </c>
    </row>
    <row r="12" spans="1:31" x14ac:dyDescent="0.25">
      <c r="W12" s="143">
        <v>42445</v>
      </c>
      <c r="X12" s="12">
        <v>98.16</v>
      </c>
      <c r="Y12" s="12">
        <v>99.08</v>
      </c>
      <c r="Z12" s="12">
        <v>97.47</v>
      </c>
      <c r="AA12" s="12">
        <v>98.44</v>
      </c>
      <c r="AB12" s="105">
        <v>5997600</v>
      </c>
      <c r="AC12" s="12">
        <v>98.44</v>
      </c>
      <c r="AD12" s="2">
        <f t="shared" si="1"/>
        <v>1.6099999999999994</v>
      </c>
      <c r="AE12" s="148">
        <f t="shared" si="2"/>
        <v>2.0358306188925646E-3</v>
      </c>
    </row>
    <row r="13" spans="1:31" x14ac:dyDescent="0.25">
      <c r="W13" s="143">
        <v>42444</v>
      </c>
      <c r="X13" s="12">
        <v>98.02</v>
      </c>
      <c r="Y13" s="12">
        <v>98.33</v>
      </c>
      <c r="Z13" s="12">
        <v>97.39</v>
      </c>
      <c r="AA13" s="12">
        <v>98.24</v>
      </c>
      <c r="AB13" s="105">
        <v>5895600</v>
      </c>
      <c r="AC13" s="12">
        <v>98.24</v>
      </c>
      <c r="AD13" s="2">
        <f t="shared" si="1"/>
        <v>0.93999999999999773</v>
      </c>
      <c r="AE13" s="148">
        <f t="shared" si="2"/>
        <v>-5.7686468980873151E-3</v>
      </c>
    </row>
    <row r="14" spans="1:31" x14ac:dyDescent="0.25">
      <c r="W14" s="143">
        <v>42443</v>
      </c>
      <c r="X14" s="12">
        <v>97.94</v>
      </c>
      <c r="Y14" s="12">
        <v>99.22</v>
      </c>
      <c r="Z14" s="12">
        <v>97.84</v>
      </c>
      <c r="AA14" s="12">
        <v>98.81</v>
      </c>
      <c r="AB14" s="105">
        <v>6157400</v>
      </c>
      <c r="AC14" s="12">
        <v>98.81</v>
      </c>
      <c r="AD14" s="2">
        <f t="shared" si="1"/>
        <v>1.3799999999999955</v>
      </c>
      <c r="AE14" s="148">
        <f t="shared" si="2"/>
        <v>8.8829895854605212E-3</v>
      </c>
    </row>
    <row r="15" spans="1:31" x14ac:dyDescent="0.25">
      <c r="W15" s="143">
        <v>42440</v>
      </c>
      <c r="X15" s="12">
        <v>97.57</v>
      </c>
      <c r="Y15" s="12">
        <v>98.35</v>
      </c>
      <c r="Z15" s="12">
        <v>97.54</v>
      </c>
      <c r="AA15" s="12">
        <v>97.94</v>
      </c>
      <c r="AB15" s="105">
        <v>5560600</v>
      </c>
      <c r="AC15" s="12">
        <v>97.94</v>
      </c>
      <c r="AD15" s="2">
        <f t="shared" si="1"/>
        <v>0.80999999999998806</v>
      </c>
      <c r="AE15" s="148">
        <f t="shared" si="2"/>
        <v>9.27452596867262E-3</v>
      </c>
    </row>
    <row r="16" spans="1:31" x14ac:dyDescent="0.25">
      <c r="W16" s="143">
        <v>42439</v>
      </c>
      <c r="X16" s="12">
        <v>97.94</v>
      </c>
      <c r="Y16" s="12">
        <v>98.42</v>
      </c>
      <c r="Z16" s="12">
        <v>95.87</v>
      </c>
      <c r="AA16" s="12">
        <v>97.04</v>
      </c>
      <c r="AB16" s="105">
        <v>5417500</v>
      </c>
      <c r="AC16" s="12">
        <v>97.04</v>
      </c>
      <c r="AD16" s="2">
        <f t="shared" si="1"/>
        <v>2.5499999999999972</v>
      </c>
      <c r="AE16" s="148">
        <f t="shared" si="2"/>
        <v>-6.3485562154412811E-3</v>
      </c>
    </row>
    <row r="17" spans="2:31" x14ac:dyDescent="0.25">
      <c r="B17" s="209" t="s">
        <v>117</v>
      </c>
      <c r="C17" s="209" t="s">
        <v>167</v>
      </c>
      <c r="D17" s="210" t="s">
        <v>166</v>
      </c>
      <c r="E17" s="212" t="s">
        <v>168</v>
      </c>
      <c r="F17" s="212" t="s">
        <v>65</v>
      </c>
      <c r="G17" s="253" t="s">
        <v>172</v>
      </c>
      <c r="H17" s="253" t="s">
        <v>90</v>
      </c>
      <c r="I17" s="253" t="s">
        <v>179</v>
      </c>
      <c r="W17" s="143">
        <v>42438</v>
      </c>
      <c r="X17" s="12">
        <v>98</v>
      </c>
      <c r="Y17" s="12">
        <v>98.24</v>
      </c>
      <c r="Z17" s="12">
        <v>96.81</v>
      </c>
      <c r="AA17" s="12">
        <v>97.66</v>
      </c>
      <c r="AB17" s="105">
        <v>7009200</v>
      </c>
      <c r="AC17" s="12">
        <v>97.66</v>
      </c>
      <c r="AD17" s="2">
        <f t="shared" si="1"/>
        <v>1.4299999999999926</v>
      </c>
      <c r="AE17" s="148">
        <f t="shared" si="2"/>
        <v>-1.6356573297893195E-3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42437</v>
      </c>
      <c r="X18" s="12">
        <v>98.93</v>
      </c>
      <c r="Y18" s="12">
        <v>98.98</v>
      </c>
      <c r="Z18" s="12">
        <v>97.6</v>
      </c>
      <c r="AA18" s="12">
        <v>97.82</v>
      </c>
      <c r="AB18" s="105">
        <v>6156700</v>
      </c>
      <c r="AC18" s="12">
        <v>97.82</v>
      </c>
      <c r="AD18" s="2">
        <f t="shared" si="1"/>
        <v>1.3800000000000097</v>
      </c>
      <c r="AE18" s="148">
        <f t="shared" si="2"/>
        <v>-1.5796357782473125E-2</v>
      </c>
    </row>
    <row r="19" spans="2:31" x14ac:dyDescent="0.25">
      <c r="B19" s="211">
        <v>42374</v>
      </c>
      <c r="C19" s="297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42436</v>
      </c>
      <c r="X19" s="12">
        <v>98.57</v>
      </c>
      <c r="Y19" s="12">
        <v>99.71</v>
      </c>
      <c r="Z19" s="12">
        <v>98.48</v>
      </c>
      <c r="AA19" s="12">
        <v>99.39</v>
      </c>
      <c r="AB19" s="105">
        <v>7174200</v>
      </c>
      <c r="AC19" s="12">
        <v>99.39</v>
      </c>
      <c r="AD19" s="2">
        <f t="shared" si="1"/>
        <v>1.2299999999999898</v>
      </c>
      <c r="AE19" s="148">
        <f t="shared" si="2"/>
        <v>9.2404549147033777E-3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5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42433</v>
      </c>
      <c r="X20" s="12">
        <v>99</v>
      </c>
      <c r="Y20" s="12">
        <v>99.21</v>
      </c>
      <c r="Z20" s="12">
        <v>97.9</v>
      </c>
      <c r="AA20" s="12">
        <v>98.48</v>
      </c>
      <c r="AB20" s="105">
        <v>6703000</v>
      </c>
      <c r="AC20" s="12">
        <v>98.48</v>
      </c>
      <c r="AD20" s="2">
        <f t="shared" si="1"/>
        <v>1.3099999999999881</v>
      </c>
      <c r="AE20" s="148">
        <f t="shared" si="2"/>
        <v>-3.4405990690142829E-3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>(E21-D21)/D21</f>
        <v>-3.346973035358302E-2</v>
      </c>
      <c r="I21" s="43"/>
      <c r="W21" s="143">
        <v>42432</v>
      </c>
      <c r="X21" s="12">
        <v>97.79</v>
      </c>
      <c r="Y21" s="12">
        <v>98.84</v>
      </c>
      <c r="Z21" s="12">
        <v>96.89</v>
      </c>
      <c r="AA21" s="12">
        <v>98.82</v>
      </c>
      <c r="AB21" s="105">
        <v>8536100</v>
      </c>
      <c r="AC21" s="12">
        <v>98.82</v>
      </c>
      <c r="AD21" s="2">
        <f t="shared" si="1"/>
        <v>1.9500000000000028</v>
      </c>
      <c r="AE21" s="148">
        <f t="shared" si="2"/>
        <v>1.8762886597938122E-2</v>
      </c>
    </row>
    <row r="22" spans="2:31" x14ac:dyDescent="0.25">
      <c r="B22" s="211">
        <v>42416</v>
      </c>
      <c r="C22" s="297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5" si="6">D22*C22</f>
        <v>2419.6999999999998</v>
      </c>
      <c r="H22" s="260">
        <f>(E22-D22)/D22</f>
        <v>-4.5956110261602609E-2</v>
      </c>
      <c r="I22" s="43"/>
      <c r="W22" s="143">
        <v>42431</v>
      </c>
      <c r="X22" s="12">
        <v>97.67</v>
      </c>
      <c r="Y22" s="12">
        <v>97.83</v>
      </c>
      <c r="Z22" s="12">
        <v>96.41</v>
      </c>
      <c r="AA22" s="12">
        <v>97</v>
      </c>
      <c r="AB22" s="105">
        <v>6443600</v>
      </c>
      <c r="AC22" s="12">
        <v>97</v>
      </c>
      <c r="AD22" s="2">
        <f t="shared" si="1"/>
        <v>1.4200000000000017</v>
      </c>
      <c r="AE22" s="148">
        <f t="shared" si="2"/>
        <v>-6.6564260112648155E-3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0">
        <f>(E23-D23)/D23</f>
        <v>-1.8370045873455299E-2</v>
      </c>
      <c r="I23" s="43"/>
      <c r="W23" s="143">
        <v>42430</v>
      </c>
      <c r="X23" s="12">
        <v>95.9</v>
      </c>
      <c r="Y23" s="12">
        <v>97.66</v>
      </c>
      <c r="Z23" s="12">
        <v>95.53</v>
      </c>
      <c r="AA23" s="12">
        <v>97.65</v>
      </c>
      <c r="AB23" s="105">
        <v>7118000</v>
      </c>
      <c r="AC23" s="12">
        <v>97.65</v>
      </c>
      <c r="AD23" s="2">
        <f t="shared" si="1"/>
        <v>2.1299999999999955</v>
      </c>
      <c r="AE23" s="148">
        <f t="shared" si="2"/>
        <v>2.229899497487442E-2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0">
        <f>(E24-D24)/D24</f>
        <v>8.9060627350498918E-3</v>
      </c>
      <c r="I24" s="43"/>
      <c r="W24" s="143">
        <v>42429</v>
      </c>
      <c r="X24" s="12">
        <v>95.31</v>
      </c>
      <c r="Y24" s="12">
        <v>96.29</v>
      </c>
      <c r="Z24" s="12">
        <v>95.23</v>
      </c>
      <c r="AA24" s="12">
        <v>95.52</v>
      </c>
      <c r="AB24" s="105">
        <v>6620200</v>
      </c>
      <c r="AC24" s="12">
        <v>95.52</v>
      </c>
      <c r="AD24" s="2">
        <f t="shared" si="1"/>
        <v>1.0600000000000023</v>
      </c>
      <c r="AE24" s="148">
        <f t="shared" si="2"/>
        <v>2.2033364809568301E-3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6"/>
        <v>2419.69</v>
      </c>
      <c r="H25" s="260">
        <f>(E25-D25)/D25</f>
        <v>2.4924680434270562E-2</v>
      </c>
      <c r="I25" s="43"/>
      <c r="W25" s="143">
        <v>42426</v>
      </c>
      <c r="X25" s="12">
        <v>95.71</v>
      </c>
      <c r="Y25" s="12">
        <v>96.22</v>
      </c>
      <c r="Z25" s="12">
        <v>95.28</v>
      </c>
      <c r="AA25" s="12">
        <v>95.31</v>
      </c>
      <c r="AB25" s="105">
        <v>5264600</v>
      </c>
      <c r="AC25" s="12">
        <v>95.31</v>
      </c>
      <c r="AD25" s="2">
        <f t="shared" si="1"/>
        <v>0.93999999999999773</v>
      </c>
      <c r="AE25" s="148">
        <f t="shared" si="2"/>
        <v>-3.5546262415054874E-3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42425</v>
      </c>
      <c r="X26" s="12">
        <v>95.92</v>
      </c>
      <c r="Y26" s="12">
        <v>95.95</v>
      </c>
      <c r="Z26" s="12">
        <v>94.35</v>
      </c>
      <c r="AA26" s="12">
        <v>95.65</v>
      </c>
      <c r="AB26" s="105">
        <v>4536900</v>
      </c>
      <c r="AC26" s="12">
        <v>95.65</v>
      </c>
      <c r="AD26" s="2">
        <f t="shared" si="1"/>
        <v>1.6000000000000085</v>
      </c>
      <c r="AE26" s="148">
        <f t="shared" si="2"/>
        <v>2.3053547102587224E-3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42424</v>
      </c>
      <c r="X27" s="12">
        <v>94.65</v>
      </c>
      <c r="Y27" s="12">
        <v>95.75</v>
      </c>
      <c r="Z27" s="12">
        <v>93.23</v>
      </c>
      <c r="AA27" s="12">
        <v>95.43</v>
      </c>
      <c r="AB27" s="105">
        <v>6913000</v>
      </c>
      <c r="AC27" s="12">
        <v>95.43</v>
      </c>
      <c r="AD27" s="2">
        <f t="shared" si="1"/>
        <v>2.519999999999996</v>
      </c>
      <c r="AE27" s="148">
        <f t="shared" si="2"/>
        <v>5.2421891381859709E-4</v>
      </c>
    </row>
    <row r="28" spans="2:31" x14ac:dyDescent="0.25">
      <c r="W28" s="143">
        <v>42423</v>
      </c>
      <c r="X28" s="12">
        <v>96.5</v>
      </c>
      <c r="Y28" s="12">
        <v>96.82</v>
      </c>
      <c r="Z28" s="12">
        <v>95.15</v>
      </c>
      <c r="AA28" s="12">
        <v>95.38</v>
      </c>
      <c r="AB28" s="105">
        <v>6181600</v>
      </c>
      <c r="AC28" s="12">
        <v>95.38</v>
      </c>
      <c r="AD28" s="2">
        <f t="shared" si="1"/>
        <v>1.6699999999999875</v>
      </c>
      <c r="AE28" s="148">
        <f t="shared" si="2"/>
        <v>-1.0272906506174184E-2</v>
      </c>
    </row>
    <row r="29" spans="2:31" x14ac:dyDescent="0.25">
      <c r="W29" s="143">
        <v>42422</v>
      </c>
      <c r="X29" s="12">
        <v>95.01</v>
      </c>
      <c r="Y29" s="12">
        <v>97</v>
      </c>
      <c r="Z29" s="12">
        <v>95.01</v>
      </c>
      <c r="AA29" s="12">
        <v>96.37</v>
      </c>
      <c r="AB29" s="105">
        <v>6932000</v>
      </c>
      <c r="AC29" s="12">
        <v>96.37</v>
      </c>
      <c r="AD29" s="2">
        <f t="shared" si="1"/>
        <v>1.9899999999999949</v>
      </c>
      <c r="AE29" s="148">
        <f t="shared" si="2"/>
        <v>1.4314282707083459E-2</v>
      </c>
    </row>
    <row r="30" spans="2:31" x14ac:dyDescent="0.25">
      <c r="W30" s="143">
        <v>42419</v>
      </c>
      <c r="X30" s="12">
        <v>95.23</v>
      </c>
      <c r="Y30" s="12">
        <v>95.72</v>
      </c>
      <c r="Z30" s="12">
        <v>94.56</v>
      </c>
      <c r="AA30" s="12">
        <v>95.01</v>
      </c>
      <c r="AB30" s="105">
        <v>6664400</v>
      </c>
      <c r="AC30" s="12">
        <v>95.01</v>
      </c>
      <c r="AD30" s="2">
        <f t="shared" si="1"/>
        <v>1.1599999999999966</v>
      </c>
      <c r="AE30" s="148">
        <f t="shared" si="2"/>
        <v>-1.6812020594725308E-3</v>
      </c>
    </row>
    <row r="31" spans="2:31" x14ac:dyDescent="0.25">
      <c r="W31" s="143">
        <v>42418</v>
      </c>
      <c r="X31" s="12">
        <v>96.34</v>
      </c>
      <c r="Y31" s="12">
        <v>96.45</v>
      </c>
      <c r="Z31" s="12">
        <v>94.45</v>
      </c>
      <c r="AA31" s="12">
        <v>95.17</v>
      </c>
      <c r="AB31" s="105">
        <v>8727200</v>
      </c>
      <c r="AC31" s="12">
        <v>95.17</v>
      </c>
      <c r="AD31" s="2">
        <f t="shared" si="1"/>
        <v>2</v>
      </c>
      <c r="AE31" s="148">
        <f t="shared" si="2"/>
        <v>-3.4554973821989687E-3</v>
      </c>
    </row>
    <row r="32" spans="2:31" x14ac:dyDescent="0.25">
      <c r="W32" s="143">
        <v>42417</v>
      </c>
      <c r="X32" s="12">
        <v>93.67</v>
      </c>
      <c r="Y32" s="12">
        <v>96.44</v>
      </c>
      <c r="Z32" s="12">
        <v>93.56</v>
      </c>
      <c r="AA32" s="12">
        <v>95.5</v>
      </c>
      <c r="AB32" s="105">
        <v>12288200</v>
      </c>
      <c r="AC32" s="12">
        <v>95.5</v>
      </c>
      <c r="AD32" s="2">
        <f t="shared" si="1"/>
        <v>2.8799999999999955</v>
      </c>
      <c r="AE32" s="148">
        <f t="shared" si="2"/>
        <v>2.7876439565170719E-2</v>
      </c>
    </row>
    <row r="33" spans="15:31" x14ac:dyDescent="0.25">
      <c r="W33" s="143">
        <v>42416</v>
      </c>
      <c r="X33" s="12">
        <v>92.47</v>
      </c>
      <c r="Y33" s="12">
        <v>93.31</v>
      </c>
      <c r="Z33" s="12">
        <v>91.79</v>
      </c>
      <c r="AA33" s="12">
        <v>92.91</v>
      </c>
      <c r="AB33" s="105">
        <v>8965800</v>
      </c>
      <c r="AC33" s="12">
        <v>92.91</v>
      </c>
      <c r="AD33" s="2">
        <f t="shared" si="1"/>
        <v>1.519999999999996</v>
      </c>
      <c r="AE33" s="148">
        <f t="shared" si="2"/>
        <v>1.9308831596269727E-2</v>
      </c>
    </row>
    <row r="34" spans="15:31" x14ac:dyDescent="0.25">
      <c r="W34" s="143">
        <v>42412</v>
      </c>
      <c r="X34" s="12">
        <v>91.52</v>
      </c>
      <c r="Y34" s="12">
        <v>91.59</v>
      </c>
      <c r="Z34" s="12">
        <v>89.61</v>
      </c>
      <c r="AA34" s="12">
        <v>91.15</v>
      </c>
      <c r="AB34" s="105">
        <v>10754700</v>
      </c>
      <c r="AC34" s="12">
        <v>91.15</v>
      </c>
      <c r="AD34" s="2">
        <f t="shared" si="1"/>
        <v>1.980000000000004</v>
      </c>
      <c r="AE34" s="148">
        <f t="shared" si="2"/>
        <v>9.3012955375928463E-3</v>
      </c>
    </row>
    <row r="35" spans="15:31" x14ac:dyDescent="0.25">
      <c r="W35" s="143">
        <v>42411</v>
      </c>
      <c r="X35" s="12">
        <v>87</v>
      </c>
      <c r="Y35" s="12">
        <v>91.06</v>
      </c>
      <c r="Z35" s="12">
        <v>86.96</v>
      </c>
      <c r="AA35" s="12">
        <v>90.31</v>
      </c>
      <c r="AB35" s="105">
        <v>17332300</v>
      </c>
      <c r="AC35" s="12">
        <v>90.31</v>
      </c>
      <c r="AD35" s="2">
        <f t="shared" si="1"/>
        <v>4.1000000000000085</v>
      </c>
      <c r="AE35" s="148">
        <f t="shared" si="2"/>
        <v>1.6432189082723703E-2</v>
      </c>
    </row>
    <row r="36" spans="15:31" x14ac:dyDescent="0.25">
      <c r="W36" s="143">
        <v>42410</v>
      </c>
      <c r="X36" s="12">
        <v>88</v>
      </c>
      <c r="Y36" s="12">
        <v>90.03</v>
      </c>
      <c r="Z36" s="12">
        <v>86.25</v>
      </c>
      <c r="AA36" s="12">
        <v>88.85</v>
      </c>
      <c r="AB36" s="105">
        <v>32573500</v>
      </c>
      <c r="AC36" s="12">
        <v>88.85</v>
      </c>
      <c r="AD36" s="2">
        <f t="shared" si="1"/>
        <v>3.7800000000000011</v>
      </c>
      <c r="AE36" s="148">
        <f t="shared" si="2"/>
        <v>-3.758665511265169E-2</v>
      </c>
    </row>
    <row r="37" spans="15:31" x14ac:dyDescent="0.25">
      <c r="W37" s="143">
        <v>42409</v>
      </c>
      <c r="X37" s="12">
        <v>90.15</v>
      </c>
      <c r="Y37" s="12">
        <v>93.2</v>
      </c>
      <c r="Z37" s="12">
        <v>89.04</v>
      </c>
      <c r="AA37" s="12">
        <v>92.32</v>
      </c>
      <c r="AB37" s="105">
        <v>15166900</v>
      </c>
      <c r="AC37" s="12">
        <v>92.32</v>
      </c>
      <c r="AD37" s="2">
        <f t="shared" si="1"/>
        <v>4.1599999999999966</v>
      </c>
      <c r="AE37" s="148">
        <f t="shared" si="2"/>
        <v>2.1710811984367862E-3</v>
      </c>
    </row>
    <row r="38" spans="15:31" x14ac:dyDescent="0.25">
      <c r="W38" s="143">
        <v>42408</v>
      </c>
      <c r="X38" s="12">
        <v>92.56</v>
      </c>
      <c r="Y38" s="12">
        <v>92.96</v>
      </c>
      <c r="Z38" s="12">
        <v>89.51</v>
      </c>
      <c r="AA38" s="12">
        <v>92.12</v>
      </c>
      <c r="AB38" s="105">
        <v>13658400</v>
      </c>
      <c r="AC38" s="12">
        <v>92.12</v>
      </c>
      <c r="AD38" s="2">
        <f t="shared" si="1"/>
        <v>3.4499999999999886</v>
      </c>
      <c r="AE38" s="148">
        <f t="shared" si="2"/>
        <v>-1.8956336528221485E-2</v>
      </c>
    </row>
    <row r="39" spans="15:31" x14ac:dyDescent="0.25">
      <c r="W39" s="143">
        <v>42405</v>
      </c>
      <c r="X39" s="12">
        <v>95.32</v>
      </c>
      <c r="Y39" s="12">
        <v>95.39</v>
      </c>
      <c r="Z39" s="12">
        <v>93.47</v>
      </c>
      <c r="AA39" s="12">
        <v>93.9</v>
      </c>
      <c r="AB39" s="105">
        <v>8823000</v>
      </c>
      <c r="AC39" s="12">
        <v>93.9</v>
      </c>
      <c r="AD39" s="2">
        <f t="shared" si="1"/>
        <v>1.9200000000000017</v>
      </c>
      <c r="AE39" s="148">
        <f t="shared" si="2"/>
        <v>-1.6032694121345448E-2</v>
      </c>
    </row>
    <row r="40" spans="15:31" ht="20.25" thickBot="1" x14ac:dyDescent="0.35">
      <c r="O40" s="420" t="s">
        <v>78</v>
      </c>
      <c r="P40" s="420"/>
      <c r="T40" s="101" t="s">
        <v>116</v>
      </c>
      <c r="W40" s="143">
        <v>42404</v>
      </c>
      <c r="X40" s="12">
        <v>94.87</v>
      </c>
      <c r="Y40" s="12">
        <v>96.73</v>
      </c>
      <c r="Z40" s="12">
        <v>94.6</v>
      </c>
      <c r="AA40" s="12">
        <v>95.43</v>
      </c>
      <c r="AB40" s="105">
        <v>8207900</v>
      </c>
      <c r="AC40" s="12">
        <v>95.43</v>
      </c>
      <c r="AD40" s="2">
        <f t="shared" si="1"/>
        <v>2.1300000000000097</v>
      </c>
      <c r="AE40" s="148">
        <f t="shared" si="2"/>
        <v>3.0481395837713698E-3</v>
      </c>
    </row>
    <row r="41" spans="15:31" ht="15.75" thickTop="1" x14ac:dyDescent="0.25">
      <c r="O41" s="93">
        <v>1.1000000000000001</v>
      </c>
      <c r="P41" s="93">
        <f>O41*$Q$4</f>
        <v>108.977</v>
      </c>
      <c r="Q41" s="2"/>
      <c r="T41" s="138" t="s">
        <v>101</v>
      </c>
      <c r="U41" s="108">
        <v>99.31</v>
      </c>
      <c r="W41" s="143">
        <v>42403</v>
      </c>
      <c r="X41" s="12">
        <v>94.1</v>
      </c>
      <c r="Y41" s="12">
        <v>95.41</v>
      </c>
      <c r="Z41" s="12">
        <v>92.42</v>
      </c>
      <c r="AA41" s="12">
        <v>95.14</v>
      </c>
      <c r="AB41" s="105">
        <v>10860700</v>
      </c>
      <c r="AC41" s="12">
        <v>95.14</v>
      </c>
      <c r="AD41" s="2">
        <f t="shared" si="1"/>
        <v>2.9899999999999949</v>
      </c>
      <c r="AE41" s="148">
        <f t="shared" si="2"/>
        <v>2.1692439862542878E-2</v>
      </c>
    </row>
    <row r="42" spans="15:31" x14ac:dyDescent="0.25">
      <c r="O42" s="93">
        <v>1.0900000000000001</v>
      </c>
      <c r="P42" s="93">
        <f t="shared" ref="P42:P61" si="7">O42*$Q$4</f>
        <v>107.9863</v>
      </c>
      <c r="Q42" s="2"/>
      <c r="T42" s="103" t="s">
        <v>102</v>
      </c>
      <c r="U42" s="98" t="s">
        <v>134</v>
      </c>
      <c r="W42" s="143">
        <v>42402</v>
      </c>
      <c r="X42" s="12">
        <v>94</v>
      </c>
      <c r="Y42" s="12">
        <v>94.17</v>
      </c>
      <c r="Z42" s="12">
        <v>92.87</v>
      </c>
      <c r="AA42" s="12">
        <v>93.12</v>
      </c>
      <c r="AB42" s="105">
        <v>7101400</v>
      </c>
      <c r="AC42" s="12">
        <v>93.12</v>
      </c>
      <c r="AD42" s="2">
        <f t="shared" si="1"/>
        <v>1.2999999999999972</v>
      </c>
      <c r="AE42" s="148">
        <f t="shared" si="2"/>
        <v>-2.1334734629532282E-2</v>
      </c>
    </row>
    <row r="43" spans="15:31" x14ac:dyDescent="0.25">
      <c r="O43" s="93">
        <v>1.08</v>
      </c>
      <c r="P43" s="93">
        <f t="shared" si="7"/>
        <v>106.9956</v>
      </c>
      <c r="Q43" s="2"/>
      <c r="T43" s="103" t="s">
        <v>103</v>
      </c>
      <c r="U43" s="98" t="s">
        <v>352</v>
      </c>
      <c r="W43" s="143">
        <v>42401</v>
      </c>
      <c r="X43" s="12">
        <v>95.08</v>
      </c>
      <c r="Y43" s="12">
        <v>95.71</v>
      </c>
      <c r="Z43" s="12">
        <v>94.7</v>
      </c>
      <c r="AA43" s="12">
        <v>95.15</v>
      </c>
      <c r="AB43" s="105">
        <v>6994200</v>
      </c>
      <c r="AC43" s="12">
        <v>95.15</v>
      </c>
      <c r="AD43" s="2">
        <f t="shared" si="1"/>
        <v>1.0099999999999909</v>
      </c>
      <c r="AE43" s="148">
        <f t="shared" si="2"/>
        <v>-6.9922771863910604E-3</v>
      </c>
    </row>
    <row r="44" spans="15:31" x14ac:dyDescent="0.25">
      <c r="O44" s="93">
        <v>1.07</v>
      </c>
      <c r="P44" s="93">
        <f t="shared" si="7"/>
        <v>106.00489999999999</v>
      </c>
      <c r="Q44" s="2"/>
      <c r="T44" s="103" t="s">
        <v>104</v>
      </c>
      <c r="U44" s="98" t="s">
        <v>353</v>
      </c>
      <c r="W44" s="143">
        <v>42398</v>
      </c>
      <c r="X44" s="12">
        <v>94.21</v>
      </c>
      <c r="Y44" s="12">
        <v>95.82</v>
      </c>
      <c r="Z44" s="12">
        <v>93.63</v>
      </c>
      <c r="AA44" s="12">
        <v>95.82</v>
      </c>
      <c r="AB44" s="105">
        <v>8071700</v>
      </c>
      <c r="AC44" s="12">
        <v>95.82</v>
      </c>
      <c r="AD44" s="2">
        <f t="shared" si="1"/>
        <v>2.1899999999999977</v>
      </c>
      <c r="AE44" s="148">
        <f t="shared" si="2"/>
        <v>2.4484122741366354E-2</v>
      </c>
    </row>
    <row r="45" spans="15:31" x14ac:dyDescent="0.25">
      <c r="O45" s="93">
        <v>1.06</v>
      </c>
      <c r="P45" s="93">
        <f t="shared" si="7"/>
        <v>105.0142</v>
      </c>
      <c r="Q45" s="2"/>
      <c r="T45" s="103" t="s">
        <v>105</v>
      </c>
      <c r="U45" s="98">
        <v>108.93</v>
      </c>
      <c r="W45" s="143">
        <v>42397</v>
      </c>
      <c r="X45" s="12">
        <v>95.2</v>
      </c>
      <c r="Y45" s="12">
        <v>95.2</v>
      </c>
      <c r="Z45" s="12">
        <v>92.37</v>
      </c>
      <c r="AA45" s="12">
        <v>93.53</v>
      </c>
      <c r="AB45" s="105">
        <v>7275600</v>
      </c>
      <c r="AC45" s="12">
        <v>93.53</v>
      </c>
      <c r="AD45" s="2">
        <f t="shared" si="1"/>
        <v>2.8299999999999983</v>
      </c>
      <c r="AE45" s="148">
        <f t="shared" si="2"/>
        <v>-8.3757421543679822E-3</v>
      </c>
    </row>
    <row r="46" spans="15:31" x14ac:dyDescent="0.25">
      <c r="O46" s="93">
        <v>1.05</v>
      </c>
      <c r="P46" s="93">
        <f t="shared" si="7"/>
        <v>104.0235</v>
      </c>
      <c r="Q46" s="2"/>
      <c r="T46" s="103" t="s">
        <v>106</v>
      </c>
      <c r="U46" s="98">
        <v>1.56073</v>
      </c>
      <c r="W46" s="143">
        <v>42396</v>
      </c>
      <c r="X46" s="12">
        <v>96.31</v>
      </c>
      <c r="Y46" s="12">
        <v>96.63</v>
      </c>
      <c r="Z46" s="12">
        <v>93.87</v>
      </c>
      <c r="AA46" s="12">
        <v>94.32</v>
      </c>
      <c r="AB46" s="105">
        <v>6292100</v>
      </c>
      <c r="AC46" s="12">
        <v>94.32</v>
      </c>
      <c r="AD46" s="2">
        <f t="shared" si="1"/>
        <v>2.7599999999999909</v>
      </c>
      <c r="AE46" s="148">
        <f t="shared" si="2"/>
        <v>-2.0255531318167708E-2</v>
      </c>
    </row>
    <row r="47" spans="15:31" x14ac:dyDescent="0.25">
      <c r="O47" s="93">
        <v>1.04</v>
      </c>
      <c r="P47" s="93">
        <f t="shared" si="7"/>
        <v>103.03279999999999</v>
      </c>
      <c r="Q47" s="2"/>
      <c r="T47" s="103" t="s">
        <v>126</v>
      </c>
      <c r="U47" s="98" t="s">
        <v>223</v>
      </c>
      <c r="W47" s="143">
        <v>42395</v>
      </c>
      <c r="X47" s="12">
        <v>95.49</v>
      </c>
      <c r="Y47" s="12">
        <v>96.43</v>
      </c>
      <c r="Z47" s="12">
        <v>95.09</v>
      </c>
      <c r="AA47" s="12">
        <v>96.27</v>
      </c>
      <c r="AB47" s="105">
        <v>6895000</v>
      </c>
      <c r="AC47" s="12">
        <v>96.27</v>
      </c>
      <c r="AD47" s="2">
        <f t="shared" si="1"/>
        <v>1.3400000000000034</v>
      </c>
      <c r="AE47" s="148">
        <f t="shared" si="2"/>
        <v>1.0284395004722224E-2</v>
      </c>
    </row>
    <row r="48" spans="15:31" x14ac:dyDescent="0.25">
      <c r="O48" s="93">
        <v>1.03</v>
      </c>
      <c r="P48" s="93">
        <f t="shared" si="7"/>
        <v>102.04209999999999</v>
      </c>
      <c r="Q48" s="2"/>
      <c r="T48" s="103"/>
      <c r="U48" s="98"/>
      <c r="W48" s="143">
        <v>42394</v>
      </c>
      <c r="X48" s="12">
        <v>96.42</v>
      </c>
      <c r="Y48" s="12">
        <v>96.68</v>
      </c>
      <c r="Z48" s="12">
        <v>95.12</v>
      </c>
      <c r="AA48" s="12">
        <v>95.29</v>
      </c>
      <c r="AB48" s="105">
        <v>7768800</v>
      </c>
      <c r="AC48" s="12">
        <v>95.29</v>
      </c>
      <c r="AD48" s="2">
        <f t="shared" si="1"/>
        <v>1.5600000000000023</v>
      </c>
      <c r="AE48" s="148">
        <f t="shared" si="2"/>
        <v>-1.6615067079463364E-2</v>
      </c>
    </row>
    <row r="49" spans="15:31" x14ac:dyDescent="0.25">
      <c r="O49" s="93">
        <v>1.02</v>
      </c>
      <c r="P49" s="93">
        <f t="shared" si="7"/>
        <v>101.0514</v>
      </c>
      <c r="Q49" s="2"/>
      <c r="T49" s="103" t="s">
        <v>108</v>
      </c>
      <c r="U49" s="98" t="s">
        <v>302</v>
      </c>
      <c r="W49" s="143">
        <v>42391</v>
      </c>
      <c r="X49" s="12">
        <v>95.95</v>
      </c>
      <c r="Y49" s="12">
        <v>97.42</v>
      </c>
      <c r="Z49" s="12">
        <v>95.55</v>
      </c>
      <c r="AA49" s="12">
        <v>96.9</v>
      </c>
      <c r="AB49" s="105">
        <v>12250700</v>
      </c>
      <c r="AC49" s="12">
        <v>96.9</v>
      </c>
      <c r="AD49" s="2">
        <f t="shared" si="1"/>
        <v>1.8700000000000045</v>
      </c>
      <c r="AE49" s="148">
        <f t="shared" si="2"/>
        <v>3.0631780472240022E-2</v>
      </c>
    </row>
    <row r="50" spans="15:31" x14ac:dyDescent="0.25">
      <c r="O50" s="93">
        <v>1.01</v>
      </c>
      <c r="P50" s="93">
        <f t="shared" si="7"/>
        <v>100.0607</v>
      </c>
      <c r="Q50" s="2"/>
      <c r="T50" s="103" t="s">
        <v>109</v>
      </c>
      <c r="U50" s="98" t="s">
        <v>230</v>
      </c>
      <c r="W50" s="143">
        <v>42390</v>
      </c>
      <c r="X50" s="12">
        <v>92.87</v>
      </c>
      <c r="Y50" s="12">
        <v>94.86</v>
      </c>
      <c r="Z50" s="12">
        <v>92.3</v>
      </c>
      <c r="AA50" s="12">
        <v>94.02</v>
      </c>
      <c r="AB50" s="105">
        <v>12047900</v>
      </c>
      <c r="AC50" s="12">
        <v>94.02</v>
      </c>
      <c r="AD50" s="2">
        <f t="shared" si="1"/>
        <v>2.5600000000000023</v>
      </c>
      <c r="AE50" s="148">
        <f t="shared" si="2"/>
        <v>1.5993084071752595E-2</v>
      </c>
    </row>
    <row r="51" spans="15:31" x14ac:dyDescent="0.25">
      <c r="O51" s="93">
        <v>1</v>
      </c>
      <c r="P51" s="93">
        <f t="shared" si="7"/>
        <v>99.07</v>
      </c>
      <c r="Q51" s="2"/>
      <c r="T51" s="103" t="s">
        <v>110</v>
      </c>
      <c r="U51" s="100">
        <v>506</v>
      </c>
      <c r="W51" s="143">
        <v>42389</v>
      </c>
      <c r="X51" s="12">
        <v>92.18</v>
      </c>
      <c r="Y51" s="12">
        <v>93.64</v>
      </c>
      <c r="Z51" s="12">
        <v>90.42</v>
      </c>
      <c r="AA51" s="12">
        <v>92.54</v>
      </c>
      <c r="AB51" s="105">
        <v>16865900</v>
      </c>
      <c r="AC51" s="12">
        <v>92.54</v>
      </c>
      <c r="AD51" s="2">
        <f t="shared" si="1"/>
        <v>3.2199999999999989</v>
      </c>
      <c r="AE51" s="148">
        <f t="shared" si="2"/>
        <v>-1.5217622645525064E-2</v>
      </c>
    </row>
    <row r="52" spans="15:31" x14ac:dyDescent="0.25">
      <c r="O52" s="93">
        <v>0.99</v>
      </c>
      <c r="P52" s="93">
        <f t="shared" si="7"/>
        <v>98.079299999999989</v>
      </c>
      <c r="Q52" s="2"/>
      <c r="T52" s="103" t="s">
        <v>113</v>
      </c>
      <c r="U52" s="100">
        <v>9463010</v>
      </c>
      <c r="W52" s="143">
        <v>42388</v>
      </c>
      <c r="X52" s="12">
        <v>95</v>
      </c>
      <c r="Y52" s="12">
        <v>95.07</v>
      </c>
      <c r="Z52" s="12">
        <v>93.03</v>
      </c>
      <c r="AA52" s="12">
        <v>93.97</v>
      </c>
      <c r="AB52" s="105">
        <v>13210500</v>
      </c>
      <c r="AC52" s="12">
        <v>93.97</v>
      </c>
      <c r="AD52" s="2">
        <f t="shared" si="1"/>
        <v>2.039999999999992</v>
      </c>
      <c r="AE52" s="148">
        <f t="shared" si="2"/>
        <v>7.4547390841317451E-4</v>
      </c>
    </row>
    <row r="53" spans="15:31" x14ac:dyDescent="0.25">
      <c r="O53" s="93">
        <v>0.98</v>
      </c>
      <c r="P53" s="93">
        <f t="shared" si="7"/>
        <v>97.088599999999985</v>
      </c>
      <c r="Q53" s="2"/>
      <c r="T53" s="103" t="s">
        <v>111</v>
      </c>
      <c r="U53" s="98" t="s">
        <v>354</v>
      </c>
      <c r="W53" s="143">
        <v>42384</v>
      </c>
      <c r="X53" s="12">
        <v>95.62</v>
      </c>
      <c r="Y53" s="12">
        <v>96.88</v>
      </c>
      <c r="Z53" s="12">
        <v>93.46</v>
      </c>
      <c r="AA53" s="12">
        <v>93.9</v>
      </c>
      <c r="AB53" s="105">
        <v>22135500</v>
      </c>
      <c r="AC53" s="12">
        <v>93.9</v>
      </c>
      <c r="AD53" s="2">
        <f t="shared" si="1"/>
        <v>3.4200000000000017</v>
      </c>
      <c r="AE53" s="148">
        <f t="shared" si="2"/>
        <v>-5.2567853899707306E-2</v>
      </c>
    </row>
    <row r="54" spans="15:31" x14ac:dyDescent="0.25">
      <c r="O54" s="93">
        <v>0.97</v>
      </c>
      <c r="P54" s="93">
        <f t="shared" si="7"/>
        <v>96.097899999999996</v>
      </c>
      <c r="T54" s="103" t="s">
        <v>114</v>
      </c>
      <c r="U54" s="98">
        <v>18.559999999999999</v>
      </c>
      <c r="W54" s="143">
        <v>42383</v>
      </c>
      <c r="X54" s="12">
        <v>98.65</v>
      </c>
      <c r="Y54" s="12">
        <v>99.91</v>
      </c>
      <c r="Z54" s="12">
        <v>97.19</v>
      </c>
      <c r="AA54" s="12">
        <v>99.11</v>
      </c>
      <c r="AB54" s="105">
        <v>11076500</v>
      </c>
      <c r="AC54" s="12">
        <v>99.11</v>
      </c>
      <c r="AD54" s="2">
        <f t="shared" si="1"/>
        <v>2.7199999999999989</v>
      </c>
      <c r="AE54" s="148">
        <f t="shared" si="2"/>
        <v>6.3972380178716204E-3</v>
      </c>
    </row>
    <row r="55" spans="15:31" x14ac:dyDescent="0.25">
      <c r="O55" s="93">
        <v>0.96</v>
      </c>
      <c r="P55" s="93">
        <f t="shared" si="7"/>
        <v>95.107199999999992</v>
      </c>
      <c r="T55" s="103" t="s">
        <v>115</v>
      </c>
      <c r="U55" s="98">
        <v>5.35</v>
      </c>
      <c r="W55" s="143">
        <v>42382</v>
      </c>
      <c r="X55" s="12">
        <v>101.88</v>
      </c>
      <c r="Y55" s="12">
        <v>101.88</v>
      </c>
      <c r="Z55" s="12">
        <v>98.12</v>
      </c>
      <c r="AA55" s="12">
        <v>98.48</v>
      </c>
      <c r="AB55" s="105">
        <v>11472000</v>
      </c>
      <c r="AC55" s="12">
        <v>98.48</v>
      </c>
      <c r="AD55" s="2">
        <f t="shared" si="1"/>
        <v>3.7599999999999909</v>
      </c>
      <c r="AE55" s="148">
        <f t="shared" si="2"/>
        <v>-2.9371180760890847E-2</v>
      </c>
    </row>
    <row r="56" spans="15:31" x14ac:dyDescent="0.25">
      <c r="O56" s="93">
        <v>0.95</v>
      </c>
      <c r="P56" s="93">
        <f t="shared" si="7"/>
        <v>94.116499999999988</v>
      </c>
      <c r="T56" s="103" t="s">
        <v>112</v>
      </c>
      <c r="U56" s="98" t="s">
        <v>297</v>
      </c>
      <c r="W56" s="143">
        <v>42381</v>
      </c>
      <c r="X56" s="12">
        <v>100.97</v>
      </c>
      <c r="Y56" s="12">
        <v>101.85</v>
      </c>
      <c r="Z56" s="12">
        <v>100.34</v>
      </c>
      <c r="AA56" s="12">
        <v>101.46</v>
      </c>
      <c r="AB56" s="105">
        <v>8728500</v>
      </c>
      <c r="AC56" s="12">
        <v>101.46</v>
      </c>
      <c r="AD56" s="2">
        <f t="shared" si="1"/>
        <v>1.5099999999999909</v>
      </c>
      <c r="AE56" s="148">
        <f t="shared" si="2"/>
        <v>1.5412329863891072E-2</v>
      </c>
    </row>
    <row r="57" spans="15:31" x14ac:dyDescent="0.25">
      <c r="O57" s="93">
        <v>0.94</v>
      </c>
      <c r="P57" s="93">
        <f t="shared" si="7"/>
        <v>93.125799999999984</v>
      </c>
      <c r="W57" s="143">
        <v>42380</v>
      </c>
      <c r="X57" s="12">
        <v>100.21</v>
      </c>
      <c r="Y57" s="12">
        <v>100.45</v>
      </c>
      <c r="Z57" s="12">
        <v>98.55</v>
      </c>
      <c r="AA57" s="12">
        <v>99.92</v>
      </c>
      <c r="AB57" s="105">
        <v>9558600</v>
      </c>
      <c r="AC57" s="12">
        <v>99.92</v>
      </c>
      <c r="AD57" s="2">
        <f t="shared" si="1"/>
        <v>1.9000000000000057</v>
      </c>
      <c r="AE57" s="148">
        <f t="shared" si="2"/>
        <v>6.7506297229218415E-3</v>
      </c>
    </row>
    <row r="58" spans="15:31" x14ac:dyDescent="0.25">
      <c r="O58" s="93">
        <v>0.93</v>
      </c>
      <c r="P58" s="93">
        <f t="shared" si="7"/>
        <v>92.135099999999994</v>
      </c>
      <c r="W58" s="143">
        <v>42377</v>
      </c>
      <c r="X58" s="12">
        <v>100.63</v>
      </c>
      <c r="Y58" s="12">
        <v>100.92</v>
      </c>
      <c r="Z58" s="12">
        <v>99</v>
      </c>
      <c r="AA58" s="12">
        <v>99.25</v>
      </c>
      <c r="AB58" s="105">
        <v>10603900</v>
      </c>
      <c r="AC58" s="12">
        <v>99.25</v>
      </c>
      <c r="AD58" s="2">
        <f t="shared" si="1"/>
        <v>1.9200000000000017</v>
      </c>
      <c r="AE58" s="148">
        <f t="shared" si="2"/>
        <v>-2.5125628140703071E-3</v>
      </c>
    </row>
    <row r="59" spans="15:31" x14ac:dyDescent="0.25">
      <c r="O59" s="93">
        <v>0.92</v>
      </c>
      <c r="P59" s="93">
        <f t="shared" si="7"/>
        <v>91.144400000000005</v>
      </c>
      <c r="W59" s="143">
        <v>42376</v>
      </c>
      <c r="X59" s="12">
        <v>98.96</v>
      </c>
      <c r="Y59" s="12">
        <v>101.35</v>
      </c>
      <c r="Z59" s="12">
        <v>98.52</v>
      </c>
      <c r="AA59" s="12">
        <v>99.5</v>
      </c>
      <c r="AB59" s="105">
        <v>14474500</v>
      </c>
      <c r="AC59" s="12">
        <v>99.5</v>
      </c>
      <c r="AD59" s="2">
        <f t="shared" si="1"/>
        <v>2.8299999999999983</v>
      </c>
      <c r="AE59" s="148">
        <f t="shared" si="2"/>
        <v>-8.5691510561977102E-3</v>
      </c>
    </row>
    <row r="60" spans="15:31" x14ac:dyDescent="0.25">
      <c r="O60" s="93">
        <v>0.91</v>
      </c>
      <c r="P60" s="93">
        <f t="shared" si="7"/>
        <v>90.153700000000001</v>
      </c>
      <c r="W60" s="143">
        <v>42375</v>
      </c>
      <c r="X60" s="12">
        <v>99.38</v>
      </c>
      <c r="Y60" s="12">
        <v>101.46</v>
      </c>
      <c r="Z60" s="12">
        <v>99.36</v>
      </c>
      <c r="AA60" s="12">
        <v>100.36</v>
      </c>
      <c r="AB60" s="105">
        <v>13886600</v>
      </c>
      <c r="AC60" s="12">
        <v>100.36</v>
      </c>
      <c r="AD60" s="2">
        <f t="shared" si="1"/>
        <v>2.0999999999999943</v>
      </c>
      <c r="AE60" s="148">
        <f t="shared" si="2"/>
        <v>-5.3518334985134253E-3</v>
      </c>
    </row>
    <row r="61" spans="15:31" x14ac:dyDescent="0.25">
      <c r="O61" s="93">
        <v>0.9</v>
      </c>
      <c r="P61" s="93">
        <f t="shared" si="7"/>
        <v>89.162999999999997</v>
      </c>
      <c r="W61" s="143">
        <v>42374</v>
      </c>
      <c r="X61" s="12">
        <v>102.67</v>
      </c>
      <c r="Y61" s="12">
        <v>102.67</v>
      </c>
      <c r="Z61" s="12">
        <v>99.89</v>
      </c>
      <c r="AA61" s="12">
        <v>100.9</v>
      </c>
      <c r="AB61" s="105">
        <v>15828600</v>
      </c>
      <c r="AC61" s="12">
        <v>100.9</v>
      </c>
      <c r="AD61" s="2">
        <f t="shared" si="1"/>
        <v>2.7800000000000011</v>
      </c>
      <c r="AE61" s="148">
        <f t="shared" si="2"/>
        <v>-2.0198096717809255E-2</v>
      </c>
    </row>
    <row r="62" spans="15:31" x14ac:dyDescent="0.25">
      <c r="W62" s="143">
        <v>42373</v>
      </c>
      <c r="X62" s="12">
        <v>103.12</v>
      </c>
      <c r="Y62" s="12">
        <v>103.43</v>
      </c>
      <c r="Z62" s="12">
        <v>101.73</v>
      </c>
      <c r="AA62" s="12">
        <v>102.98</v>
      </c>
      <c r="AB62" s="105">
        <v>12462500</v>
      </c>
      <c r="AC62" s="12">
        <v>102.98</v>
      </c>
      <c r="AD62" s="2">
        <f t="shared" si="1"/>
        <v>1.7000000000000028</v>
      </c>
      <c r="AE62" s="148">
        <f t="shared" si="2"/>
        <v>-1.9984773505900222E-2</v>
      </c>
    </row>
    <row r="63" spans="15:31" x14ac:dyDescent="0.25">
      <c r="W63" s="143">
        <v>42369</v>
      </c>
      <c r="X63" s="12">
        <v>106.14</v>
      </c>
      <c r="Y63" s="12">
        <v>106.31</v>
      </c>
      <c r="Z63" s="12">
        <v>105.06</v>
      </c>
      <c r="AA63" s="12">
        <v>105.08</v>
      </c>
      <c r="AB63" s="105">
        <v>6609500</v>
      </c>
      <c r="AC63" s="12">
        <v>105.08</v>
      </c>
      <c r="AD63" s="2">
        <f t="shared" si="1"/>
        <v>1.25</v>
      </c>
      <c r="AE63" s="148">
        <f t="shared" si="2"/>
        <v>-1.1848786909911646E-2</v>
      </c>
    </row>
    <row r="64" spans="15:31" x14ac:dyDescent="0.25">
      <c r="W64" s="143">
        <v>42368</v>
      </c>
      <c r="X64" s="12">
        <v>106.89</v>
      </c>
      <c r="Y64" s="12">
        <v>107.21</v>
      </c>
      <c r="Z64" s="12">
        <v>106.25</v>
      </c>
      <c r="AA64" s="12">
        <v>106.34</v>
      </c>
      <c r="AB64" s="105">
        <v>4903400</v>
      </c>
      <c r="AC64" s="12">
        <v>106.34</v>
      </c>
      <c r="AD64" s="2">
        <f t="shared" si="1"/>
        <v>0.95999999999999375</v>
      </c>
      <c r="AE64" s="148">
        <f t="shared" si="2"/>
        <v>-6.9107209562943028E-3</v>
      </c>
    </row>
    <row r="65" spans="23:31" x14ac:dyDescent="0.25">
      <c r="W65" s="143">
        <v>42367</v>
      </c>
      <c r="X65" s="12">
        <v>107.88</v>
      </c>
      <c r="Y65" s="12">
        <v>108.04</v>
      </c>
      <c r="Z65" s="12">
        <v>106.45</v>
      </c>
      <c r="AA65" s="12">
        <v>107.08</v>
      </c>
      <c r="AB65" s="105">
        <v>8569800</v>
      </c>
      <c r="AC65" s="12">
        <v>107.08</v>
      </c>
      <c r="AD65" s="2">
        <f t="shared" si="1"/>
        <v>1.5900000000000034</v>
      </c>
      <c r="AE65" s="148">
        <f t="shared" si="2"/>
        <v>-1.585081585081638E-3</v>
      </c>
    </row>
    <row r="66" spans="23:31" x14ac:dyDescent="0.25">
      <c r="W66" s="143">
        <v>42366</v>
      </c>
      <c r="X66" s="12">
        <v>106.5</v>
      </c>
      <c r="Y66" s="12">
        <v>108.2</v>
      </c>
      <c r="Z66" s="12">
        <v>106.33</v>
      </c>
      <c r="AA66" s="12">
        <v>107.25</v>
      </c>
      <c r="AB66" s="105">
        <v>8787300</v>
      </c>
      <c r="AC66" s="12">
        <v>107.25</v>
      </c>
      <c r="AD66" s="2">
        <f t="shared" si="1"/>
        <v>1.8700000000000045</v>
      </c>
      <c r="AE66" s="148">
        <f t="shared" si="2"/>
        <v>1.3130549782731871E-2</v>
      </c>
    </row>
    <row r="67" spans="23:31" x14ac:dyDescent="0.25">
      <c r="W67" s="143">
        <v>42362</v>
      </c>
      <c r="X67" s="12">
        <v>105.2</v>
      </c>
      <c r="Y67" s="12">
        <v>106.64</v>
      </c>
      <c r="Z67" s="12">
        <v>105.06</v>
      </c>
      <c r="AA67" s="12">
        <v>105.86</v>
      </c>
      <c r="AB67" s="105">
        <v>4356100</v>
      </c>
      <c r="AC67" s="12">
        <v>105.86</v>
      </c>
      <c r="AD67" s="2">
        <f t="shared" ref="AD67" si="8">Y67-Z67</f>
        <v>1.5799999999999983</v>
      </c>
      <c r="AE67" s="148" t="e">
        <f>AC67/#REF!-1</f>
        <v>#REF!</v>
      </c>
    </row>
    <row r="68" spans="23:31" x14ac:dyDescent="0.25">
      <c r="W68" s="143" t="s">
        <v>125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09" priority="18">
      <formula>Q7&gt;0</formula>
    </cfRule>
    <cfRule type="expression" dxfId="108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7" priority="11">
      <formula>F18&gt;0</formula>
    </cfRule>
    <cfRule type="expression" dxfId="106" priority="12">
      <formula>F18&lt;0</formula>
    </cfRule>
  </conditionalFormatting>
  <conditionalFormatting sqref="F25:F27">
    <cfRule type="expression" dxfId="105" priority="7">
      <formula>F25&gt;0</formula>
    </cfRule>
    <cfRule type="expression" dxfId="104" priority="8">
      <formula>F25&lt;0</formula>
    </cfRule>
  </conditionalFormatting>
  <conditionalFormatting sqref="F25:F27">
    <cfRule type="expression" dxfId="103" priority="9">
      <formula>F25&gt;0</formula>
    </cfRule>
    <cfRule type="expression" dxfId="102" priority="10">
      <formula>F25&lt;0</formula>
    </cfRule>
  </conditionalFormatting>
  <conditionalFormatting sqref="H18 H23:H27">
    <cfRule type="expression" dxfId="101" priority="5">
      <formula>H18&gt;0</formula>
    </cfRule>
    <cfRule type="expression" dxfId="100" priority="6">
      <formula>H18&lt;0</formula>
    </cfRule>
  </conditionalFormatting>
  <conditionalFormatting sqref="F19:F22">
    <cfRule type="expression" dxfId="99" priority="3">
      <formula>F19&gt;0</formula>
    </cfRule>
    <cfRule type="expression" dxfId="98" priority="4">
      <formula>F19&lt;0</formula>
    </cfRule>
  </conditionalFormatting>
  <conditionalFormatting sqref="H19:H22">
    <cfRule type="expression" dxfId="97" priority="1">
      <formula>H19&gt;0</formula>
    </cfRule>
    <cfRule type="expression" dxfId="96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42460</v>
      </c>
      <c r="X2" s="11">
        <v>5.66</v>
      </c>
      <c r="Y2" s="11">
        <v>5.72</v>
      </c>
      <c r="Z2" s="11">
        <v>5.59</v>
      </c>
      <c r="AA2" s="11">
        <v>5.59</v>
      </c>
      <c r="AB2" s="114">
        <v>23373000</v>
      </c>
      <c r="AC2" s="11">
        <v>5.59</v>
      </c>
      <c r="AD2" s="43">
        <f>Y2-Z2</f>
        <v>0.12999999999999989</v>
      </c>
      <c r="AE2" s="172">
        <f>AC2/AC3-1</f>
        <v>-7.1047957371225268E-3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5.47</v>
      </c>
      <c r="T3" s="1"/>
      <c r="W3" s="120">
        <v>42459</v>
      </c>
      <c r="X3" s="11">
        <v>5.5</v>
      </c>
      <c r="Y3" s="11">
        <v>5.72</v>
      </c>
      <c r="Z3" s="11">
        <v>5.5</v>
      </c>
      <c r="AA3" s="11">
        <v>5.63</v>
      </c>
      <c r="AB3" s="114">
        <v>21818100</v>
      </c>
      <c r="AC3" s="11">
        <v>5.63</v>
      </c>
      <c r="AD3" s="43">
        <f t="shared" ref="AD3:AD66" si="0">Y3-Z3</f>
        <v>0.21999999999999975</v>
      </c>
      <c r="AE3" s="172">
        <f t="shared" ref="AE3:AE66" si="1">AC3/AC4-1</f>
        <v>2.9250457038391353E-2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5.47</v>
      </c>
      <c r="T4" s="173"/>
      <c r="W4" s="120">
        <v>42458</v>
      </c>
      <c r="X4" s="11">
        <v>5.31</v>
      </c>
      <c r="Y4" s="11">
        <v>5.47</v>
      </c>
      <c r="Z4" s="11">
        <v>5.26</v>
      </c>
      <c r="AA4" s="11">
        <v>5.47</v>
      </c>
      <c r="AB4" s="114">
        <v>9588300</v>
      </c>
      <c r="AC4" s="11">
        <v>5.47</v>
      </c>
      <c r="AD4" s="43">
        <f t="shared" si="0"/>
        <v>0.20999999999999996</v>
      </c>
      <c r="AE4" s="172">
        <f t="shared" si="1"/>
        <v>3.2075471698113089E-2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42457</v>
      </c>
      <c r="X5" s="11">
        <v>5.27</v>
      </c>
      <c r="Y5" s="11">
        <v>5.35</v>
      </c>
      <c r="Z5" s="11">
        <v>5.21</v>
      </c>
      <c r="AA5" s="11">
        <v>5.3</v>
      </c>
      <c r="AB5" s="114">
        <v>8216700</v>
      </c>
      <c r="AC5" s="11">
        <v>5.3</v>
      </c>
      <c r="AD5" s="43">
        <f t="shared" si="0"/>
        <v>0.13999999999999968</v>
      </c>
      <c r="AE5" s="172">
        <f t="shared" si="1"/>
        <v>5.6925996204935103E-3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42453</v>
      </c>
      <c r="X6" s="11">
        <v>5.21</v>
      </c>
      <c r="Y6" s="11">
        <v>5.28</v>
      </c>
      <c r="Z6" s="11">
        <v>5.07</v>
      </c>
      <c r="AA6" s="11">
        <v>5.27</v>
      </c>
      <c r="AB6" s="114">
        <v>9460300</v>
      </c>
      <c r="AC6" s="11">
        <v>5.27</v>
      </c>
      <c r="AD6" s="43">
        <f t="shared" si="0"/>
        <v>0.20999999999999996</v>
      </c>
      <c r="AE6" s="172">
        <f t="shared" si="1"/>
        <v>1.1516314779270509E-2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42452</v>
      </c>
      <c r="X7" s="11">
        <v>5.28</v>
      </c>
      <c r="Y7" s="11">
        <v>5.3</v>
      </c>
      <c r="Z7" s="11">
        <v>5.2</v>
      </c>
      <c r="AA7" s="11">
        <v>5.21</v>
      </c>
      <c r="AB7" s="114">
        <v>7363500</v>
      </c>
      <c r="AC7" s="11">
        <v>5.21</v>
      </c>
      <c r="AD7" s="43">
        <f t="shared" si="0"/>
        <v>9.9999999999999645E-2</v>
      </c>
      <c r="AE7" s="172">
        <f t="shared" si="1"/>
        <v>-1.883239171374762E-2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42451</v>
      </c>
      <c r="X8" s="11">
        <v>5.25</v>
      </c>
      <c r="Y8" s="11">
        <v>5.34</v>
      </c>
      <c r="Z8" s="11">
        <v>5.23</v>
      </c>
      <c r="AA8" s="11">
        <v>5.31</v>
      </c>
      <c r="AB8" s="114">
        <v>7021000</v>
      </c>
      <c r="AC8" s="11">
        <v>5.31</v>
      </c>
      <c r="AD8" s="43">
        <f t="shared" si="0"/>
        <v>0.10999999999999943</v>
      </c>
      <c r="AE8" s="172">
        <f t="shared" si="1"/>
        <v>7.5901328273244584E-3</v>
      </c>
    </row>
    <row r="9" spans="1:31" x14ac:dyDescent="0.25">
      <c r="H9" s="81"/>
      <c r="O9" s="13" t="s">
        <v>218</v>
      </c>
      <c r="Q9" s="148">
        <f>VALUE(TRIM(CLEAN(MID(U56, FIND("(", U56)+1, 5))))</f>
        <v>7.9200000000000007E-2</v>
      </c>
      <c r="W9" s="120">
        <v>42450</v>
      </c>
      <c r="X9" s="11">
        <v>5.3</v>
      </c>
      <c r="Y9" s="11">
        <v>5.4</v>
      </c>
      <c r="Z9" s="11">
        <v>5.25</v>
      </c>
      <c r="AA9" s="11">
        <v>5.27</v>
      </c>
      <c r="AB9" s="114">
        <v>8376400</v>
      </c>
      <c r="AC9" s="11">
        <v>5.27</v>
      </c>
      <c r="AD9" s="43">
        <f t="shared" si="0"/>
        <v>0.15000000000000036</v>
      </c>
      <c r="AE9" s="172">
        <f t="shared" si="1"/>
        <v>-1.8939393939395588E-3</v>
      </c>
    </row>
    <row r="10" spans="1:31" x14ac:dyDescent="0.25">
      <c r="H10" s="81"/>
      <c r="W10" s="120">
        <v>42447</v>
      </c>
      <c r="X10" s="11">
        <v>5.25</v>
      </c>
      <c r="Y10" s="11">
        <v>5.36</v>
      </c>
      <c r="Z10" s="11">
        <v>5.25</v>
      </c>
      <c r="AA10" s="11">
        <v>5.28</v>
      </c>
      <c r="AB10" s="114">
        <v>17261400</v>
      </c>
      <c r="AC10" s="11">
        <v>5.28</v>
      </c>
      <c r="AD10" s="43">
        <f t="shared" si="0"/>
        <v>0.11000000000000032</v>
      </c>
      <c r="AE10" s="172">
        <f t="shared" si="1"/>
        <v>-1.890359168241873E-3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42446</v>
      </c>
      <c r="X11" s="11">
        <v>5.35</v>
      </c>
      <c r="Y11" s="11">
        <v>5.37</v>
      </c>
      <c r="Z11" s="11">
        <v>5.26</v>
      </c>
      <c r="AA11" s="11">
        <v>5.29</v>
      </c>
      <c r="AB11" s="114">
        <v>20154800</v>
      </c>
      <c r="AC11" s="11">
        <v>5.29</v>
      </c>
      <c r="AD11" s="43">
        <f t="shared" si="0"/>
        <v>0.11000000000000032</v>
      </c>
      <c r="AE11" s="172">
        <f t="shared" si="1"/>
        <v>-9.3632958801497246E-3</v>
      </c>
    </row>
    <row r="12" spans="1:31" x14ac:dyDescent="0.25">
      <c r="W12" s="120">
        <v>42445</v>
      </c>
      <c r="X12" s="11">
        <v>5.12</v>
      </c>
      <c r="Y12" s="11">
        <v>5.36</v>
      </c>
      <c r="Z12" s="11">
        <v>5.05</v>
      </c>
      <c r="AA12" s="11">
        <v>5.34</v>
      </c>
      <c r="AB12" s="114">
        <v>16731300</v>
      </c>
      <c r="AC12" s="11">
        <v>5.34</v>
      </c>
      <c r="AD12" s="43">
        <f t="shared" si="0"/>
        <v>0.3100000000000005</v>
      </c>
      <c r="AE12" s="172">
        <f t="shared" si="1"/>
        <v>3.4883720930232398E-2</v>
      </c>
    </row>
    <row r="13" spans="1:31" x14ac:dyDescent="0.25">
      <c r="W13" s="120">
        <v>42444</v>
      </c>
      <c r="X13" s="11">
        <v>5.26</v>
      </c>
      <c r="Y13" s="11">
        <v>5.3</v>
      </c>
      <c r="Z13" s="11">
        <v>5.0199999999999996</v>
      </c>
      <c r="AA13" s="11">
        <v>5.16</v>
      </c>
      <c r="AB13" s="114">
        <v>18542600</v>
      </c>
      <c r="AC13" s="11">
        <v>5.16</v>
      </c>
      <c r="AD13" s="43">
        <f t="shared" si="0"/>
        <v>0.28000000000000025</v>
      </c>
      <c r="AE13" s="172">
        <f t="shared" si="1"/>
        <v>-3.3707865168539297E-2</v>
      </c>
    </row>
    <row r="14" spans="1:31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3" t="s">
        <v>65</v>
      </c>
      <c r="G14" s="253" t="s">
        <v>172</v>
      </c>
      <c r="H14" s="213" t="s">
        <v>90</v>
      </c>
      <c r="I14" s="253" t="s">
        <v>179</v>
      </c>
      <c r="W14" s="120">
        <v>42443</v>
      </c>
      <c r="X14" s="11">
        <v>5.29</v>
      </c>
      <c r="Y14" s="11">
        <v>5.39</v>
      </c>
      <c r="Z14" s="11">
        <v>5.25</v>
      </c>
      <c r="AA14" s="11">
        <v>5.34</v>
      </c>
      <c r="AB14" s="114">
        <v>11925700</v>
      </c>
      <c r="AC14" s="11">
        <v>5.34</v>
      </c>
      <c r="AD14" s="43">
        <f t="shared" si="0"/>
        <v>0.13999999999999968</v>
      </c>
      <c r="AE14" s="172">
        <f t="shared" si="1"/>
        <v>-7.4349442379182396E-3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42440</v>
      </c>
      <c r="X15" s="11">
        <v>5.36</v>
      </c>
      <c r="Y15" s="11">
        <v>5.41</v>
      </c>
      <c r="Z15" s="11">
        <v>5.3</v>
      </c>
      <c r="AA15" s="11">
        <v>5.38</v>
      </c>
      <c r="AB15" s="114">
        <v>9252000</v>
      </c>
      <c r="AC15" s="11">
        <v>5.38</v>
      </c>
      <c r="AD15" s="43">
        <f t="shared" si="0"/>
        <v>0.11000000000000032</v>
      </c>
      <c r="AE15" s="172">
        <f t="shared" si="1"/>
        <v>1.1278195488721776E-2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42439</v>
      </c>
      <c r="X16" s="11">
        <v>5.01</v>
      </c>
      <c r="Y16" s="11">
        <v>5.36</v>
      </c>
      <c r="Z16" s="11">
        <v>4.97</v>
      </c>
      <c r="AA16" s="11">
        <v>5.32</v>
      </c>
      <c r="AB16" s="114">
        <v>26137500</v>
      </c>
      <c r="AC16" s="11">
        <v>5.32</v>
      </c>
      <c r="AD16" s="43">
        <f t="shared" si="0"/>
        <v>0.39000000000000057</v>
      </c>
      <c r="AE16" s="172">
        <f t="shared" si="1"/>
        <v>2.9013539651837617E-2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42438</v>
      </c>
      <c r="X17" s="11">
        <v>5.37</v>
      </c>
      <c r="Y17" s="11">
        <v>5.38</v>
      </c>
      <c r="Z17" s="11">
        <v>5.1100000000000003</v>
      </c>
      <c r="AA17" s="11">
        <v>5.17</v>
      </c>
      <c r="AB17" s="114">
        <v>32413000</v>
      </c>
      <c r="AC17" s="11">
        <v>5.17</v>
      </c>
      <c r="AD17" s="43">
        <f t="shared" si="0"/>
        <v>0.26999999999999957</v>
      </c>
      <c r="AE17" s="172" t="e">
        <f t="shared" si="1"/>
        <v>#DIV/0!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42438</v>
      </c>
      <c r="X18" s="11" t="s">
        <v>203</v>
      </c>
      <c r="Y18" s="11"/>
      <c r="Z18" s="11"/>
      <c r="AA18" s="11"/>
      <c r="AB18" s="114"/>
      <c r="AC18" s="11"/>
      <c r="AD18" s="43">
        <f t="shared" si="0"/>
        <v>0</v>
      </c>
      <c r="AE18" s="172">
        <f t="shared" si="1"/>
        <v>-1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42437</v>
      </c>
      <c r="X19" s="11">
        <v>5.76</v>
      </c>
      <c r="Y19" s="11">
        <v>5.77</v>
      </c>
      <c r="Z19" s="11">
        <v>5.52</v>
      </c>
      <c r="AA19" s="11">
        <v>5.65</v>
      </c>
      <c r="AB19" s="114">
        <v>21167400</v>
      </c>
      <c r="AC19" s="11">
        <v>5.55</v>
      </c>
      <c r="AD19" s="43">
        <f t="shared" si="0"/>
        <v>0.25</v>
      </c>
      <c r="AE19" s="172">
        <f t="shared" si="1"/>
        <v>-2.2887323943661997E-2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42436</v>
      </c>
      <c r="X20" s="11">
        <v>5.54</v>
      </c>
      <c r="Y20" s="11">
        <v>5.85</v>
      </c>
      <c r="Z20" s="11">
        <v>5.47</v>
      </c>
      <c r="AA20" s="11">
        <v>5.79</v>
      </c>
      <c r="AB20" s="114">
        <v>18805400</v>
      </c>
      <c r="AC20" s="11">
        <v>5.68</v>
      </c>
      <c r="AD20" s="43">
        <f t="shared" si="0"/>
        <v>0.37999999999999989</v>
      </c>
      <c r="AE20" s="172">
        <f t="shared" si="1"/>
        <v>3.8391224862888373E-2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42433</v>
      </c>
      <c r="X21" s="11">
        <v>5.69</v>
      </c>
      <c r="Y21" s="11">
        <v>5.85</v>
      </c>
      <c r="Z21" s="11">
        <v>5.52</v>
      </c>
      <c r="AA21" s="11">
        <v>5.57</v>
      </c>
      <c r="AB21" s="114">
        <v>27837700</v>
      </c>
      <c r="AC21" s="11">
        <v>5.47</v>
      </c>
      <c r="AD21" s="43">
        <f t="shared" si="0"/>
        <v>0.33000000000000007</v>
      </c>
      <c r="AE21" s="172">
        <f t="shared" si="1"/>
        <v>-1.9713261648745539E-2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42432</v>
      </c>
      <c r="X22" s="11">
        <v>5.63</v>
      </c>
      <c r="Y22" s="11">
        <v>5.81</v>
      </c>
      <c r="Z22" s="11">
        <v>5.6</v>
      </c>
      <c r="AA22" s="11">
        <v>5.69</v>
      </c>
      <c r="AB22" s="114">
        <v>19465100</v>
      </c>
      <c r="AC22" s="11">
        <v>5.58</v>
      </c>
      <c r="AD22" s="43">
        <f t="shared" si="0"/>
        <v>0.20999999999999996</v>
      </c>
      <c r="AE22" s="172">
        <f t="shared" si="1"/>
        <v>9.0415913200723175E-3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42431</v>
      </c>
      <c r="X23" s="11">
        <v>5.48</v>
      </c>
      <c r="Y23" s="11">
        <v>5.68</v>
      </c>
      <c r="Z23" s="11">
        <v>5.43</v>
      </c>
      <c r="AA23" s="11">
        <v>5.63</v>
      </c>
      <c r="AB23" s="114">
        <v>16976500</v>
      </c>
      <c r="AC23" s="11">
        <v>5.53</v>
      </c>
      <c r="AD23" s="43">
        <f t="shared" si="0"/>
        <v>0.25</v>
      </c>
      <c r="AE23" s="172">
        <f t="shared" si="1"/>
        <v>2.9795158286778367E-2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42430</v>
      </c>
      <c r="X24" s="11">
        <v>5.46</v>
      </c>
      <c r="Y24" s="11">
        <v>5.52</v>
      </c>
      <c r="Z24" s="11">
        <v>5.41</v>
      </c>
      <c r="AA24" s="11">
        <v>5.47</v>
      </c>
      <c r="AB24" s="114">
        <v>18889600</v>
      </c>
      <c r="AC24" s="11">
        <v>5.37</v>
      </c>
      <c r="AD24" s="43">
        <f t="shared" si="0"/>
        <v>0.10999999999999943</v>
      </c>
      <c r="AE24" s="172">
        <f t="shared" si="1"/>
        <v>1.1299435028248705E-2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42429</v>
      </c>
      <c r="X25" s="11">
        <v>5.4</v>
      </c>
      <c r="Y25" s="11">
        <v>5.52</v>
      </c>
      <c r="Z25" s="11">
        <v>5.36</v>
      </c>
      <c r="AA25" s="11">
        <v>5.41</v>
      </c>
      <c r="AB25" s="114">
        <v>29556900</v>
      </c>
      <c r="AC25" s="11">
        <v>5.31</v>
      </c>
      <c r="AD25" s="43">
        <f t="shared" si="0"/>
        <v>0.15999999999999925</v>
      </c>
      <c r="AE25" s="172">
        <f t="shared" si="1"/>
        <v>-3.7523452157599557E-3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42426</v>
      </c>
      <c r="X26" s="11">
        <v>5.32</v>
      </c>
      <c r="Y26" s="11">
        <v>5.47</v>
      </c>
      <c r="Z26" s="11">
        <v>5.19</v>
      </c>
      <c r="AA26" s="11">
        <v>5.43</v>
      </c>
      <c r="AB26" s="114">
        <v>19529200</v>
      </c>
      <c r="AC26" s="11">
        <v>5.33</v>
      </c>
      <c r="AD26" s="43">
        <f t="shared" si="0"/>
        <v>0.27999999999999936</v>
      </c>
      <c r="AE26" s="172">
        <f t="shared" si="1"/>
        <v>2.303262955854124E-2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42425</v>
      </c>
      <c r="X27" s="11">
        <v>5.35</v>
      </c>
      <c r="Y27" s="11">
        <v>5.38</v>
      </c>
      <c r="Z27" s="11">
        <v>5.13</v>
      </c>
      <c r="AA27" s="11">
        <v>5.31</v>
      </c>
      <c r="AB27" s="114">
        <v>39810100</v>
      </c>
      <c r="AC27" s="11">
        <v>5.21</v>
      </c>
      <c r="AD27" s="43">
        <f t="shared" si="0"/>
        <v>0.25</v>
      </c>
      <c r="AE27" s="172">
        <f t="shared" si="1"/>
        <v>1.9230769230769162E-3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42424</v>
      </c>
      <c r="X28" s="11">
        <v>5.03</v>
      </c>
      <c r="Y28" s="11">
        <v>5.35</v>
      </c>
      <c r="Z28" s="11">
        <v>4.9800000000000004</v>
      </c>
      <c r="AA28" s="11">
        <v>5.3</v>
      </c>
      <c r="AB28" s="114">
        <v>61804000</v>
      </c>
      <c r="AC28" s="11">
        <v>5.2</v>
      </c>
      <c r="AD28" s="43">
        <f t="shared" si="0"/>
        <v>0.36999999999999922</v>
      </c>
      <c r="AE28" s="172">
        <f t="shared" si="1"/>
        <v>4.2084168336673278E-2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42423</v>
      </c>
      <c r="X29" s="11">
        <v>4.74</v>
      </c>
      <c r="Y29" s="11">
        <v>5.09</v>
      </c>
      <c r="Z29" s="11">
        <v>4.6399999999999997</v>
      </c>
      <c r="AA29" s="11">
        <v>5.08</v>
      </c>
      <c r="AB29" s="114">
        <v>52495100</v>
      </c>
      <c r="AC29" s="11">
        <v>4.99</v>
      </c>
      <c r="AD29" s="43">
        <f t="shared" si="0"/>
        <v>0.45000000000000018</v>
      </c>
      <c r="AE29" s="172">
        <f t="shared" si="1"/>
        <v>0.12641083521444707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42422</v>
      </c>
      <c r="X30" s="11">
        <v>4.53</v>
      </c>
      <c r="Y30" s="11">
        <v>4.6500000000000004</v>
      </c>
      <c r="Z30" s="11">
        <v>4.49</v>
      </c>
      <c r="AA30" s="11">
        <v>4.51</v>
      </c>
      <c r="AB30" s="114">
        <v>23203700</v>
      </c>
      <c r="AC30" s="11">
        <v>4.43</v>
      </c>
      <c r="AD30" s="43">
        <f t="shared" si="0"/>
        <v>0.16000000000000014</v>
      </c>
      <c r="AE30" s="172">
        <f t="shared" si="1"/>
        <v>1.6055045871559592E-2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42419</v>
      </c>
      <c r="X31" s="11">
        <v>4.54</v>
      </c>
      <c r="Y31" s="11">
        <v>4.55</v>
      </c>
      <c r="Z31" s="11">
        <v>4.37</v>
      </c>
      <c r="AA31" s="11">
        <v>4.4400000000000004</v>
      </c>
      <c r="AB31" s="114">
        <v>11815400</v>
      </c>
      <c r="AC31" s="11">
        <v>4.3600000000000003</v>
      </c>
      <c r="AD31" s="43">
        <f t="shared" si="0"/>
        <v>0.17999999999999972</v>
      </c>
      <c r="AE31" s="172">
        <f t="shared" si="1"/>
        <v>-2.2421524663677084E-2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42418</v>
      </c>
      <c r="X32" s="11">
        <v>4.45</v>
      </c>
      <c r="Y32" s="11">
        <v>4.7</v>
      </c>
      <c r="Z32" s="11">
        <v>4.4000000000000004</v>
      </c>
      <c r="AA32" s="11">
        <v>4.54</v>
      </c>
      <c r="AB32" s="114">
        <v>18100000</v>
      </c>
      <c r="AC32" s="11">
        <v>4.46</v>
      </c>
      <c r="AD32" s="43">
        <f t="shared" si="0"/>
        <v>0.29999999999999982</v>
      </c>
      <c r="AE32" s="172">
        <f t="shared" si="1"/>
        <v>2.7649769585253559E-2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42417</v>
      </c>
      <c r="X33" s="11">
        <v>4.32</v>
      </c>
      <c r="Y33" s="11">
        <v>4.47</v>
      </c>
      <c r="Z33" s="11">
        <v>4.28</v>
      </c>
      <c r="AA33" s="11">
        <v>4.42</v>
      </c>
      <c r="AB33" s="114">
        <v>13517900</v>
      </c>
      <c r="AC33" s="11">
        <v>4.34</v>
      </c>
      <c r="AD33" s="43">
        <f t="shared" si="0"/>
        <v>0.1899999999999995</v>
      </c>
      <c r="AE33" s="172">
        <f t="shared" si="1"/>
        <v>4.0767386091127067E-2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42416</v>
      </c>
      <c r="X34" s="11">
        <v>4.3499999999999996</v>
      </c>
      <c r="Y34" s="11">
        <v>4.3499999999999996</v>
      </c>
      <c r="Z34" s="11">
        <v>4.1500000000000004</v>
      </c>
      <c r="AA34" s="11">
        <v>4.25</v>
      </c>
      <c r="AB34" s="114">
        <v>11779900</v>
      </c>
      <c r="AC34" s="11">
        <v>4.17</v>
      </c>
      <c r="AD34" s="43">
        <f t="shared" si="0"/>
        <v>0.19999999999999929</v>
      </c>
      <c r="AE34" s="172">
        <f t="shared" si="1"/>
        <v>2.4038461538460343E-3</v>
      </c>
    </row>
    <row r="35" spans="2:31" x14ac:dyDescent="0.25">
      <c r="W35" s="120">
        <v>42412</v>
      </c>
      <c r="X35" s="11">
        <v>4.2</v>
      </c>
      <c r="Y35" s="11">
        <v>4.29</v>
      </c>
      <c r="Z35" s="11">
        <v>4.0599999999999996</v>
      </c>
      <c r="AA35" s="11">
        <v>4.24</v>
      </c>
      <c r="AB35" s="114">
        <v>19893900</v>
      </c>
      <c r="AC35" s="11">
        <v>4.16</v>
      </c>
      <c r="AD35" s="43">
        <f t="shared" si="0"/>
        <v>0.23000000000000043</v>
      </c>
      <c r="AE35" s="172">
        <f t="shared" si="1"/>
        <v>1.7114914425427896E-2</v>
      </c>
    </row>
    <row r="36" spans="2:31" x14ac:dyDescent="0.25">
      <c r="W36" s="120">
        <v>42411</v>
      </c>
      <c r="X36" s="11">
        <v>4.12</v>
      </c>
      <c r="Y36" s="11">
        <v>4.26</v>
      </c>
      <c r="Z36" s="11">
        <v>4.07</v>
      </c>
      <c r="AA36" s="11">
        <v>4.17</v>
      </c>
      <c r="AB36" s="114">
        <v>20949700</v>
      </c>
      <c r="AC36" s="11">
        <v>4.09</v>
      </c>
      <c r="AD36" s="43">
        <f t="shared" si="0"/>
        <v>0.1899999999999995</v>
      </c>
      <c r="AE36" s="172">
        <f t="shared" si="1"/>
        <v>0</v>
      </c>
    </row>
    <row r="37" spans="2:31" x14ac:dyDescent="0.25">
      <c r="W37" s="120">
        <v>42410</v>
      </c>
      <c r="X37" s="11">
        <v>4.3600000000000003</v>
      </c>
      <c r="Y37" s="11">
        <v>4.37</v>
      </c>
      <c r="Z37" s="11">
        <v>4.1100000000000003</v>
      </c>
      <c r="AA37" s="11">
        <v>4.17</v>
      </c>
      <c r="AB37" s="114">
        <v>18481900</v>
      </c>
      <c r="AC37" s="11">
        <v>4.09</v>
      </c>
      <c r="AD37" s="43">
        <f t="shared" si="0"/>
        <v>0.25999999999999979</v>
      </c>
      <c r="AE37" s="172">
        <f t="shared" si="1"/>
        <v>-3.5377358490566113E-2</v>
      </c>
    </row>
    <row r="38" spans="2:31" x14ac:dyDescent="0.25">
      <c r="W38" s="120">
        <v>42409</v>
      </c>
      <c r="X38" s="11">
        <v>4.25</v>
      </c>
      <c r="Y38" s="11">
        <v>4.3600000000000003</v>
      </c>
      <c r="Z38" s="11">
        <v>4.08</v>
      </c>
      <c r="AA38" s="11">
        <v>4.32</v>
      </c>
      <c r="AB38" s="114">
        <v>22689900</v>
      </c>
      <c r="AC38" s="11">
        <v>4.24</v>
      </c>
      <c r="AD38" s="43">
        <f t="shared" si="0"/>
        <v>0.28000000000000025</v>
      </c>
      <c r="AE38" s="172">
        <f t="shared" si="1"/>
        <v>0</v>
      </c>
    </row>
    <row r="39" spans="2:31" x14ac:dyDescent="0.25">
      <c r="W39" s="120">
        <v>42408</v>
      </c>
      <c r="X39" s="11">
        <v>4.63</v>
      </c>
      <c r="Y39" s="11">
        <v>4.66</v>
      </c>
      <c r="Z39" s="11">
        <v>4.21</v>
      </c>
      <c r="AA39" s="11">
        <v>4.32</v>
      </c>
      <c r="AB39" s="114">
        <v>19109700</v>
      </c>
      <c r="AC39" s="11">
        <v>4.24</v>
      </c>
      <c r="AD39" s="43">
        <f t="shared" si="0"/>
        <v>0.45000000000000018</v>
      </c>
      <c r="AE39" s="172">
        <f t="shared" si="1"/>
        <v>-7.6252723311546755E-2</v>
      </c>
    </row>
    <row r="40" spans="2:31" ht="20.25" thickBot="1" x14ac:dyDescent="0.35">
      <c r="O40" s="420" t="s">
        <v>78</v>
      </c>
      <c r="P40" s="420"/>
      <c r="T40" s="101" t="s">
        <v>116</v>
      </c>
      <c r="W40" s="120">
        <v>42405</v>
      </c>
      <c r="X40" s="11">
        <v>4.6900000000000004</v>
      </c>
      <c r="Y40" s="11">
        <v>4.8600000000000003</v>
      </c>
      <c r="Z40" s="11">
        <v>4.6100000000000003</v>
      </c>
      <c r="AA40" s="11">
        <v>4.68</v>
      </c>
      <c r="AB40" s="114">
        <v>25876200</v>
      </c>
      <c r="AC40" s="11">
        <v>4.59</v>
      </c>
      <c r="AD40" s="43">
        <f t="shared" si="0"/>
        <v>0.25</v>
      </c>
      <c r="AE40" s="172">
        <f t="shared" si="1"/>
        <v>-4.3383947939263923E-3</v>
      </c>
    </row>
    <row r="41" spans="2:31" ht="15.75" thickTop="1" x14ac:dyDescent="0.25">
      <c r="O41" s="93">
        <v>1.1000000000000001</v>
      </c>
      <c r="P41" s="93">
        <f>O41*$Q$4</f>
        <v>6.0170000000000003</v>
      </c>
      <c r="Q41" s="2"/>
      <c r="T41" s="138" t="s">
        <v>101</v>
      </c>
      <c r="U41" s="108">
        <v>5.59</v>
      </c>
      <c r="W41" s="120">
        <v>42404</v>
      </c>
      <c r="X41" s="11">
        <v>4.62</v>
      </c>
      <c r="Y41" s="11">
        <v>4.8899999999999997</v>
      </c>
      <c r="Z41" s="11">
        <v>4.62</v>
      </c>
      <c r="AA41" s="11">
        <v>4.7</v>
      </c>
      <c r="AB41" s="114">
        <v>26429500</v>
      </c>
      <c r="AC41" s="11">
        <v>4.6100000000000003</v>
      </c>
      <c r="AD41" s="43">
        <f t="shared" si="0"/>
        <v>0.26999999999999957</v>
      </c>
      <c r="AE41" s="172">
        <f t="shared" si="1"/>
        <v>2.2172949002217335E-2</v>
      </c>
    </row>
    <row r="42" spans="2:31" x14ac:dyDescent="0.25">
      <c r="O42" s="93">
        <v>1.0900000000000001</v>
      </c>
      <c r="P42" s="93">
        <f t="shared" ref="P42:P61" si="9">O42*$Q$4</f>
        <v>5.9622999999999999</v>
      </c>
      <c r="Q42" s="2"/>
      <c r="T42" s="103" t="s">
        <v>102</v>
      </c>
      <c r="U42" s="98" t="s">
        <v>134</v>
      </c>
      <c r="W42" s="120">
        <v>42403</v>
      </c>
      <c r="X42" s="11">
        <v>4.42</v>
      </c>
      <c r="Y42" s="11">
        <v>4.6399999999999997</v>
      </c>
      <c r="Z42" s="11">
        <v>4.38</v>
      </c>
      <c r="AA42" s="11">
        <v>4.5999999999999996</v>
      </c>
      <c r="AB42" s="114">
        <v>15768300</v>
      </c>
      <c r="AC42" s="11">
        <v>4.51</v>
      </c>
      <c r="AD42" s="43">
        <f t="shared" si="0"/>
        <v>0.25999999999999979</v>
      </c>
      <c r="AE42" s="172">
        <f t="shared" si="1"/>
        <v>5.6206088992974301E-2</v>
      </c>
    </row>
    <row r="43" spans="2:31" x14ac:dyDescent="0.25">
      <c r="O43" s="93">
        <v>1.08</v>
      </c>
      <c r="P43" s="93">
        <f t="shared" si="9"/>
        <v>5.9076000000000004</v>
      </c>
      <c r="Q43" s="2"/>
      <c r="T43" s="103" t="s">
        <v>103</v>
      </c>
      <c r="U43" s="98" t="s">
        <v>134</v>
      </c>
      <c r="W43" s="120">
        <v>42402</v>
      </c>
      <c r="X43" s="11">
        <v>4.51</v>
      </c>
      <c r="Y43" s="11">
        <v>4.54</v>
      </c>
      <c r="Z43" s="11">
        <v>4.34</v>
      </c>
      <c r="AA43" s="11">
        <v>4.3499999999999996</v>
      </c>
      <c r="AB43" s="114">
        <v>12799500</v>
      </c>
      <c r="AC43" s="11">
        <v>4.2699999999999996</v>
      </c>
      <c r="AD43" s="43">
        <f t="shared" si="0"/>
        <v>0.20000000000000018</v>
      </c>
      <c r="AE43" s="172">
        <f t="shared" si="1"/>
        <v>-4.8997772828507924E-2</v>
      </c>
    </row>
    <row r="44" spans="2:31" x14ac:dyDescent="0.25">
      <c r="O44" s="93">
        <v>1.07</v>
      </c>
      <c r="P44" s="93">
        <f t="shared" si="9"/>
        <v>5.8529</v>
      </c>
      <c r="Q44" s="2"/>
      <c r="T44" s="103" t="s">
        <v>104</v>
      </c>
      <c r="U44" s="98" t="s">
        <v>134</v>
      </c>
      <c r="W44" s="120">
        <v>42401</v>
      </c>
      <c r="X44" s="11">
        <v>4.6399999999999997</v>
      </c>
      <c r="Y44" s="11">
        <v>4.6399999999999997</v>
      </c>
      <c r="Z44" s="11">
        <v>4.45</v>
      </c>
      <c r="AA44" s="11">
        <v>4.58</v>
      </c>
      <c r="AB44" s="114">
        <v>10147500</v>
      </c>
      <c r="AC44" s="11">
        <v>4.49</v>
      </c>
      <c r="AD44" s="43">
        <f t="shared" si="0"/>
        <v>0.1899999999999995</v>
      </c>
      <c r="AE44" s="172">
        <f t="shared" si="1"/>
        <v>4.4742729306488371E-3</v>
      </c>
    </row>
    <row r="45" spans="2:31" x14ac:dyDescent="0.25">
      <c r="O45" s="93">
        <v>1.06</v>
      </c>
      <c r="P45" s="93">
        <f t="shared" si="9"/>
        <v>5.7982000000000005</v>
      </c>
      <c r="Q45" s="2"/>
      <c r="T45" s="103" t="s">
        <v>105</v>
      </c>
      <c r="U45" s="98">
        <v>6.21</v>
      </c>
      <c r="W45" s="120">
        <v>42398</v>
      </c>
      <c r="X45" s="11">
        <v>4.55</v>
      </c>
      <c r="Y45" s="11">
        <v>4.58</v>
      </c>
      <c r="Z45" s="11">
        <v>4.5</v>
      </c>
      <c r="AA45" s="11">
        <v>4.55</v>
      </c>
      <c r="AB45" s="114">
        <v>12877700</v>
      </c>
      <c r="AC45" s="11">
        <v>4.47</v>
      </c>
      <c r="AD45" s="43">
        <f t="shared" si="0"/>
        <v>8.0000000000000071E-2</v>
      </c>
      <c r="AE45" s="172">
        <f t="shared" si="1"/>
        <v>9.0293453724605843E-3</v>
      </c>
    </row>
    <row r="46" spans="2:31" x14ac:dyDescent="0.25">
      <c r="O46" s="93">
        <v>1.05</v>
      </c>
      <c r="P46" s="93">
        <f t="shared" si="9"/>
        <v>5.7435</v>
      </c>
      <c r="Q46" s="2"/>
      <c r="T46" s="103" t="s">
        <v>106</v>
      </c>
      <c r="U46" s="98">
        <v>0.65303299999999997</v>
      </c>
      <c r="W46" s="120">
        <v>42397</v>
      </c>
      <c r="X46" s="11">
        <v>4.49</v>
      </c>
      <c r="Y46" s="11">
        <v>4.54</v>
      </c>
      <c r="Z46" s="11">
        <v>4.42</v>
      </c>
      <c r="AA46" s="11">
        <v>4.51</v>
      </c>
      <c r="AB46" s="114">
        <v>9892100</v>
      </c>
      <c r="AC46" s="11">
        <v>4.43</v>
      </c>
      <c r="AD46" s="43">
        <f t="shared" si="0"/>
        <v>0.12000000000000011</v>
      </c>
      <c r="AE46" s="172">
        <f t="shared" si="1"/>
        <v>1.3729977116704761E-2</v>
      </c>
    </row>
    <row r="47" spans="2:31" x14ac:dyDescent="0.25">
      <c r="O47" s="93">
        <v>1.04</v>
      </c>
      <c r="P47" s="93">
        <f t="shared" si="9"/>
        <v>5.6887999999999996</v>
      </c>
      <c r="Q47" s="2"/>
      <c r="T47" s="103" t="s">
        <v>126</v>
      </c>
      <c r="U47" s="98" t="s">
        <v>223</v>
      </c>
      <c r="W47" s="120">
        <v>42396</v>
      </c>
      <c r="X47" s="11">
        <v>4.41</v>
      </c>
      <c r="Y47" s="11">
        <v>4.51</v>
      </c>
      <c r="Z47" s="11">
        <v>4.3499999999999996</v>
      </c>
      <c r="AA47" s="11">
        <v>4.45</v>
      </c>
      <c r="AB47" s="114">
        <v>14044700</v>
      </c>
      <c r="AC47" s="11">
        <v>4.37</v>
      </c>
      <c r="AD47" s="43">
        <f t="shared" si="0"/>
        <v>0.16000000000000014</v>
      </c>
      <c r="AE47" s="172">
        <f t="shared" si="1"/>
        <v>6.9124423963133896E-3</v>
      </c>
    </row>
    <row r="48" spans="2:31" x14ac:dyDescent="0.25">
      <c r="O48" s="93">
        <v>1.03</v>
      </c>
      <c r="P48" s="93">
        <f t="shared" si="9"/>
        <v>5.6341000000000001</v>
      </c>
      <c r="Q48" s="2"/>
      <c r="T48" s="103"/>
      <c r="U48" s="98"/>
      <c r="W48" s="120">
        <v>42395</v>
      </c>
      <c r="X48" s="11">
        <v>4.2</v>
      </c>
      <c r="Y48" s="11">
        <v>4.46</v>
      </c>
      <c r="Z48" s="11">
        <v>4.1900000000000004</v>
      </c>
      <c r="AA48" s="11">
        <v>4.42</v>
      </c>
      <c r="AB48" s="114">
        <v>11435800</v>
      </c>
      <c r="AC48" s="11">
        <v>4.34</v>
      </c>
      <c r="AD48" s="43">
        <f t="shared" si="0"/>
        <v>0.26999999999999957</v>
      </c>
      <c r="AE48" s="172">
        <f t="shared" si="1"/>
        <v>5.5961070559610526E-2</v>
      </c>
    </row>
    <row r="49" spans="15:31" x14ac:dyDescent="0.25">
      <c r="O49" s="93">
        <v>1.02</v>
      </c>
      <c r="P49" s="93">
        <f t="shared" si="9"/>
        <v>5.5793999999999997</v>
      </c>
      <c r="Q49" s="2"/>
      <c r="T49" s="103" t="s">
        <v>108</v>
      </c>
      <c r="U49" s="98" t="s">
        <v>302</v>
      </c>
      <c r="W49" s="120">
        <v>42394</v>
      </c>
      <c r="X49" s="11">
        <v>4.34</v>
      </c>
      <c r="Y49" s="11">
        <v>4.4000000000000004</v>
      </c>
      <c r="Z49" s="11">
        <v>4.1900000000000004</v>
      </c>
      <c r="AA49" s="11">
        <v>4.1900000000000004</v>
      </c>
      <c r="AB49" s="114">
        <v>13178200</v>
      </c>
      <c r="AC49" s="11">
        <v>4.1100000000000003</v>
      </c>
      <c r="AD49" s="43">
        <f t="shared" si="0"/>
        <v>0.20999999999999996</v>
      </c>
      <c r="AE49" s="172">
        <f t="shared" si="1"/>
        <v>-3.9719626168224331E-2</v>
      </c>
    </row>
    <row r="50" spans="15:31" x14ac:dyDescent="0.25">
      <c r="O50" s="93">
        <v>1.01</v>
      </c>
      <c r="P50" s="93">
        <f t="shared" si="9"/>
        <v>5.5247000000000002</v>
      </c>
      <c r="Q50" s="2"/>
      <c r="T50" s="103" t="s">
        <v>109</v>
      </c>
      <c r="U50" s="98" t="s">
        <v>265</v>
      </c>
      <c r="W50" s="120">
        <v>42391</v>
      </c>
      <c r="X50" s="11">
        <v>4.09</v>
      </c>
      <c r="Y50" s="11">
        <v>4.3600000000000003</v>
      </c>
      <c r="Z50" s="11">
        <v>4.08</v>
      </c>
      <c r="AA50" s="11">
        <v>4.3600000000000003</v>
      </c>
      <c r="AB50" s="114">
        <v>23209200</v>
      </c>
      <c r="AC50" s="11">
        <v>4.28</v>
      </c>
      <c r="AD50" s="43">
        <f t="shared" si="0"/>
        <v>0.28000000000000025</v>
      </c>
      <c r="AE50" s="172">
        <f t="shared" si="1"/>
        <v>8.9058524173027953E-2</v>
      </c>
    </row>
    <row r="51" spans="15:31" x14ac:dyDescent="0.25">
      <c r="O51" s="93">
        <v>1</v>
      </c>
      <c r="P51" s="93">
        <f t="shared" si="9"/>
        <v>5.47</v>
      </c>
      <c r="Q51" s="2"/>
      <c r="T51" s="103" t="s">
        <v>110</v>
      </c>
      <c r="U51" s="100">
        <v>0</v>
      </c>
      <c r="W51" s="120">
        <v>42390</v>
      </c>
      <c r="X51" s="11">
        <v>4.01</v>
      </c>
      <c r="Y51" s="11">
        <v>4.0999999999999996</v>
      </c>
      <c r="Z51" s="11">
        <v>3.9</v>
      </c>
      <c r="AA51" s="11">
        <v>4</v>
      </c>
      <c r="AB51" s="114">
        <v>29644800</v>
      </c>
      <c r="AC51" s="11">
        <v>3.93</v>
      </c>
      <c r="AD51" s="43">
        <f t="shared" si="0"/>
        <v>0.19999999999999973</v>
      </c>
      <c r="AE51" s="172">
        <f t="shared" si="1"/>
        <v>1.5503875968992276E-2</v>
      </c>
    </row>
    <row r="52" spans="15:31" x14ac:dyDescent="0.25">
      <c r="O52" s="93">
        <v>0.99</v>
      </c>
      <c r="P52" s="93">
        <f t="shared" si="9"/>
        <v>5.4152999999999993</v>
      </c>
      <c r="Q52" s="2"/>
      <c r="T52" s="103" t="s">
        <v>113</v>
      </c>
      <c r="U52" s="100">
        <v>19097100</v>
      </c>
      <c r="W52" s="120">
        <v>42389</v>
      </c>
      <c r="X52" s="11">
        <v>4.0999999999999996</v>
      </c>
      <c r="Y52" s="11">
        <v>4.1500000000000004</v>
      </c>
      <c r="Z52" s="11">
        <v>3.81</v>
      </c>
      <c r="AA52" s="11">
        <v>3.94</v>
      </c>
      <c r="AB52" s="114">
        <v>28272600</v>
      </c>
      <c r="AC52" s="11">
        <v>3.87</v>
      </c>
      <c r="AD52" s="43">
        <f t="shared" si="0"/>
        <v>0.3400000000000003</v>
      </c>
      <c r="AE52" s="172">
        <f t="shared" si="1"/>
        <v>-5.6097560975609695E-2</v>
      </c>
    </row>
    <row r="53" spans="15:31" x14ac:dyDescent="0.25">
      <c r="O53" s="93">
        <v>0.98</v>
      </c>
      <c r="P53" s="93">
        <f t="shared" si="9"/>
        <v>5.3605999999999998</v>
      </c>
      <c r="Q53" s="2"/>
      <c r="T53" s="103" t="s">
        <v>111</v>
      </c>
      <c r="U53" s="98" t="s">
        <v>355</v>
      </c>
      <c r="W53" s="120">
        <v>42388</v>
      </c>
      <c r="X53" s="11">
        <v>4.28</v>
      </c>
      <c r="Y53" s="11">
        <v>4.32</v>
      </c>
      <c r="Z53" s="11">
        <v>4.16</v>
      </c>
      <c r="AA53" s="11">
        <v>4.18</v>
      </c>
      <c r="AB53" s="114">
        <v>15665800</v>
      </c>
      <c r="AC53" s="11">
        <v>4.0999999999999996</v>
      </c>
      <c r="AD53" s="43">
        <f t="shared" si="0"/>
        <v>0.16000000000000014</v>
      </c>
      <c r="AE53" s="172">
        <f t="shared" si="1"/>
        <v>-1.4423076923077094E-2</v>
      </c>
    </row>
    <row r="54" spans="15:31" x14ac:dyDescent="0.25">
      <c r="O54" s="93">
        <v>0.97</v>
      </c>
      <c r="P54" s="93">
        <f t="shared" si="9"/>
        <v>5.3058999999999994</v>
      </c>
      <c r="T54" s="103" t="s">
        <v>114</v>
      </c>
      <c r="U54" s="98" t="s">
        <v>134</v>
      </c>
      <c r="W54" s="120">
        <v>42384</v>
      </c>
      <c r="X54" s="11">
        <v>4.22</v>
      </c>
      <c r="Y54" s="11">
        <v>4.26</v>
      </c>
      <c r="Z54" s="11">
        <v>4.1100000000000003</v>
      </c>
      <c r="AA54" s="11">
        <v>4.24</v>
      </c>
      <c r="AB54" s="114">
        <v>24824700</v>
      </c>
      <c r="AC54" s="11">
        <v>4.16</v>
      </c>
      <c r="AD54" s="43">
        <f t="shared" si="0"/>
        <v>0.14999999999999947</v>
      </c>
      <c r="AE54" s="172">
        <f t="shared" si="1"/>
        <v>-3.0303030303030276E-2</v>
      </c>
    </row>
    <row r="55" spans="15:31" x14ac:dyDescent="0.25">
      <c r="O55" s="93">
        <v>0.96</v>
      </c>
      <c r="P55" s="93">
        <f t="shared" si="9"/>
        <v>5.2511999999999999</v>
      </c>
      <c r="T55" s="103" t="s">
        <v>115</v>
      </c>
      <c r="U55" s="98">
        <v>-0.28999999999999998</v>
      </c>
      <c r="W55" s="120">
        <v>42383</v>
      </c>
      <c r="X55" s="11">
        <v>4.2</v>
      </c>
      <c r="Y55" s="11">
        <v>4.37</v>
      </c>
      <c r="Z55" s="11">
        <v>3.96</v>
      </c>
      <c r="AA55" s="11">
        <v>4.37</v>
      </c>
      <c r="AB55" s="114">
        <v>23111000</v>
      </c>
      <c r="AC55" s="11">
        <v>4.29</v>
      </c>
      <c r="AD55" s="43">
        <f t="shared" si="0"/>
        <v>0.41000000000000014</v>
      </c>
      <c r="AE55" s="172">
        <f t="shared" si="1"/>
        <v>4.8899755501222497E-2</v>
      </c>
    </row>
    <row r="56" spans="15:31" x14ac:dyDescent="0.25">
      <c r="O56" s="93">
        <v>0.95</v>
      </c>
      <c r="P56" s="93">
        <f t="shared" si="9"/>
        <v>5.1964999999999995</v>
      </c>
      <c r="T56" s="103" t="s">
        <v>112</v>
      </c>
      <c r="U56" s="98" t="s">
        <v>356</v>
      </c>
      <c r="W56" s="120">
        <v>42382</v>
      </c>
      <c r="X56" s="11">
        <v>4.4000000000000004</v>
      </c>
      <c r="Y56" s="11">
        <v>4.43</v>
      </c>
      <c r="Z56" s="11">
        <v>4.13</v>
      </c>
      <c r="AA56" s="11">
        <v>4.17</v>
      </c>
      <c r="AB56" s="114">
        <v>27519100</v>
      </c>
      <c r="AC56" s="11">
        <v>4.09</v>
      </c>
      <c r="AD56" s="43">
        <f t="shared" si="0"/>
        <v>0.29999999999999982</v>
      </c>
      <c r="AE56" s="172">
        <f t="shared" si="1"/>
        <v>-4.8837209302325602E-2</v>
      </c>
    </row>
    <row r="57" spans="15:31" x14ac:dyDescent="0.25">
      <c r="O57" s="93">
        <v>0.94</v>
      </c>
      <c r="P57" s="93">
        <f t="shared" si="9"/>
        <v>5.141799999999999</v>
      </c>
      <c r="W57" s="120">
        <v>42381</v>
      </c>
      <c r="X57" s="11">
        <v>4.5599999999999996</v>
      </c>
      <c r="Y57" s="11">
        <v>4.57</v>
      </c>
      <c r="Z57" s="11">
        <v>4.37</v>
      </c>
      <c r="AA57" s="11">
        <v>4.38</v>
      </c>
      <c r="AB57" s="114">
        <v>17140800</v>
      </c>
      <c r="AC57" s="11">
        <v>4.3</v>
      </c>
      <c r="AD57" s="43">
        <f t="shared" si="0"/>
        <v>0.20000000000000018</v>
      </c>
      <c r="AE57" s="172">
        <f t="shared" si="1"/>
        <v>-2.9345372460496622E-2</v>
      </c>
    </row>
    <row r="58" spans="15:31" x14ac:dyDescent="0.25">
      <c r="O58" s="93">
        <v>0.93</v>
      </c>
      <c r="P58" s="93">
        <f t="shared" si="9"/>
        <v>5.0871000000000004</v>
      </c>
      <c r="W58" s="120">
        <v>42380</v>
      </c>
      <c r="X58" s="11">
        <v>4.68</v>
      </c>
      <c r="Y58" s="11">
        <v>4.72</v>
      </c>
      <c r="Z58" s="11">
        <v>4.47</v>
      </c>
      <c r="AA58" s="11">
        <v>4.51</v>
      </c>
      <c r="AB58" s="114">
        <v>14505800</v>
      </c>
      <c r="AC58" s="11">
        <v>4.43</v>
      </c>
      <c r="AD58" s="43">
        <f t="shared" si="0"/>
        <v>0.25</v>
      </c>
      <c r="AE58" s="172">
        <f t="shared" si="1"/>
        <v>-3.27510917030569E-2</v>
      </c>
    </row>
    <row r="59" spans="15:31" x14ac:dyDescent="0.25">
      <c r="O59" s="93">
        <v>0.92</v>
      </c>
      <c r="P59" s="93">
        <f t="shared" si="9"/>
        <v>5.0324</v>
      </c>
      <c r="W59" s="120">
        <v>42377</v>
      </c>
      <c r="X59" s="11">
        <v>4.74</v>
      </c>
      <c r="Y59" s="11">
        <v>4.7699999999999996</v>
      </c>
      <c r="Z59" s="11">
        <v>4.6399999999999997</v>
      </c>
      <c r="AA59" s="11">
        <v>4.67</v>
      </c>
      <c r="AB59" s="114">
        <v>13846800</v>
      </c>
      <c r="AC59" s="11">
        <v>4.58</v>
      </c>
      <c r="AD59" s="43">
        <f t="shared" si="0"/>
        <v>0.12999999999999989</v>
      </c>
      <c r="AE59" s="172">
        <f t="shared" si="1"/>
        <v>-4.3478260869563856E-3</v>
      </c>
    </row>
    <row r="60" spans="15:31" x14ac:dyDescent="0.25">
      <c r="O60" s="93">
        <v>0.91</v>
      </c>
      <c r="P60" s="93">
        <f t="shared" si="9"/>
        <v>4.9776999999999996</v>
      </c>
      <c r="W60" s="120">
        <v>42376</v>
      </c>
      <c r="X60" s="11">
        <v>4.72</v>
      </c>
      <c r="Y60" s="11">
        <v>4.79</v>
      </c>
      <c r="Z60" s="11">
        <v>4.68</v>
      </c>
      <c r="AA60" s="11">
        <v>4.6900000000000004</v>
      </c>
      <c r="AB60" s="114">
        <v>12468000</v>
      </c>
      <c r="AC60" s="11">
        <v>4.5999999999999996</v>
      </c>
      <c r="AD60" s="43">
        <f t="shared" si="0"/>
        <v>0.11000000000000032</v>
      </c>
      <c r="AE60" s="172">
        <f t="shared" si="1"/>
        <v>-1.4989293361884481E-2</v>
      </c>
    </row>
    <row r="61" spans="15:31" x14ac:dyDescent="0.25">
      <c r="O61" s="93">
        <v>0.9</v>
      </c>
      <c r="P61" s="93">
        <f t="shared" si="9"/>
        <v>4.923</v>
      </c>
      <c r="W61" s="120">
        <v>42375</v>
      </c>
      <c r="X61" s="11">
        <v>4.66</v>
      </c>
      <c r="Y61" s="11">
        <v>4.78</v>
      </c>
      <c r="Z61" s="11">
        <v>4.6399999999999997</v>
      </c>
      <c r="AA61" s="11">
        <v>4.76</v>
      </c>
      <c r="AB61" s="114">
        <v>12389600</v>
      </c>
      <c r="AC61" s="11">
        <v>4.67</v>
      </c>
      <c r="AD61" s="43">
        <f t="shared" si="0"/>
        <v>0.14000000000000057</v>
      </c>
      <c r="AE61" s="172">
        <f t="shared" si="1"/>
        <v>8.6393088552916275E-3</v>
      </c>
    </row>
    <row r="62" spans="15:31" x14ac:dyDescent="0.25">
      <c r="W62" s="120">
        <v>42374</v>
      </c>
      <c r="X62" s="11">
        <v>4.63</v>
      </c>
      <c r="Y62" s="11">
        <v>4.74</v>
      </c>
      <c r="Z62" s="11">
        <v>4.6100000000000003</v>
      </c>
      <c r="AA62" s="11">
        <v>4.72</v>
      </c>
      <c r="AB62" s="114">
        <v>6858600</v>
      </c>
      <c r="AC62" s="11">
        <v>4.63</v>
      </c>
      <c r="AD62" s="43">
        <f t="shared" si="0"/>
        <v>0.12999999999999989</v>
      </c>
      <c r="AE62" s="172">
        <f t="shared" si="1"/>
        <v>1.5350877192982448E-2</v>
      </c>
    </row>
    <row r="63" spans="15:31" x14ac:dyDescent="0.25">
      <c r="W63" s="120">
        <v>42373</v>
      </c>
      <c r="X63" s="11">
        <v>4.5999999999999996</v>
      </c>
      <c r="Y63" s="11">
        <v>4.72</v>
      </c>
      <c r="Z63" s="11">
        <v>4.57</v>
      </c>
      <c r="AA63" s="11">
        <v>4.6500000000000004</v>
      </c>
      <c r="AB63" s="114">
        <v>9378300</v>
      </c>
      <c r="AC63" s="11">
        <v>4.5599999999999996</v>
      </c>
      <c r="AD63" s="43">
        <f t="shared" si="0"/>
        <v>0.14999999999999947</v>
      </c>
      <c r="AE63" s="172">
        <f t="shared" si="1"/>
        <v>-4.366812227074357E-3</v>
      </c>
    </row>
    <row r="64" spans="15:31" x14ac:dyDescent="0.25">
      <c r="W64" s="120">
        <v>42369</v>
      </c>
      <c r="X64" s="11">
        <v>4.71</v>
      </c>
      <c r="Y64" s="11">
        <v>4.72</v>
      </c>
      <c r="Z64" s="11">
        <v>4.63</v>
      </c>
      <c r="AA64" s="11">
        <v>4.67</v>
      </c>
      <c r="AB64" s="114">
        <v>9651700</v>
      </c>
      <c r="AC64" s="11">
        <v>4.58</v>
      </c>
      <c r="AD64" s="43">
        <f t="shared" si="0"/>
        <v>8.9999999999999858E-2</v>
      </c>
      <c r="AE64" s="172">
        <f t="shared" si="1"/>
        <v>2.1881838074397919E-3</v>
      </c>
    </row>
    <row r="65" spans="23:31" x14ac:dyDescent="0.25">
      <c r="W65" s="120">
        <v>42368</v>
      </c>
      <c r="X65" s="11">
        <v>4.79</v>
      </c>
      <c r="Y65" s="11">
        <v>4.82</v>
      </c>
      <c r="Z65" s="11">
        <v>4.6500000000000004</v>
      </c>
      <c r="AA65" s="11">
        <v>4.66</v>
      </c>
      <c r="AB65" s="114">
        <v>11903100</v>
      </c>
      <c r="AC65" s="11">
        <v>4.57</v>
      </c>
      <c r="AD65" s="43">
        <f t="shared" si="0"/>
        <v>0.16999999999999993</v>
      </c>
      <c r="AE65" s="172">
        <f t="shared" si="1"/>
        <v>-3.3826638477801318E-2</v>
      </c>
    </row>
    <row r="66" spans="23:31" x14ac:dyDescent="0.25">
      <c r="W66" s="120">
        <v>42367</v>
      </c>
      <c r="X66" s="11">
        <v>4.8600000000000003</v>
      </c>
      <c r="Y66" s="11">
        <v>4.9000000000000004</v>
      </c>
      <c r="Z66" s="11">
        <v>4.78</v>
      </c>
      <c r="AA66" s="11">
        <v>4.82</v>
      </c>
      <c r="AB66" s="114">
        <v>8068400</v>
      </c>
      <c r="AC66" s="11">
        <v>4.7300000000000004</v>
      </c>
      <c r="AD66" s="43">
        <f t="shared" si="0"/>
        <v>0.12000000000000011</v>
      </c>
      <c r="AE66" s="172">
        <f t="shared" si="1"/>
        <v>-6.3025210084032279E-3</v>
      </c>
    </row>
    <row r="67" spans="23:31" x14ac:dyDescent="0.25">
      <c r="W67" s="120">
        <v>42366</v>
      </c>
      <c r="X67" s="11">
        <v>4.83</v>
      </c>
      <c r="Y67" s="11">
        <v>4.88</v>
      </c>
      <c r="Z67" s="11">
        <v>4.7699999999999996</v>
      </c>
      <c r="AA67" s="11">
        <v>4.8499999999999996</v>
      </c>
      <c r="AB67" s="114">
        <v>8010100</v>
      </c>
      <c r="AC67" s="11">
        <v>4.76</v>
      </c>
      <c r="AD67" s="43">
        <f t="shared" ref="AD67:AD68" si="10">Y67-Z67</f>
        <v>0.11000000000000032</v>
      </c>
      <c r="AE67" s="172">
        <f t="shared" ref="AE67" si="11">AC67/AC68-1</f>
        <v>-2.0964360587001352E-3</v>
      </c>
    </row>
    <row r="68" spans="23:31" x14ac:dyDescent="0.25">
      <c r="W68" s="120">
        <v>42362</v>
      </c>
      <c r="X68" s="11">
        <v>4.8600000000000003</v>
      </c>
      <c r="Y68" s="11">
        <v>4.9000000000000004</v>
      </c>
      <c r="Z68" s="11">
        <v>4.83</v>
      </c>
      <c r="AA68" s="11">
        <v>4.8600000000000003</v>
      </c>
      <c r="AB68" s="114">
        <v>4937200</v>
      </c>
      <c r="AC68" s="11">
        <v>4.7699999999999996</v>
      </c>
      <c r="AD68" s="43">
        <f t="shared" si="10"/>
        <v>7.0000000000000284E-2</v>
      </c>
      <c r="AE68" s="172" t="e">
        <f>AC68/AC69-1</f>
        <v>#DIV/0!</v>
      </c>
    </row>
    <row r="69" spans="23:31" x14ac:dyDescent="0.25">
      <c r="W69" s="120" t="s">
        <v>125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5" priority="17">
      <formula>Q7&gt;0</formula>
    </cfRule>
    <cfRule type="expression" dxfId="9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3" priority="11">
      <formula>F15&gt;0</formula>
    </cfRule>
    <cfRule type="expression" dxfId="92" priority="12">
      <formula>F15&lt;0</formula>
    </cfRule>
  </conditionalFormatting>
  <conditionalFormatting sqref="H15:H22">
    <cfRule type="expression" dxfId="91" priority="9">
      <formula>H15&gt;0</formula>
    </cfRule>
    <cfRule type="expression" dxfId="90" priority="10">
      <formula>H15&lt;0</formula>
    </cfRule>
  </conditionalFormatting>
  <conditionalFormatting sqref="H23">
    <cfRule type="expression" dxfId="89" priority="7">
      <formula>H23&gt;0</formula>
    </cfRule>
    <cfRule type="expression" dxfId="88" priority="8">
      <formula>H23&lt;0</formula>
    </cfRule>
  </conditionalFormatting>
  <conditionalFormatting sqref="H24:H34">
    <cfRule type="expression" dxfId="87" priority="5">
      <formula>H24&gt;0</formula>
    </cfRule>
    <cfRule type="expression" dxfId="86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5" priority="1">
      <formula>Q8&gt;0</formula>
    </cfRule>
    <cfRule type="expression" dxfId="8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</row>
    <row r="2" spans="1:40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50</v>
      </c>
      <c r="T2" s="1"/>
      <c r="W2" s="143">
        <v>42460</v>
      </c>
      <c r="X2" s="12">
        <v>91.9</v>
      </c>
      <c r="Y2" s="12">
        <v>92.75</v>
      </c>
      <c r="Z2" s="12">
        <v>91.54</v>
      </c>
      <c r="AA2" s="12">
        <v>91.86</v>
      </c>
      <c r="AB2" s="105">
        <v>13635000</v>
      </c>
      <c r="AC2" s="12">
        <v>91.86</v>
      </c>
      <c r="AD2" s="43">
        <f>Y2-Z2</f>
        <v>1.2099999999999937</v>
      </c>
      <c r="AE2" s="172">
        <f>AC2/AC3-1</f>
        <v>-1.1960421876698879E-3</v>
      </c>
    </row>
    <row r="3" spans="1:40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96.408999999999992</v>
      </c>
      <c r="W3" s="143">
        <v>42459</v>
      </c>
      <c r="X3" s="12">
        <v>92.47</v>
      </c>
      <c r="Y3" s="12">
        <v>93.57</v>
      </c>
      <c r="Z3" s="12">
        <v>91.56</v>
      </c>
      <c r="AA3" s="12">
        <v>91.97</v>
      </c>
      <c r="AB3" s="105">
        <v>8108400</v>
      </c>
      <c r="AC3" s="12">
        <v>91.97</v>
      </c>
      <c r="AD3" s="43">
        <f t="shared" ref="AD3:AD66" si="1">Y3-Z3</f>
        <v>2.0099999999999909</v>
      </c>
      <c r="AE3" s="172">
        <f t="shared" ref="AE3:AE66" si="2">AC3/AC4-1</f>
        <v>-2.4945770065076811E-3</v>
      </c>
      <c r="AN3" s="263"/>
    </row>
    <row r="4" spans="1:40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94.12</v>
      </c>
      <c r="W4" s="143">
        <v>42458</v>
      </c>
      <c r="X4" s="12">
        <v>92.19</v>
      </c>
      <c r="Y4" s="12">
        <v>92.24</v>
      </c>
      <c r="Z4" s="12">
        <v>90.61</v>
      </c>
      <c r="AA4" s="12">
        <v>92.2</v>
      </c>
      <c r="AB4" s="105">
        <v>8608300</v>
      </c>
      <c r="AC4" s="12">
        <v>92.2</v>
      </c>
      <c r="AD4" s="43">
        <f t="shared" si="1"/>
        <v>1.6299999999999955</v>
      </c>
      <c r="AE4" s="172">
        <f t="shared" si="2"/>
        <v>-2.8120268224095524E-3</v>
      </c>
    </row>
    <row r="5" spans="1:40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4706</v>
      </c>
      <c r="T5" s="1"/>
      <c r="W5" s="143">
        <v>42457</v>
      </c>
      <c r="X5" s="12">
        <v>92.07</v>
      </c>
      <c r="Y5" s="12">
        <v>94.31</v>
      </c>
      <c r="Z5" s="12">
        <v>91.94</v>
      </c>
      <c r="AA5" s="12">
        <v>92.46</v>
      </c>
      <c r="AB5" s="105">
        <v>9590400</v>
      </c>
      <c r="AC5" s="12">
        <v>92.46</v>
      </c>
      <c r="AD5" s="43">
        <f t="shared" si="1"/>
        <v>2.3700000000000045</v>
      </c>
      <c r="AE5" s="172">
        <f t="shared" si="2"/>
        <v>1.2483574244415152E-2</v>
      </c>
      <c r="AK5" s="263"/>
      <c r="AN5" s="263"/>
    </row>
    <row r="6" spans="1:40" x14ac:dyDescent="0.25">
      <c r="B6" s="29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4820.45</v>
      </c>
      <c r="W6" s="143">
        <v>42453</v>
      </c>
      <c r="X6" s="12">
        <v>89.61</v>
      </c>
      <c r="Y6" s="12">
        <v>92.82</v>
      </c>
      <c r="Z6" s="12">
        <v>89.44</v>
      </c>
      <c r="AA6" s="12">
        <v>91.32</v>
      </c>
      <c r="AB6" s="105">
        <v>14335400</v>
      </c>
      <c r="AC6" s="12">
        <v>91.32</v>
      </c>
      <c r="AD6" s="43">
        <f t="shared" si="1"/>
        <v>3.3799999999999955</v>
      </c>
      <c r="AE6" s="172">
        <f t="shared" si="2"/>
        <v>1.3765541740674792E-2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-114.44999999999982</v>
      </c>
      <c r="R7" s="206"/>
      <c r="W7" s="143">
        <v>42452</v>
      </c>
      <c r="X7" s="12">
        <v>90.96</v>
      </c>
      <c r="Y7" s="12">
        <v>92.22</v>
      </c>
      <c r="Z7" s="12">
        <v>89.97</v>
      </c>
      <c r="AA7" s="12">
        <v>90.08</v>
      </c>
      <c r="AB7" s="105">
        <v>13693600</v>
      </c>
      <c r="AC7" s="12">
        <v>90.08</v>
      </c>
      <c r="AD7" s="43">
        <f t="shared" si="1"/>
        <v>2.25</v>
      </c>
      <c r="AE7" s="172">
        <f t="shared" si="2"/>
        <v>-3.8839095177123362E-2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-2.3742596645541261E-2</v>
      </c>
      <c r="T8" s="1"/>
      <c r="W8" s="143">
        <v>42451</v>
      </c>
      <c r="X8" s="12">
        <v>92.14</v>
      </c>
      <c r="Y8" s="12">
        <v>93.96</v>
      </c>
      <c r="Z8" s="12">
        <v>92.05</v>
      </c>
      <c r="AA8" s="12">
        <v>93.72</v>
      </c>
      <c r="AB8" s="105">
        <v>9636600</v>
      </c>
      <c r="AC8" s="12">
        <v>93.72</v>
      </c>
      <c r="AD8" s="43">
        <f t="shared" si="1"/>
        <v>1.9099999999999966</v>
      </c>
      <c r="AE8" s="172">
        <f t="shared" si="2"/>
        <v>1.1330527678860447E-2</v>
      </c>
    </row>
    <row r="9" spans="1:40" x14ac:dyDescent="0.25">
      <c r="C9" s="4"/>
      <c r="D9" s="3"/>
      <c r="E9" s="3"/>
      <c r="F9" s="3"/>
      <c r="W9" s="143">
        <v>42450</v>
      </c>
      <c r="X9" s="12">
        <v>90</v>
      </c>
      <c r="Y9" s="12">
        <v>93.01</v>
      </c>
      <c r="Z9" s="12">
        <v>90</v>
      </c>
      <c r="AA9" s="12">
        <v>92.67</v>
      </c>
      <c r="AB9" s="105">
        <v>9756400</v>
      </c>
      <c r="AC9" s="12">
        <v>92.67</v>
      </c>
      <c r="AD9" s="43">
        <f t="shared" si="1"/>
        <v>3.0100000000000051</v>
      </c>
      <c r="AE9" s="172">
        <f t="shared" si="2"/>
        <v>2.6586905948820183E-2</v>
      </c>
    </row>
    <row r="10" spans="1:40" x14ac:dyDescent="0.25">
      <c r="W10" s="143">
        <v>42447</v>
      </c>
      <c r="X10" s="12">
        <v>90.02</v>
      </c>
      <c r="Y10" s="12">
        <v>90.73</v>
      </c>
      <c r="Z10" s="12">
        <v>89.54</v>
      </c>
      <c r="AA10" s="12">
        <v>90.27</v>
      </c>
      <c r="AB10" s="105">
        <v>16794200</v>
      </c>
      <c r="AC10" s="12">
        <v>90.27</v>
      </c>
      <c r="AD10" s="43">
        <f t="shared" si="1"/>
        <v>1.1899999999999977</v>
      </c>
      <c r="AE10" s="172">
        <f t="shared" si="2"/>
        <v>8.2653859041661448E-3</v>
      </c>
    </row>
    <row r="11" spans="1:40" x14ac:dyDescent="0.25">
      <c r="N11" s="5"/>
      <c r="W11" s="143">
        <v>42446</v>
      </c>
      <c r="X11" s="12">
        <v>89.79</v>
      </c>
      <c r="Y11" s="12">
        <v>90.37</v>
      </c>
      <c r="Z11" s="12">
        <v>88.81</v>
      </c>
      <c r="AA11" s="12">
        <v>89.53</v>
      </c>
      <c r="AB11" s="105">
        <v>10526500</v>
      </c>
      <c r="AC11" s="12">
        <v>89.53</v>
      </c>
      <c r="AD11" s="43">
        <f t="shared" si="1"/>
        <v>1.5600000000000023</v>
      </c>
      <c r="AE11" s="172">
        <f t="shared" si="2"/>
        <v>-8.3074878156845777E-3</v>
      </c>
    </row>
    <row r="12" spans="1:40" x14ac:dyDescent="0.25">
      <c r="N12" s="5"/>
      <c r="W12" s="143">
        <v>42445</v>
      </c>
      <c r="X12" s="12">
        <v>88.96</v>
      </c>
      <c r="Y12" s="12">
        <v>90.88</v>
      </c>
      <c r="Z12" s="12">
        <v>88.91</v>
      </c>
      <c r="AA12" s="12">
        <v>90.28</v>
      </c>
      <c r="AB12" s="105">
        <v>8794800</v>
      </c>
      <c r="AC12" s="12">
        <v>90.28</v>
      </c>
      <c r="AD12" s="43">
        <f t="shared" si="1"/>
        <v>1.9699999999999989</v>
      </c>
      <c r="AE12" s="172">
        <f t="shared" si="2"/>
        <v>9.3917710196780302E-3</v>
      </c>
    </row>
    <row r="13" spans="1:40" x14ac:dyDescent="0.25">
      <c r="C13" s="4"/>
      <c r="D13" s="3"/>
      <c r="E13" s="3"/>
      <c r="F13" s="3"/>
      <c r="H13" s="81"/>
      <c r="W13" s="143">
        <v>42444</v>
      </c>
      <c r="X13" s="12">
        <v>89.92</v>
      </c>
      <c r="Y13" s="12">
        <v>90.07</v>
      </c>
      <c r="Z13" s="12">
        <v>89.03</v>
      </c>
      <c r="AA13" s="12">
        <v>89.44</v>
      </c>
      <c r="AB13" s="105">
        <v>10265100</v>
      </c>
      <c r="AC13" s="12">
        <v>89.44</v>
      </c>
      <c r="AD13" s="43">
        <f t="shared" si="1"/>
        <v>1.039999999999992</v>
      </c>
      <c r="AE13" s="172">
        <f t="shared" si="2"/>
        <v>-1.1275701967720542E-2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50</v>
      </c>
      <c r="I14" s="14"/>
      <c r="J14" s="14"/>
      <c r="K14" s="15">
        <f>SUM(K2:K13)</f>
        <v>4760.7000000000007</v>
      </c>
      <c r="L14" s="14"/>
      <c r="M14" s="15">
        <f>SUM(M2:M13)</f>
        <v>47.3</v>
      </c>
      <c r="W14" s="143">
        <v>42443</v>
      </c>
      <c r="X14" s="12">
        <v>90</v>
      </c>
      <c r="Y14" s="12">
        <v>91.21</v>
      </c>
      <c r="Z14" s="12">
        <v>89.34</v>
      </c>
      <c r="AA14" s="12">
        <v>90.46</v>
      </c>
      <c r="AB14" s="105">
        <v>11004900</v>
      </c>
      <c r="AC14" s="12">
        <v>90.46</v>
      </c>
      <c r="AD14" s="43">
        <f t="shared" si="1"/>
        <v>1.8699999999999903</v>
      </c>
      <c r="AE14" s="172" t="e">
        <f t="shared" si="2"/>
        <v>#DIV/0!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42443</v>
      </c>
      <c r="X15" s="12" t="s">
        <v>151</v>
      </c>
      <c r="Y15" s="12"/>
      <c r="Z15" s="12"/>
      <c r="AA15" s="12"/>
      <c r="AB15" s="105"/>
      <c r="AC15" s="12"/>
      <c r="AD15" s="43">
        <f t="shared" si="1"/>
        <v>0</v>
      </c>
      <c r="AE15" s="172">
        <f t="shared" si="2"/>
        <v>-1</v>
      </c>
    </row>
    <row r="16" spans="1:40" x14ac:dyDescent="0.25">
      <c r="A16" s="10"/>
      <c r="B16" s="209" t="s">
        <v>117</v>
      </c>
      <c r="C16" s="209" t="s">
        <v>167</v>
      </c>
      <c r="D16" s="210" t="s">
        <v>166</v>
      </c>
      <c r="E16" s="212" t="s">
        <v>168</v>
      </c>
      <c r="F16" s="213" t="s">
        <v>65</v>
      </c>
      <c r="G16" s="253" t="s">
        <v>172</v>
      </c>
      <c r="H16" s="213" t="s">
        <v>90</v>
      </c>
      <c r="I16" s="213" t="s">
        <v>179</v>
      </c>
      <c r="J16" s="10"/>
      <c r="K16" s="10"/>
      <c r="L16" s="10"/>
      <c r="M16" s="10"/>
      <c r="W16" s="143">
        <v>42440</v>
      </c>
      <c r="X16" s="12">
        <v>89.97</v>
      </c>
      <c r="Y16" s="12">
        <v>89.98</v>
      </c>
      <c r="Z16" s="12">
        <v>88.8</v>
      </c>
      <c r="AA16" s="12">
        <v>89.65</v>
      </c>
      <c r="AB16" s="105">
        <v>10581000</v>
      </c>
      <c r="AC16" s="12">
        <v>89.22</v>
      </c>
      <c r="AD16" s="43">
        <f t="shared" si="1"/>
        <v>1.1800000000000068</v>
      </c>
      <c r="AE16" s="172">
        <f t="shared" si="2"/>
        <v>1.144994898537588E-2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60">
        <f>(E17-D17)/D17</f>
        <v>8.5714285714285618E-2</v>
      </c>
      <c r="I17" s="405"/>
      <c r="W17" s="143">
        <v>42439</v>
      </c>
      <c r="X17" s="12">
        <v>88.3</v>
      </c>
      <c r="Y17" s="12">
        <v>89.9</v>
      </c>
      <c r="Z17" s="12">
        <v>87.82</v>
      </c>
      <c r="AA17" s="12">
        <v>88.64</v>
      </c>
      <c r="AB17" s="105">
        <v>10884500</v>
      </c>
      <c r="AC17" s="12">
        <v>88.21</v>
      </c>
      <c r="AD17" s="43">
        <f t="shared" si="1"/>
        <v>2.0800000000000125</v>
      </c>
      <c r="AE17" s="172">
        <f t="shared" si="2"/>
        <v>9.152270907218929E-3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60">
        <f t="shared" ref="H18:H26" si="5">(E18-D18)/D18</f>
        <v>4.070450097847355E-2</v>
      </c>
      <c r="I18" s="405"/>
      <c r="W18" s="143">
        <v>42438</v>
      </c>
      <c r="X18" s="12">
        <v>88.94</v>
      </c>
      <c r="Y18" s="12">
        <v>89.25</v>
      </c>
      <c r="Z18" s="12">
        <v>87.43</v>
      </c>
      <c r="AA18" s="12">
        <v>87.83</v>
      </c>
      <c r="AB18" s="105">
        <v>10428100</v>
      </c>
      <c r="AC18" s="12">
        <v>87.41</v>
      </c>
      <c r="AD18" s="43">
        <f t="shared" si="1"/>
        <v>1.8199999999999932</v>
      </c>
      <c r="AE18" s="172">
        <f t="shared" si="2"/>
        <v>-9.2938909667914515E-3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60">
        <f t="shared" si="5"/>
        <v>-2.1232876712328784E-2</v>
      </c>
      <c r="I19" s="405"/>
      <c r="W19" s="143">
        <v>42437</v>
      </c>
      <c r="X19" s="12">
        <v>89.65</v>
      </c>
      <c r="Y19" s="12">
        <v>90.4</v>
      </c>
      <c r="Z19" s="12">
        <v>88.35</v>
      </c>
      <c r="AA19" s="12">
        <v>88.66</v>
      </c>
      <c r="AB19" s="105">
        <v>11056800</v>
      </c>
      <c r="AC19" s="12">
        <v>88.23</v>
      </c>
      <c r="AD19" s="43">
        <f t="shared" si="1"/>
        <v>2.0500000000000114</v>
      </c>
      <c r="AE19" s="172">
        <f t="shared" si="2"/>
        <v>-1.1096166778749139E-2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60">
        <f t="shared" si="5"/>
        <v>6.4579256360077939E-3</v>
      </c>
      <c r="I20" s="405"/>
      <c r="W20" s="143">
        <v>42436</v>
      </c>
      <c r="X20" s="12">
        <v>87.11</v>
      </c>
      <c r="Y20" s="12">
        <v>90.04</v>
      </c>
      <c r="Z20" s="12">
        <v>86.88</v>
      </c>
      <c r="AA20" s="12">
        <v>89.65</v>
      </c>
      <c r="AB20" s="105">
        <v>13100600</v>
      </c>
      <c r="AC20" s="12">
        <v>89.22</v>
      </c>
      <c r="AD20" s="43">
        <f t="shared" si="1"/>
        <v>3.1600000000000108</v>
      </c>
      <c r="AE20" s="172">
        <f t="shared" si="2"/>
        <v>2.7998617352229527E-2</v>
      </c>
    </row>
    <row r="21" spans="2:31" x14ac:dyDescent="0.25">
      <c r="B21" s="211">
        <v>42376</v>
      </c>
      <c r="C21" s="297">
        <v>50</v>
      </c>
      <c r="D21" s="266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60">
        <f t="shared" si="5"/>
        <v>-2.9052759003328918E-2</v>
      </c>
      <c r="I21" s="405"/>
      <c r="W21" s="143">
        <v>42433</v>
      </c>
      <c r="X21" s="12">
        <v>88.3</v>
      </c>
      <c r="Y21" s="12">
        <v>89.1</v>
      </c>
      <c r="Z21" s="12">
        <v>86.85</v>
      </c>
      <c r="AA21" s="12">
        <v>87.21</v>
      </c>
      <c r="AB21" s="105">
        <v>21201900</v>
      </c>
      <c r="AC21" s="12">
        <v>86.79</v>
      </c>
      <c r="AD21" s="43">
        <f t="shared" si="1"/>
        <v>2.25</v>
      </c>
      <c r="AE21" s="172">
        <f t="shared" si="2"/>
        <v>-7.0930099530944757E-3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60">
        <f t="shared" si="5"/>
        <v>-0.14174535643872585</v>
      </c>
      <c r="I22" s="405"/>
      <c r="W22" s="143">
        <v>42432</v>
      </c>
      <c r="X22" s="12">
        <v>89.13</v>
      </c>
      <c r="Y22" s="12">
        <v>89.31</v>
      </c>
      <c r="Z22" s="12">
        <v>87.48</v>
      </c>
      <c r="AA22" s="12">
        <v>87.83</v>
      </c>
      <c r="AB22" s="105">
        <v>12374600</v>
      </c>
      <c r="AC22" s="12">
        <v>87.41</v>
      </c>
      <c r="AD22" s="43">
        <f t="shared" si="1"/>
        <v>1.8299999999999983</v>
      </c>
      <c r="AE22" s="172">
        <f t="shared" si="2"/>
        <v>-1.0863415186149195E-2</v>
      </c>
    </row>
    <row r="23" spans="2:31" x14ac:dyDescent="0.25">
      <c r="B23" s="211">
        <v>42409</v>
      </c>
      <c r="C23" s="297">
        <v>50</v>
      </c>
      <c r="D23" s="266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60">
        <f t="shared" si="5"/>
        <v>-0.10996633683566256</v>
      </c>
      <c r="I23" s="405"/>
      <c r="W23" s="143">
        <v>42431</v>
      </c>
      <c r="X23" s="12">
        <v>89.6</v>
      </c>
      <c r="Y23" s="12">
        <v>89.68</v>
      </c>
      <c r="Z23" s="12">
        <v>87.96</v>
      </c>
      <c r="AA23" s="12">
        <v>88.8</v>
      </c>
      <c r="AB23" s="105">
        <v>10557200</v>
      </c>
      <c r="AC23" s="12">
        <v>88.37</v>
      </c>
      <c r="AD23" s="43">
        <f t="shared" si="1"/>
        <v>1.7200000000000131</v>
      </c>
      <c r="AE23" s="172">
        <f t="shared" si="2"/>
        <v>-9.9708716110239459E-3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61">
        <f t="shared" si="5"/>
        <v>-7.5120823702458553E-2</v>
      </c>
      <c r="I24" s="406"/>
      <c r="W24" s="143">
        <v>42430</v>
      </c>
      <c r="X24" s="12">
        <v>87.9</v>
      </c>
      <c r="Y24" s="12">
        <v>89.72</v>
      </c>
      <c r="Z24" s="12">
        <v>87.3</v>
      </c>
      <c r="AA24" s="12">
        <v>89.69</v>
      </c>
      <c r="AB24" s="105">
        <v>11746100</v>
      </c>
      <c r="AC24" s="12">
        <v>89.26</v>
      </c>
      <c r="AD24" s="43">
        <f t="shared" si="1"/>
        <v>2.4200000000000017</v>
      </c>
      <c r="AE24" s="172">
        <f t="shared" si="2"/>
        <v>2.798571922146742E-2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61">
        <f t="shared" si="5"/>
        <v>-5.7680184912796896E-2</v>
      </c>
      <c r="I25" s="406"/>
      <c r="W25" s="143">
        <v>42429</v>
      </c>
      <c r="X25" s="12">
        <v>87.87</v>
      </c>
      <c r="Y25" s="12">
        <v>89.14</v>
      </c>
      <c r="Z25" s="12">
        <v>87.25</v>
      </c>
      <c r="AA25" s="12">
        <v>87.25</v>
      </c>
      <c r="AB25" s="105">
        <v>12732500</v>
      </c>
      <c r="AC25" s="12">
        <v>86.83</v>
      </c>
      <c r="AD25" s="43">
        <f t="shared" si="1"/>
        <v>1.8900000000000006</v>
      </c>
      <c r="AE25" s="172">
        <f t="shared" si="2"/>
        <v>-9.6943430656935003E-3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61">
        <f t="shared" si="5"/>
        <v>-6.7030888842193839E-2</v>
      </c>
      <c r="I26" s="406"/>
      <c r="W26" s="143">
        <v>42426</v>
      </c>
      <c r="X26" s="12">
        <v>90.61</v>
      </c>
      <c r="Y26" s="12">
        <v>90.92</v>
      </c>
      <c r="Z26" s="12">
        <v>87.89</v>
      </c>
      <c r="AA26" s="12">
        <v>88.1</v>
      </c>
      <c r="AB26" s="105">
        <v>13349700</v>
      </c>
      <c r="AC26" s="12">
        <v>87.68</v>
      </c>
      <c r="AD26" s="43">
        <f t="shared" si="1"/>
        <v>3.0300000000000011</v>
      </c>
      <c r="AE26" s="172">
        <f t="shared" si="2"/>
        <v>-2.2846316727961669E-2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>D27*C27</f>
        <v>6662.32</v>
      </c>
      <c r="H27" s="261">
        <f>(E27-D27)/D27</f>
        <v>-5.1441539884004378E-2</v>
      </c>
      <c r="I27" s="406"/>
      <c r="W27" s="143">
        <v>42425</v>
      </c>
      <c r="X27" s="12">
        <v>90</v>
      </c>
      <c r="Y27" s="12">
        <v>90.49</v>
      </c>
      <c r="Z27" s="12">
        <v>89.55</v>
      </c>
      <c r="AA27" s="12">
        <v>90.16</v>
      </c>
      <c r="AB27" s="105">
        <v>9171500</v>
      </c>
      <c r="AC27" s="12">
        <v>89.73</v>
      </c>
      <c r="AD27" s="43">
        <f t="shared" si="1"/>
        <v>0.93999999999999773</v>
      </c>
      <c r="AE27" s="172">
        <f t="shared" si="2"/>
        <v>8.9958394242661832E-3</v>
      </c>
    </row>
    <row r="28" spans="2:31" x14ac:dyDescent="0.25">
      <c r="B28" s="211">
        <v>42447</v>
      </c>
      <c r="C28" s="297">
        <v>50</v>
      </c>
      <c r="D28" s="266">
        <v>97.010999999999996</v>
      </c>
      <c r="E28" s="43">
        <v>90.59</v>
      </c>
      <c r="F28" s="43">
        <f>C28*(E28-D28)</f>
        <v>-321.04999999999961</v>
      </c>
      <c r="G28" s="43">
        <f>D28*C28</f>
        <v>4850.55</v>
      </c>
      <c r="H28" s="261">
        <f>(E28-D28)/D28</f>
        <v>-6.6188370390986517E-2</v>
      </c>
      <c r="I28" s="406" t="s">
        <v>268</v>
      </c>
      <c r="W28" s="143">
        <v>42424</v>
      </c>
      <c r="X28" s="12">
        <v>87.41</v>
      </c>
      <c r="Y28" s="12">
        <v>89.54</v>
      </c>
      <c r="Z28" s="12">
        <v>86.79</v>
      </c>
      <c r="AA28" s="12">
        <v>89.36</v>
      </c>
      <c r="AB28" s="105">
        <v>8338400</v>
      </c>
      <c r="AC28" s="12">
        <v>88.93</v>
      </c>
      <c r="AD28" s="43">
        <f t="shared" si="1"/>
        <v>2.75</v>
      </c>
      <c r="AE28" s="172">
        <f t="shared" si="2"/>
        <v>1.1372682815876223E-2</v>
      </c>
    </row>
    <row r="29" spans="2:31" x14ac:dyDescent="0.25">
      <c r="B29" s="211">
        <v>42452</v>
      </c>
      <c r="C29" s="12">
        <v>50</v>
      </c>
      <c r="D29" s="43">
        <v>97.010999999999996</v>
      </c>
      <c r="E29" s="43">
        <v>93.72</v>
      </c>
      <c r="F29" s="43">
        <f>C29*(E29-D29)</f>
        <v>-164.54999999999984</v>
      </c>
      <c r="G29" s="43">
        <f>D29*C29</f>
        <v>4850.55</v>
      </c>
      <c r="H29" s="261">
        <f>(E29-D29)/D29</f>
        <v>-3.3923988001360636E-2</v>
      </c>
      <c r="I29" s="406"/>
      <c r="W29" s="143">
        <v>42423</v>
      </c>
      <c r="X29" s="12">
        <v>89.1</v>
      </c>
      <c r="Y29" s="12">
        <v>89.4</v>
      </c>
      <c r="Z29" s="12">
        <v>87.9</v>
      </c>
      <c r="AA29" s="12">
        <v>88.35</v>
      </c>
      <c r="AB29" s="105">
        <v>8394500</v>
      </c>
      <c r="AC29" s="12">
        <v>87.93</v>
      </c>
      <c r="AD29" s="43">
        <f t="shared" si="1"/>
        <v>1.5</v>
      </c>
      <c r="AE29" s="172">
        <f t="shared" si="2"/>
        <v>-8.3455509191383559E-3</v>
      </c>
    </row>
    <row r="30" spans="2:31" x14ac:dyDescent="0.25">
      <c r="B30" s="211">
        <v>42459</v>
      </c>
      <c r="C30" s="12">
        <v>50</v>
      </c>
      <c r="D30" s="266">
        <v>96.409000000000006</v>
      </c>
      <c r="E30" s="43">
        <v>91.97</v>
      </c>
      <c r="F30" s="43">
        <v>-221.95</v>
      </c>
      <c r="G30" s="43">
        <f>D30*C30</f>
        <v>4820.4500000000007</v>
      </c>
      <c r="H30" s="261">
        <f>(E30-D30)/D30</f>
        <v>-4.604341918285644E-2</v>
      </c>
      <c r="I30" s="406" t="s">
        <v>258</v>
      </c>
      <c r="W30" s="143">
        <v>42422</v>
      </c>
      <c r="X30" s="12">
        <v>88.35</v>
      </c>
      <c r="Y30" s="12">
        <v>89.5</v>
      </c>
      <c r="Z30" s="12">
        <v>88.05</v>
      </c>
      <c r="AA30" s="12">
        <v>89.1</v>
      </c>
      <c r="AB30" s="105">
        <v>9749400</v>
      </c>
      <c r="AC30" s="12">
        <v>88.67</v>
      </c>
      <c r="AD30" s="43">
        <f t="shared" si="1"/>
        <v>1.4500000000000028</v>
      </c>
      <c r="AE30" s="172">
        <f t="shared" si="2"/>
        <v>1.8961158354401375E-2</v>
      </c>
    </row>
    <row r="31" spans="2:31" x14ac:dyDescent="0.25">
      <c r="B31" s="12"/>
      <c r="C31" s="12"/>
      <c r="D31" s="43"/>
      <c r="E31" s="43"/>
      <c r="F31" s="43"/>
      <c r="G31" s="43"/>
      <c r="H31" s="261"/>
      <c r="I31" s="406"/>
      <c r="W31" s="143">
        <v>42419</v>
      </c>
      <c r="X31" s="12">
        <v>88.2</v>
      </c>
      <c r="Y31" s="12">
        <v>88.98</v>
      </c>
      <c r="Z31" s="12">
        <v>87.12</v>
      </c>
      <c r="AA31" s="12">
        <v>87.44</v>
      </c>
      <c r="AB31" s="105">
        <v>12897800</v>
      </c>
      <c r="AC31" s="12">
        <v>87.02</v>
      </c>
      <c r="AD31" s="43">
        <f t="shared" si="1"/>
        <v>1.8599999999999994</v>
      </c>
      <c r="AE31" s="172">
        <f t="shared" si="2"/>
        <v>-1.7389340560072353E-2</v>
      </c>
    </row>
    <row r="32" spans="2:31" x14ac:dyDescent="0.25">
      <c r="B32" s="12"/>
      <c r="C32" s="12"/>
      <c r="D32" s="43"/>
      <c r="E32" s="43"/>
      <c r="F32" s="43"/>
      <c r="G32" s="43"/>
      <c r="H32" s="261"/>
      <c r="I32" s="406"/>
      <c r="W32" s="143">
        <v>42418</v>
      </c>
      <c r="X32" s="12">
        <v>89.6</v>
      </c>
      <c r="Y32" s="12">
        <v>90.95</v>
      </c>
      <c r="Z32" s="12">
        <v>88.93</v>
      </c>
      <c r="AA32" s="12">
        <v>88.99</v>
      </c>
      <c r="AB32" s="105">
        <v>11427500</v>
      </c>
      <c r="AC32" s="12">
        <v>88.56</v>
      </c>
      <c r="AD32" s="43">
        <f t="shared" si="1"/>
        <v>2.019999999999996</v>
      </c>
      <c r="AE32" s="172">
        <f t="shared" si="2"/>
        <v>-4.160575733723193E-3</v>
      </c>
    </row>
    <row r="33" spans="15:31" x14ac:dyDescent="0.25">
      <c r="W33" s="143">
        <v>42417</v>
      </c>
      <c r="X33" s="12">
        <v>91.09</v>
      </c>
      <c r="Y33" s="12">
        <v>91.5</v>
      </c>
      <c r="Z33" s="12">
        <v>88.66</v>
      </c>
      <c r="AA33" s="12">
        <v>89.36</v>
      </c>
      <c r="AB33" s="105">
        <v>22772800</v>
      </c>
      <c r="AC33" s="12">
        <v>88.93</v>
      </c>
      <c r="AD33" s="43">
        <f t="shared" si="1"/>
        <v>2.8400000000000034</v>
      </c>
      <c r="AE33" s="172">
        <f t="shared" si="2"/>
        <v>-1.9622974313746933E-2</v>
      </c>
    </row>
    <row r="34" spans="15:31" x14ac:dyDescent="0.25">
      <c r="W34" s="143">
        <v>42416</v>
      </c>
      <c r="X34" s="12">
        <v>90.72</v>
      </c>
      <c r="Y34" s="12">
        <v>91.28</v>
      </c>
      <c r="Z34" s="12">
        <v>89.89</v>
      </c>
      <c r="AA34" s="12">
        <v>91.15</v>
      </c>
      <c r="AB34" s="105">
        <v>12278000</v>
      </c>
      <c r="AC34" s="12">
        <v>90.71</v>
      </c>
      <c r="AD34" s="43">
        <f t="shared" si="1"/>
        <v>1.3900000000000006</v>
      </c>
      <c r="AE34" s="172">
        <f t="shared" si="2"/>
        <v>1.9098977642961312E-2</v>
      </c>
    </row>
    <row r="35" spans="15:31" x14ac:dyDescent="0.25">
      <c r="W35" s="143">
        <v>42412</v>
      </c>
      <c r="X35" s="12">
        <v>88.66</v>
      </c>
      <c r="Y35" s="12">
        <v>89.88</v>
      </c>
      <c r="Z35" s="12">
        <v>86.68</v>
      </c>
      <c r="AA35" s="12">
        <v>89.44</v>
      </c>
      <c r="AB35" s="105">
        <v>11311700</v>
      </c>
      <c r="AC35" s="12">
        <v>89.01</v>
      </c>
      <c r="AD35" s="43">
        <f t="shared" si="1"/>
        <v>3.1999999999999886</v>
      </c>
      <c r="AE35" s="172">
        <f t="shared" si="2"/>
        <v>2.3809523809523947E-2</v>
      </c>
    </row>
    <row r="36" spans="15:31" x14ac:dyDescent="0.25">
      <c r="W36" s="143">
        <v>42411</v>
      </c>
      <c r="X36" s="12">
        <v>86.5</v>
      </c>
      <c r="Y36" s="12">
        <v>88.45</v>
      </c>
      <c r="Z36" s="12">
        <v>86.01</v>
      </c>
      <c r="AA36" s="12">
        <v>87.36</v>
      </c>
      <c r="AB36" s="105">
        <v>13013400</v>
      </c>
      <c r="AC36" s="12">
        <v>86.94</v>
      </c>
      <c r="AD36" s="43">
        <f t="shared" si="1"/>
        <v>2.4399999999999977</v>
      </c>
      <c r="AE36" s="172">
        <f t="shared" si="2"/>
        <v>-5.0354772259098013E-3</v>
      </c>
    </row>
    <row r="37" spans="15:31" x14ac:dyDescent="0.25">
      <c r="W37" s="143">
        <v>42410</v>
      </c>
      <c r="X37" s="12">
        <v>88.69</v>
      </c>
      <c r="Y37" s="12">
        <v>89.85</v>
      </c>
      <c r="Z37" s="12">
        <v>87.54</v>
      </c>
      <c r="AA37" s="12">
        <v>87.8</v>
      </c>
      <c r="AB37" s="105">
        <v>13462300</v>
      </c>
      <c r="AC37" s="12">
        <v>87.38</v>
      </c>
      <c r="AD37" s="43">
        <f t="shared" si="1"/>
        <v>2.3099999999999881</v>
      </c>
      <c r="AE37" s="172">
        <f t="shared" si="2"/>
        <v>6.3342162846942163E-3</v>
      </c>
    </row>
    <row r="38" spans="15:31" x14ac:dyDescent="0.25">
      <c r="W38" s="143">
        <v>42409</v>
      </c>
      <c r="X38" s="12">
        <v>84.2</v>
      </c>
      <c r="Y38" s="12">
        <v>88.48</v>
      </c>
      <c r="Z38" s="12">
        <v>84.1</v>
      </c>
      <c r="AA38" s="12">
        <v>87.25</v>
      </c>
      <c r="AB38" s="105">
        <v>14322700</v>
      </c>
      <c r="AC38" s="12">
        <v>86.83</v>
      </c>
      <c r="AD38" s="43">
        <f t="shared" si="1"/>
        <v>4.3800000000000097</v>
      </c>
      <c r="AE38" s="172">
        <f t="shared" si="2"/>
        <v>2.3335297583971792E-2</v>
      </c>
    </row>
    <row r="39" spans="15:31" x14ac:dyDescent="0.25">
      <c r="W39" s="143">
        <v>42408</v>
      </c>
      <c r="X39" s="12">
        <v>84.19</v>
      </c>
      <c r="Y39" s="12">
        <v>86.65</v>
      </c>
      <c r="Z39" s="12">
        <v>83.86</v>
      </c>
      <c r="AA39" s="12">
        <v>85.26</v>
      </c>
      <c r="AB39" s="105">
        <v>19111300</v>
      </c>
      <c r="AC39" s="12">
        <v>84.85</v>
      </c>
      <c r="AD39" s="43">
        <f t="shared" si="1"/>
        <v>2.7900000000000063</v>
      </c>
      <c r="AE39" s="172">
        <f t="shared" si="2"/>
        <v>1.4162634249970107E-3</v>
      </c>
    </row>
    <row r="40" spans="15:31" x14ac:dyDescent="0.25">
      <c r="W40" s="143">
        <v>42405</v>
      </c>
      <c r="X40" s="12">
        <v>86.68</v>
      </c>
      <c r="Y40" s="12">
        <v>88.02</v>
      </c>
      <c r="Z40" s="12">
        <v>84.45</v>
      </c>
      <c r="AA40" s="12">
        <v>85.14</v>
      </c>
      <c r="AB40" s="105">
        <v>15732800</v>
      </c>
      <c r="AC40" s="12">
        <v>84.73</v>
      </c>
      <c r="AD40" s="43">
        <f t="shared" si="1"/>
        <v>3.5699999999999932</v>
      </c>
      <c r="AE40" s="172">
        <f t="shared" si="2"/>
        <v>-1.7737073962439176E-2</v>
      </c>
    </row>
    <row r="41" spans="15:31" x14ac:dyDescent="0.25">
      <c r="W41" s="143">
        <v>42404</v>
      </c>
      <c r="X41" s="12">
        <v>86.02</v>
      </c>
      <c r="Y41" s="12">
        <v>87.45</v>
      </c>
      <c r="Z41" s="12">
        <v>85.61</v>
      </c>
      <c r="AA41" s="12">
        <v>86.68</v>
      </c>
      <c r="AB41" s="105">
        <v>14538700</v>
      </c>
      <c r="AC41" s="12">
        <v>86.26</v>
      </c>
      <c r="AD41" s="43">
        <f t="shared" si="1"/>
        <v>1.8400000000000034</v>
      </c>
      <c r="AE41" s="172">
        <f t="shared" si="2"/>
        <v>3.2565712956502679E-3</v>
      </c>
    </row>
    <row r="42" spans="15:31" ht="20.25" thickBot="1" x14ac:dyDescent="0.35">
      <c r="O42" s="420" t="s">
        <v>78</v>
      </c>
      <c r="P42" s="420"/>
      <c r="T42" s="101" t="s">
        <v>116</v>
      </c>
      <c r="W42" s="143">
        <v>42403</v>
      </c>
      <c r="X42" s="12">
        <v>84.91</v>
      </c>
      <c r="Y42" s="12">
        <v>86.99</v>
      </c>
      <c r="Z42" s="12">
        <v>83.87</v>
      </c>
      <c r="AA42" s="12">
        <v>86.39</v>
      </c>
      <c r="AB42" s="105">
        <v>24497700</v>
      </c>
      <c r="AC42" s="12">
        <v>85.98</v>
      </c>
      <c r="AD42" s="43">
        <f t="shared" si="1"/>
        <v>3.1199999999999903</v>
      </c>
      <c r="AE42" s="172">
        <f t="shared" si="2"/>
        <v>4.4587534928927308E-2</v>
      </c>
    </row>
    <row r="43" spans="15:31" ht="15.75" thickTop="1" x14ac:dyDescent="0.25">
      <c r="O43" s="93">
        <v>1.1000000000000001</v>
      </c>
      <c r="P43" s="93">
        <f>O43*$Q$4</f>
        <v>103.53200000000001</v>
      </c>
      <c r="Q43" s="2"/>
      <c r="T43" s="138" t="s">
        <v>101</v>
      </c>
      <c r="U43" s="108">
        <v>91.86</v>
      </c>
      <c r="W43" s="143">
        <v>42402</v>
      </c>
      <c r="X43" s="12">
        <v>84.18</v>
      </c>
      <c r="Y43" s="12">
        <v>84.22</v>
      </c>
      <c r="Z43" s="12">
        <v>81.89</v>
      </c>
      <c r="AA43" s="12">
        <v>82.71</v>
      </c>
      <c r="AB43" s="105">
        <v>16895600</v>
      </c>
      <c r="AC43" s="12">
        <v>82.31</v>
      </c>
      <c r="AD43" s="43">
        <f t="shared" si="1"/>
        <v>2.3299999999999983</v>
      </c>
      <c r="AE43" s="172">
        <f t="shared" si="2"/>
        <v>-1.6019127316198478E-2</v>
      </c>
    </row>
    <row r="44" spans="15:31" x14ac:dyDescent="0.25">
      <c r="O44" s="93">
        <v>1.0900000000000001</v>
      </c>
      <c r="P44" s="93">
        <f t="shared" ref="P44:P63" si="6">O44*$Q$4</f>
        <v>102.59080000000002</v>
      </c>
      <c r="Q44" s="2"/>
      <c r="T44" s="103" t="s">
        <v>102</v>
      </c>
      <c r="U44" s="98" t="s">
        <v>134</v>
      </c>
      <c r="W44" s="143">
        <v>42401</v>
      </c>
      <c r="X44" s="12">
        <v>82.32</v>
      </c>
      <c r="Y44" s="12">
        <v>84.52</v>
      </c>
      <c r="Z44" s="12">
        <v>82.28</v>
      </c>
      <c r="AA44" s="12">
        <v>84.05</v>
      </c>
      <c r="AB44" s="105">
        <v>17943600</v>
      </c>
      <c r="AC44" s="12">
        <v>83.65</v>
      </c>
      <c r="AD44" s="43">
        <f t="shared" si="1"/>
        <v>2.2399999999999949</v>
      </c>
      <c r="AE44" s="172">
        <f t="shared" si="2"/>
        <v>1.2711864406779849E-2</v>
      </c>
    </row>
    <row r="45" spans="15:31" x14ac:dyDescent="0.25">
      <c r="O45" s="93">
        <v>1.08</v>
      </c>
      <c r="P45" s="93">
        <f t="shared" si="6"/>
        <v>101.64960000000001</v>
      </c>
      <c r="Q45" s="2"/>
      <c r="T45" s="103" t="s">
        <v>103</v>
      </c>
      <c r="U45" s="98" t="s">
        <v>357</v>
      </c>
      <c r="W45" s="143">
        <v>42398</v>
      </c>
      <c r="X45" s="12">
        <v>84.28</v>
      </c>
      <c r="Y45" s="12">
        <v>85.3</v>
      </c>
      <c r="Z45" s="12">
        <v>82.33</v>
      </c>
      <c r="AA45" s="12">
        <v>83</v>
      </c>
      <c r="AB45" s="105">
        <v>37029000</v>
      </c>
      <c r="AC45" s="12">
        <v>82.6</v>
      </c>
      <c r="AD45" s="43">
        <f t="shared" si="1"/>
        <v>2.9699999999999989</v>
      </c>
      <c r="AE45" s="172">
        <f t="shared" si="2"/>
        <v>-5.1773619561474082E-2</v>
      </c>
    </row>
    <row r="46" spans="15:31" x14ac:dyDescent="0.25">
      <c r="O46" s="93">
        <v>1.07</v>
      </c>
      <c r="P46" s="93">
        <f t="shared" si="6"/>
        <v>100.70840000000001</v>
      </c>
      <c r="Q46" s="2"/>
      <c r="T46" s="103" t="s">
        <v>104</v>
      </c>
      <c r="U46" s="98" t="s">
        <v>358</v>
      </c>
      <c r="W46" s="143">
        <v>42397</v>
      </c>
      <c r="X46" s="12">
        <v>90</v>
      </c>
      <c r="Y46" s="12">
        <v>90.22</v>
      </c>
      <c r="Z46" s="12">
        <v>86.86</v>
      </c>
      <c r="AA46" s="12">
        <v>87.53</v>
      </c>
      <c r="AB46" s="105">
        <v>14168300</v>
      </c>
      <c r="AC46" s="12">
        <v>87.11</v>
      </c>
      <c r="AD46" s="43">
        <f t="shared" si="1"/>
        <v>3.3599999999999994</v>
      </c>
      <c r="AE46" s="172">
        <f t="shared" si="2"/>
        <v>-2.343049327354263E-2</v>
      </c>
    </row>
    <row r="47" spans="15:31" x14ac:dyDescent="0.25">
      <c r="O47" s="93">
        <v>1.06</v>
      </c>
      <c r="P47" s="93">
        <f t="shared" si="6"/>
        <v>99.767200000000017</v>
      </c>
      <c r="Q47" s="2"/>
      <c r="T47" s="103" t="s">
        <v>105</v>
      </c>
      <c r="U47" s="98">
        <v>114.6</v>
      </c>
      <c r="W47" s="143">
        <v>42396</v>
      </c>
      <c r="X47" s="12">
        <v>91.84</v>
      </c>
      <c r="Y47" s="12">
        <v>92.1</v>
      </c>
      <c r="Z47" s="12">
        <v>89</v>
      </c>
      <c r="AA47" s="12">
        <v>89.63</v>
      </c>
      <c r="AB47" s="105">
        <v>12520300</v>
      </c>
      <c r="AC47" s="12">
        <v>89.2</v>
      </c>
      <c r="AD47" s="43">
        <f t="shared" si="1"/>
        <v>3.0999999999999943</v>
      </c>
      <c r="AE47" s="172">
        <f t="shared" si="2"/>
        <v>-2.8004794595183569E-2</v>
      </c>
    </row>
    <row r="48" spans="15:31" x14ac:dyDescent="0.25">
      <c r="O48" s="93">
        <v>1.05</v>
      </c>
      <c r="P48" s="93">
        <f t="shared" si="6"/>
        <v>98.826000000000008</v>
      </c>
      <c r="Q48" s="2"/>
      <c r="T48" s="103" t="s">
        <v>106</v>
      </c>
      <c r="U48" s="98">
        <v>1.38696</v>
      </c>
      <c r="W48" s="143">
        <v>42395</v>
      </c>
      <c r="X48" s="12">
        <v>90.72</v>
      </c>
      <c r="Y48" s="12">
        <v>92.83</v>
      </c>
      <c r="Z48" s="12">
        <v>90.25</v>
      </c>
      <c r="AA48" s="12">
        <v>92.21</v>
      </c>
      <c r="AB48" s="105">
        <v>6889200</v>
      </c>
      <c r="AC48" s="12">
        <v>91.77</v>
      </c>
      <c r="AD48" s="43">
        <f t="shared" si="1"/>
        <v>2.5799999999999983</v>
      </c>
      <c r="AE48" s="172">
        <f t="shared" si="2"/>
        <v>1.763140385894868E-2</v>
      </c>
    </row>
    <row r="49" spans="15:31" x14ac:dyDescent="0.25">
      <c r="O49" s="93">
        <v>1.04</v>
      </c>
      <c r="P49" s="93">
        <f t="shared" si="6"/>
        <v>97.884800000000013</v>
      </c>
      <c r="Q49" s="2"/>
      <c r="T49" s="103" t="s">
        <v>126</v>
      </c>
      <c r="U49" s="98" t="s">
        <v>216</v>
      </c>
      <c r="W49" s="143">
        <v>42394</v>
      </c>
      <c r="X49" s="12">
        <v>91.53</v>
      </c>
      <c r="Y49" s="12">
        <v>93.54</v>
      </c>
      <c r="Z49" s="12">
        <v>90.43</v>
      </c>
      <c r="AA49" s="12">
        <v>90.61</v>
      </c>
      <c r="AB49" s="105">
        <v>10188400</v>
      </c>
      <c r="AC49" s="12">
        <v>90.18</v>
      </c>
      <c r="AD49" s="43">
        <f t="shared" si="1"/>
        <v>3.1099999999999994</v>
      </c>
      <c r="AE49" s="172">
        <f t="shared" si="2"/>
        <v>-1.3239960608381618E-2</v>
      </c>
    </row>
    <row r="50" spans="15:31" x14ac:dyDescent="0.25">
      <c r="O50" s="93">
        <v>1.03</v>
      </c>
      <c r="P50" s="93">
        <f t="shared" si="6"/>
        <v>96.943600000000004</v>
      </c>
      <c r="Q50" s="2"/>
      <c r="T50" s="103"/>
      <c r="U50" s="98"/>
      <c r="W50" s="143">
        <v>42391</v>
      </c>
      <c r="X50" s="12">
        <v>90.4</v>
      </c>
      <c r="Y50" s="12">
        <v>92.07</v>
      </c>
      <c r="Z50" s="12">
        <v>89.71</v>
      </c>
      <c r="AA50" s="12">
        <v>91.83</v>
      </c>
      <c r="AB50" s="105">
        <v>9160700</v>
      </c>
      <c r="AC50" s="12">
        <v>91.39</v>
      </c>
      <c r="AD50" s="43">
        <f t="shared" si="1"/>
        <v>2.3599999999999994</v>
      </c>
      <c r="AE50" s="172">
        <f t="shared" si="2"/>
        <v>3.3355947535052E-2</v>
      </c>
    </row>
    <row r="51" spans="15:31" x14ac:dyDescent="0.25">
      <c r="O51" s="93">
        <v>1.02</v>
      </c>
      <c r="P51" s="93">
        <f t="shared" si="6"/>
        <v>96.002400000000009</v>
      </c>
      <c r="Q51" s="2"/>
      <c r="T51" s="103" t="s">
        <v>108</v>
      </c>
      <c r="U51" s="98" t="s">
        <v>302</v>
      </c>
      <c r="W51" s="143">
        <v>42390</v>
      </c>
      <c r="X51" s="12">
        <v>90.37</v>
      </c>
      <c r="Y51" s="12">
        <v>90.6</v>
      </c>
      <c r="Z51" s="12">
        <v>88.71</v>
      </c>
      <c r="AA51" s="12">
        <v>88.87</v>
      </c>
      <c r="AB51" s="105">
        <v>12158300</v>
      </c>
      <c r="AC51" s="12">
        <v>88.44</v>
      </c>
      <c r="AD51" s="43">
        <f t="shared" si="1"/>
        <v>1.8900000000000006</v>
      </c>
      <c r="AE51" s="172">
        <f t="shared" si="2"/>
        <v>-1.8641810918775037E-2</v>
      </c>
    </row>
    <row r="52" spans="15:31" x14ac:dyDescent="0.25">
      <c r="O52" s="93">
        <v>1.01</v>
      </c>
      <c r="P52" s="93">
        <f t="shared" si="6"/>
        <v>95.061199999999999</v>
      </c>
      <c r="Q52" s="2"/>
      <c r="T52" s="103" t="s">
        <v>109</v>
      </c>
      <c r="U52" s="98" t="s">
        <v>217</v>
      </c>
      <c r="W52" s="143">
        <v>42389</v>
      </c>
      <c r="X52" s="12">
        <v>88</v>
      </c>
      <c r="Y52" s="12">
        <v>91.83</v>
      </c>
      <c r="Z52" s="12">
        <v>86.28</v>
      </c>
      <c r="AA52" s="12">
        <v>90.55</v>
      </c>
      <c r="AB52" s="105">
        <v>19676300</v>
      </c>
      <c r="AC52" s="12">
        <v>90.12</v>
      </c>
      <c r="AD52" s="43">
        <f t="shared" si="1"/>
        <v>5.5499999999999972</v>
      </c>
      <c r="AE52" s="172">
        <f t="shared" si="2"/>
        <v>7.2650050296190205E-3</v>
      </c>
    </row>
    <row r="53" spans="15:31" x14ac:dyDescent="0.25">
      <c r="O53" s="93">
        <v>1</v>
      </c>
      <c r="P53" s="93">
        <f t="shared" si="6"/>
        <v>94.12</v>
      </c>
      <c r="Q53" s="2"/>
      <c r="T53" s="103" t="s">
        <v>110</v>
      </c>
      <c r="U53" s="100">
        <v>1988</v>
      </c>
      <c r="W53" s="143">
        <v>42388</v>
      </c>
      <c r="X53" s="12">
        <v>93.14</v>
      </c>
      <c r="Y53" s="12">
        <v>93.22</v>
      </c>
      <c r="Z53" s="12">
        <v>88.85</v>
      </c>
      <c r="AA53" s="12">
        <v>89.9</v>
      </c>
      <c r="AB53" s="105">
        <v>14373700</v>
      </c>
      <c r="AC53" s="12">
        <v>89.47</v>
      </c>
      <c r="AD53" s="43">
        <f t="shared" si="1"/>
        <v>4.3700000000000045</v>
      </c>
      <c r="AE53" s="172">
        <f t="shared" si="2"/>
        <v>-2.1115973741794414E-2</v>
      </c>
    </row>
    <row r="54" spans="15:31" x14ac:dyDescent="0.25">
      <c r="O54" s="93">
        <v>0.99</v>
      </c>
      <c r="P54" s="93">
        <f t="shared" si="6"/>
        <v>93.17880000000001</v>
      </c>
      <c r="Q54" s="2"/>
      <c r="T54" s="103" t="s">
        <v>113</v>
      </c>
      <c r="U54" s="100">
        <v>13210400</v>
      </c>
      <c r="W54" s="143">
        <v>42384</v>
      </c>
      <c r="X54" s="12">
        <v>90.37</v>
      </c>
      <c r="Y54" s="12">
        <v>92.78</v>
      </c>
      <c r="Z54" s="12">
        <v>89.68</v>
      </c>
      <c r="AA54" s="12">
        <v>91.84</v>
      </c>
      <c r="AB54" s="105">
        <v>18108300</v>
      </c>
      <c r="AC54" s="12">
        <v>91.4</v>
      </c>
      <c r="AD54" s="43">
        <f t="shared" si="1"/>
        <v>3.0999999999999943</v>
      </c>
      <c r="AE54" s="172">
        <f t="shared" si="2"/>
        <v>-1.2639083936480389E-2</v>
      </c>
    </row>
    <row r="55" spans="15:31" x14ac:dyDescent="0.25">
      <c r="O55" s="93">
        <v>0.98</v>
      </c>
      <c r="P55" s="93">
        <f t="shared" si="6"/>
        <v>92.2376</v>
      </c>
      <c r="Q55" s="2"/>
      <c r="T55" s="103" t="s">
        <v>111</v>
      </c>
      <c r="U55" s="98" t="s">
        <v>359</v>
      </c>
      <c r="W55" s="143">
        <v>42383</v>
      </c>
      <c r="X55" s="12">
        <v>92.72</v>
      </c>
      <c r="Y55" s="12">
        <v>94.88</v>
      </c>
      <c r="Z55" s="12">
        <v>90.79</v>
      </c>
      <c r="AA55" s="12">
        <v>93.02</v>
      </c>
      <c r="AB55" s="105">
        <v>16303200</v>
      </c>
      <c r="AC55" s="12">
        <v>92.57</v>
      </c>
      <c r="AD55" s="43">
        <f t="shared" si="1"/>
        <v>4.0899999999999892</v>
      </c>
      <c r="AE55" s="172">
        <f t="shared" si="2"/>
        <v>5.1031487513573115E-3</v>
      </c>
    </row>
    <row r="56" spans="15:31" x14ac:dyDescent="0.25">
      <c r="O56" s="93">
        <v>0.97</v>
      </c>
      <c r="P56" s="93">
        <f t="shared" si="6"/>
        <v>91.296400000000006</v>
      </c>
      <c r="T56" s="103" t="s">
        <v>114</v>
      </c>
      <c r="U56" s="98">
        <v>7.71</v>
      </c>
      <c r="W56" s="143">
        <v>42382</v>
      </c>
      <c r="X56" s="12">
        <v>97.25</v>
      </c>
      <c r="Y56" s="12">
        <v>98.03</v>
      </c>
      <c r="Z56" s="12">
        <v>92.12</v>
      </c>
      <c r="AA56" s="12">
        <v>92.54</v>
      </c>
      <c r="AB56" s="105">
        <v>12135700</v>
      </c>
      <c r="AC56" s="12">
        <v>92.1</v>
      </c>
      <c r="AD56" s="43">
        <f t="shared" si="1"/>
        <v>5.9099999999999966</v>
      </c>
      <c r="AE56" s="172">
        <f t="shared" si="2"/>
        <v>-4.6879850977957216E-2</v>
      </c>
    </row>
    <row r="57" spans="15:31" x14ac:dyDescent="0.25">
      <c r="O57" s="93">
        <v>0.96</v>
      </c>
      <c r="P57" s="93">
        <f t="shared" si="6"/>
        <v>90.355199999999996</v>
      </c>
      <c r="T57" s="103" t="s">
        <v>115</v>
      </c>
      <c r="U57" s="98">
        <v>11.91</v>
      </c>
      <c r="W57" s="143">
        <v>42381</v>
      </c>
      <c r="X57" s="12">
        <v>96.9</v>
      </c>
      <c r="Y57" s="12">
        <v>98.49</v>
      </c>
      <c r="Z57" s="12">
        <v>95.21</v>
      </c>
      <c r="AA57" s="12">
        <v>97.1</v>
      </c>
      <c r="AB57" s="105">
        <v>9830100</v>
      </c>
      <c r="AC57" s="12">
        <v>96.63</v>
      </c>
      <c r="AD57" s="43">
        <f t="shared" si="1"/>
        <v>3.2800000000000011</v>
      </c>
      <c r="AE57" s="172">
        <f t="shared" si="2"/>
        <v>6.1432736359849915E-3</v>
      </c>
    </row>
    <row r="58" spans="15:31" x14ac:dyDescent="0.25">
      <c r="O58" s="93">
        <v>0.95</v>
      </c>
      <c r="P58" s="93">
        <f t="shared" si="6"/>
        <v>89.414000000000001</v>
      </c>
      <c r="T58" s="103" t="s">
        <v>112</v>
      </c>
      <c r="U58" s="98" t="s">
        <v>360</v>
      </c>
      <c r="W58" s="143">
        <v>42380</v>
      </c>
      <c r="X58" s="12">
        <v>97.22</v>
      </c>
      <c r="Y58" s="12">
        <v>97.22</v>
      </c>
      <c r="Z58" s="12">
        <v>94.29</v>
      </c>
      <c r="AA58" s="12">
        <v>96.5</v>
      </c>
      <c r="AB58" s="105">
        <v>12322500</v>
      </c>
      <c r="AC58" s="12">
        <v>96.04</v>
      </c>
      <c r="AD58" s="43">
        <f t="shared" si="1"/>
        <v>2.9299999999999926</v>
      </c>
      <c r="AE58" s="172">
        <f t="shared" si="2"/>
        <v>5.2088759245760841E-4</v>
      </c>
    </row>
    <row r="59" spans="15:31" x14ac:dyDescent="0.25">
      <c r="O59" s="93">
        <v>0.94</v>
      </c>
      <c r="P59" s="93">
        <f t="shared" si="6"/>
        <v>88.472799999999992</v>
      </c>
      <c r="W59" s="143">
        <v>42377</v>
      </c>
      <c r="X59" s="12">
        <v>96.9</v>
      </c>
      <c r="Y59" s="12">
        <v>97.99</v>
      </c>
      <c r="Z59" s="12">
        <v>96.41</v>
      </c>
      <c r="AA59" s="12">
        <v>96.45</v>
      </c>
      <c r="AB59" s="105">
        <v>11976000</v>
      </c>
      <c r="AC59" s="12">
        <v>95.99</v>
      </c>
      <c r="AD59" s="43">
        <f t="shared" si="1"/>
        <v>1.5799999999999983</v>
      </c>
      <c r="AE59" s="172">
        <f t="shared" si="2"/>
        <v>2.0879006159306712E-3</v>
      </c>
    </row>
    <row r="60" spans="15:31" x14ac:dyDescent="0.25">
      <c r="O60" s="93">
        <v>0.93</v>
      </c>
      <c r="P60" s="93">
        <f t="shared" si="6"/>
        <v>87.531600000000012</v>
      </c>
      <c r="W60" s="143">
        <v>42376</v>
      </c>
      <c r="X60" s="12">
        <v>98.06</v>
      </c>
      <c r="Y60" s="12">
        <v>99</v>
      </c>
      <c r="Z60" s="12">
        <v>96.03</v>
      </c>
      <c r="AA60" s="12">
        <v>96.25</v>
      </c>
      <c r="AB60" s="105">
        <v>12944600</v>
      </c>
      <c r="AC60" s="12">
        <v>95.79</v>
      </c>
      <c r="AD60" s="43">
        <f t="shared" si="1"/>
        <v>2.9699999999999989</v>
      </c>
      <c r="AE60" s="172">
        <f t="shared" si="2"/>
        <v>-4.0372670807453326E-2</v>
      </c>
    </row>
    <row r="61" spans="15:31" x14ac:dyDescent="0.25">
      <c r="O61" s="93">
        <v>0.92</v>
      </c>
      <c r="P61" s="93">
        <f t="shared" si="6"/>
        <v>86.590400000000002</v>
      </c>
      <c r="W61" s="143">
        <v>42375</v>
      </c>
      <c r="X61" s="12">
        <v>97.57</v>
      </c>
      <c r="Y61" s="12">
        <v>100.68</v>
      </c>
      <c r="Z61" s="12">
        <v>97.52</v>
      </c>
      <c r="AA61" s="12">
        <v>100.3</v>
      </c>
      <c r="AB61" s="105">
        <v>12540700</v>
      </c>
      <c r="AC61" s="12">
        <v>99.82</v>
      </c>
      <c r="AD61" s="43">
        <f t="shared" si="1"/>
        <v>3.1600000000000108</v>
      </c>
      <c r="AE61" s="172">
        <f t="shared" si="2"/>
        <v>1.052844705405942E-2</v>
      </c>
    </row>
    <row r="62" spans="15:31" x14ac:dyDescent="0.25">
      <c r="O62" s="93">
        <v>0.91</v>
      </c>
      <c r="P62" s="93">
        <f t="shared" si="6"/>
        <v>85.649200000000008</v>
      </c>
      <c r="W62" s="143">
        <v>42374</v>
      </c>
      <c r="X62" s="12">
        <v>99.69</v>
      </c>
      <c r="Y62" s="12">
        <v>99.85</v>
      </c>
      <c r="Z62" s="12">
        <v>98.7</v>
      </c>
      <c r="AA62" s="12">
        <v>99.26</v>
      </c>
      <c r="AB62" s="105">
        <v>9260800</v>
      </c>
      <c r="AC62" s="12">
        <v>98.78</v>
      </c>
      <c r="AD62" s="43">
        <f t="shared" si="1"/>
        <v>1.1499999999999915</v>
      </c>
      <c r="AE62" s="172">
        <f t="shared" si="2"/>
        <v>1.271273323764599E-2</v>
      </c>
    </row>
    <row r="63" spans="15:31" x14ac:dyDescent="0.25">
      <c r="O63" s="93">
        <v>0.9</v>
      </c>
      <c r="P63" s="93">
        <f t="shared" si="6"/>
        <v>84.708000000000013</v>
      </c>
      <c r="W63" s="143">
        <v>42373</v>
      </c>
      <c r="X63" s="12">
        <v>99.77</v>
      </c>
      <c r="Y63" s="12">
        <v>100</v>
      </c>
      <c r="Z63" s="12">
        <v>97.01</v>
      </c>
      <c r="AA63" s="12">
        <v>98.01</v>
      </c>
      <c r="AB63" s="105">
        <v>14904400</v>
      </c>
      <c r="AC63" s="12">
        <v>97.54</v>
      </c>
      <c r="AD63" s="43">
        <f t="shared" si="1"/>
        <v>2.9899999999999949</v>
      </c>
      <c r="AE63" s="172">
        <f t="shared" si="2"/>
        <v>-3.1380337636544131E-2</v>
      </c>
    </row>
    <row r="64" spans="15:31" x14ac:dyDescent="0.25">
      <c r="W64" s="143">
        <v>42369</v>
      </c>
      <c r="X64" s="12">
        <v>102.36</v>
      </c>
      <c r="Y64" s="12">
        <v>102.42</v>
      </c>
      <c r="Z64" s="12">
        <v>101.17</v>
      </c>
      <c r="AA64" s="12">
        <v>101.19</v>
      </c>
      <c r="AB64" s="105">
        <v>6245200</v>
      </c>
      <c r="AC64" s="12">
        <v>100.7</v>
      </c>
      <c r="AD64" s="43">
        <f t="shared" si="1"/>
        <v>1.25</v>
      </c>
      <c r="AE64" s="172">
        <f t="shared" si="2"/>
        <v>-9.5406707976787297E-3</v>
      </c>
    </row>
    <row r="65" spans="23:31" x14ac:dyDescent="0.25">
      <c r="W65" s="143">
        <v>42368</v>
      </c>
      <c r="X65" s="12">
        <v>102.84</v>
      </c>
      <c r="Y65" s="12">
        <v>103.05</v>
      </c>
      <c r="Z65" s="12">
        <v>102.03</v>
      </c>
      <c r="AA65" s="12">
        <v>102.16</v>
      </c>
      <c r="AB65" s="105">
        <v>4876300</v>
      </c>
      <c r="AC65" s="12">
        <v>101.67</v>
      </c>
      <c r="AD65" s="43">
        <f t="shared" si="1"/>
        <v>1.019999999999996</v>
      </c>
      <c r="AE65" s="172">
        <f t="shared" si="2"/>
        <v>-1.1569123079914423E-2</v>
      </c>
    </row>
    <row r="66" spans="23:31" x14ac:dyDescent="0.25">
      <c r="W66" s="143">
        <v>42367</v>
      </c>
      <c r="X66" s="12">
        <v>102.25</v>
      </c>
      <c r="Y66" s="12">
        <v>103.55</v>
      </c>
      <c r="Z66" s="12">
        <v>101.57</v>
      </c>
      <c r="AA66" s="12">
        <v>103.36</v>
      </c>
      <c r="AB66" s="105">
        <v>7647300</v>
      </c>
      <c r="AC66" s="12">
        <v>102.86</v>
      </c>
      <c r="AD66" s="43">
        <f t="shared" si="1"/>
        <v>1.980000000000004</v>
      </c>
      <c r="AE66" s="172">
        <f t="shared" si="2"/>
        <v>1.650360707579801E-2</v>
      </c>
    </row>
    <row r="67" spans="23:31" x14ac:dyDescent="0.25">
      <c r="W67" s="143">
        <v>42366</v>
      </c>
      <c r="X67" s="12">
        <v>103</v>
      </c>
      <c r="Y67" s="12">
        <v>103.31</v>
      </c>
      <c r="Z67" s="12">
        <v>101.51</v>
      </c>
      <c r="AA67" s="12">
        <v>101.68</v>
      </c>
      <c r="AB67" s="105">
        <v>5270900</v>
      </c>
      <c r="AC67" s="12">
        <v>101.19</v>
      </c>
      <c r="AD67" s="43">
        <f t="shared" ref="AD67:AD68" si="7">Y67-Z67</f>
        <v>1.7999999999999972</v>
      </c>
      <c r="AE67" s="172">
        <f t="shared" ref="AE67" si="8">AC67/AC68-1</f>
        <v>-1.8335273573923172E-2</v>
      </c>
    </row>
    <row r="68" spans="23:31" x14ac:dyDescent="0.25">
      <c r="W68" s="143">
        <v>42362</v>
      </c>
      <c r="X68" s="12">
        <v>103.35</v>
      </c>
      <c r="Y68" s="12">
        <v>103.9</v>
      </c>
      <c r="Z68" s="12">
        <v>103.15</v>
      </c>
      <c r="AA68" s="12">
        <v>103.58</v>
      </c>
      <c r="AB68" s="105">
        <v>2656900</v>
      </c>
      <c r="AC68" s="12">
        <v>103.08</v>
      </c>
      <c r="AD68" s="43">
        <f t="shared" si="7"/>
        <v>0.75</v>
      </c>
      <c r="AE68" s="172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30:F32 F27:F28 H30:I32 H27:I28 H29">
    <cfRule type="expression" dxfId="83" priority="22">
      <formula>F7&gt;0</formula>
    </cfRule>
    <cfRule type="expression" dxfId="8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1" priority="15">
      <formula>F24&gt;0</formula>
    </cfRule>
    <cfRule type="expression" dxfId="80" priority="16">
      <formula>F24&lt;0</formula>
    </cfRule>
  </conditionalFormatting>
  <conditionalFormatting sqref="H24:I24">
    <cfRule type="expression" dxfId="79" priority="11">
      <formula>H24&gt;0</formula>
    </cfRule>
    <cfRule type="expression" dxfId="78" priority="12">
      <formula>H24&lt;0</formula>
    </cfRule>
  </conditionalFormatting>
  <conditionalFormatting sqref="H25:I25">
    <cfRule type="expression" dxfId="77" priority="9">
      <formula>H25&gt;0</formula>
    </cfRule>
    <cfRule type="expression" dxfId="76" priority="10">
      <formula>H25&lt;0</formula>
    </cfRule>
  </conditionalFormatting>
  <conditionalFormatting sqref="H26:I26">
    <cfRule type="expression" dxfId="75" priority="7">
      <formula>H26&gt;0</formula>
    </cfRule>
    <cfRule type="expression" dxfId="74" priority="8">
      <formula>H26&lt;0</formula>
    </cfRule>
  </conditionalFormatting>
  <conditionalFormatting sqref="F17:F23">
    <cfRule type="expression" dxfId="73" priority="5">
      <formula>F17&gt;0</formula>
    </cfRule>
    <cfRule type="expression" dxfId="72" priority="6">
      <formula>F17&lt;0</formula>
    </cfRule>
  </conditionalFormatting>
  <conditionalFormatting sqref="H17:I23">
    <cfRule type="expression" dxfId="71" priority="3">
      <formula>H17&gt;0</formula>
    </cfRule>
    <cfRule type="expression" dxfId="70" priority="4">
      <formula>H17&lt;0</formula>
    </cfRule>
  </conditionalFormatting>
  <conditionalFormatting sqref="F29 I29">
    <cfRule type="expression" dxfId="69" priority="1">
      <formula>F29&gt;0</formula>
    </cfRule>
    <cfRule type="expression" dxfId="68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42460</v>
      </c>
      <c r="X2" s="12">
        <v>52.56</v>
      </c>
      <c r="Y2" s="12">
        <v>52.99</v>
      </c>
      <c r="Z2" s="12">
        <v>51.99</v>
      </c>
      <c r="AA2" s="12">
        <v>52.02</v>
      </c>
      <c r="AB2" s="105">
        <v>253100</v>
      </c>
      <c r="AC2" s="12">
        <v>52.02</v>
      </c>
      <c r="AD2" s="2">
        <f>Y2-Z2</f>
        <v>1</v>
      </c>
      <c r="AE2" s="148">
        <f>AC2/AC3-1</f>
        <v>-1.1402508551881296E-2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52.38</v>
      </c>
      <c r="W3" s="143">
        <v>42459</v>
      </c>
      <c r="X3" s="12">
        <v>53.5</v>
      </c>
      <c r="Y3" s="12">
        <v>53.5</v>
      </c>
      <c r="Z3" s="12">
        <v>52.62</v>
      </c>
      <c r="AA3" s="12">
        <v>52.62</v>
      </c>
      <c r="AB3" s="105">
        <v>255100</v>
      </c>
      <c r="AC3" s="12">
        <v>52.62</v>
      </c>
      <c r="AD3" s="2">
        <f t="shared" ref="AD3:AD66" si="0">Y3-Z3</f>
        <v>0.88000000000000256</v>
      </c>
      <c r="AE3" s="148">
        <f t="shared" ref="AE3:AE66" si="1">AC3/AC4-1</f>
        <v>-8.1055607917058792E-3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52.38</v>
      </c>
      <c r="W4" s="143">
        <v>42458</v>
      </c>
      <c r="X4" s="12">
        <v>51.82</v>
      </c>
      <c r="Y4" s="12">
        <v>53.26</v>
      </c>
      <c r="Z4" s="12">
        <v>50.95</v>
      </c>
      <c r="AA4" s="12">
        <v>53.05</v>
      </c>
      <c r="AB4" s="105">
        <v>345300</v>
      </c>
      <c r="AC4" s="12">
        <v>53.05</v>
      </c>
      <c r="AD4" s="2">
        <f t="shared" si="0"/>
        <v>2.3099999999999952</v>
      </c>
      <c r="AE4" s="148">
        <f t="shared" si="1"/>
        <v>1.9212295869356355E-2</v>
      </c>
    </row>
    <row r="5" spans="1:31" x14ac:dyDescent="0.25">
      <c r="O5" s="13" t="s">
        <v>67</v>
      </c>
      <c r="Q5" s="3">
        <f>Q4*Q2</f>
        <v>0</v>
      </c>
      <c r="W5" s="143">
        <v>42457</v>
      </c>
      <c r="X5" s="12">
        <v>51.77</v>
      </c>
      <c r="Y5" s="12">
        <v>52.47</v>
      </c>
      <c r="Z5" s="12">
        <v>51.19</v>
      </c>
      <c r="AA5" s="12">
        <v>52.05</v>
      </c>
      <c r="AB5" s="105">
        <v>299500</v>
      </c>
      <c r="AC5" s="12">
        <v>52.05</v>
      </c>
      <c r="AD5" s="2">
        <f t="shared" si="0"/>
        <v>1.2800000000000011</v>
      </c>
      <c r="AE5" s="148">
        <f t="shared" si="1"/>
        <v>1.1661807580174877E-2</v>
      </c>
    </row>
    <row r="6" spans="1:31" x14ac:dyDescent="0.25">
      <c r="O6" s="13" t="s">
        <v>64</v>
      </c>
      <c r="Q6" s="2">
        <f>Q3*Q2</f>
        <v>0</v>
      </c>
      <c r="W6" s="143">
        <v>42453</v>
      </c>
      <c r="X6" s="12">
        <v>51.52</v>
      </c>
      <c r="Y6" s="12">
        <v>51.52</v>
      </c>
      <c r="Z6" s="12">
        <v>51.01</v>
      </c>
      <c r="AA6" s="12">
        <v>51.45</v>
      </c>
      <c r="AB6" s="105">
        <v>330100</v>
      </c>
      <c r="AC6" s="12">
        <v>51.45</v>
      </c>
      <c r="AD6" s="2">
        <f t="shared" si="0"/>
        <v>0.51000000000000512</v>
      </c>
      <c r="AE6" s="148">
        <f t="shared" si="1"/>
        <v>-8.4794758142223703E-3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42452</v>
      </c>
      <c r="X7" s="12">
        <v>52.9</v>
      </c>
      <c r="Y7" s="12">
        <v>53.11</v>
      </c>
      <c r="Z7" s="12">
        <v>51.87</v>
      </c>
      <c r="AA7" s="12">
        <v>51.89</v>
      </c>
      <c r="AB7" s="105">
        <v>246100</v>
      </c>
      <c r="AC7" s="12">
        <v>51.89</v>
      </c>
      <c r="AD7" s="2">
        <f t="shared" si="0"/>
        <v>1.240000000000002</v>
      </c>
      <c r="AE7" s="148">
        <f t="shared" si="1"/>
        <v>-1.9092627599243794E-2</v>
      </c>
    </row>
    <row r="8" spans="1:31" x14ac:dyDescent="0.25">
      <c r="O8" s="13" t="s">
        <v>90</v>
      </c>
      <c r="Q8" s="148">
        <f>(Q4-Q3)/Q3</f>
        <v>0</v>
      </c>
      <c r="W8" s="143">
        <v>42451</v>
      </c>
      <c r="X8" s="12">
        <v>51.9</v>
      </c>
      <c r="Y8" s="12">
        <v>53.23</v>
      </c>
      <c r="Z8" s="12">
        <v>51.9</v>
      </c>
      <c r="AA8" s="12">
        <v>52.9</v>
      </c>
      <c r="AB8" s="105">
        <v>258100</v>
      </c>
      <c r="AC8" s="12">
        <v>52.9</v>
      </c>
      <c r="AD8" s="2">
        <f t="shared" si="0"/>
        <v>1.3299999999999983</v>
      </c>
      <c r="AE8" s="148">
        <f t="shared" si="1"/>
        <v>-2.2632968691060906E-3</v>
      </c>
    </row>
    <row r="9" spans="1:31" x14ac:dyDescent="0.25">
      <c r="B9" s="209" t="s">
        <v>117</v>
      </c>
      <c r="C9" s="209" t="s">
        <v>167</v>
      </c>
      <c r="D9" s="210" t="s">
        <v>166</v>
      </c>
      <c r="E9" s="212" t="s">
        <v>168</v>
      </c>
      <c r="F9" s="213" t="s">
        <v>65</v>
      </c>
      <c r="W9" s="143">
        <v>42450</v>
      </c>
      <c r="X9" s="12">
        <v>53.04</v>
      </c>
      <c r="Y9" s="12">
        <v>53.3</v>
      </c>
      <c r="Z9" s="12">
        <v>52.96</v>
      </c>
      <c r="AA9" s="12">
        <v>53.02</v>
      </c>
      <c r="AB9" s="105">
        <v>235500</v>
      </c>
      <c r="AC9" s="12">
        <v>53.02</v>
      </c>
      <c r="AD9" s="2">
        <f t="shared" si="0"/>
        <v>0.33999999999999631</v>
      </c>
      <c r="AE9" s="148">
        <f t="shared" si="1"/>
        <v>-4.1322314049586639E-3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42447</v>
      </c>
      <c r="X10" s="12">
        <v>52.28</v>
      </c>
      <c r="Y10" s="12">
        <v>53.35</v>
      </c>
      <c r="Z10" s="12">
        <v>52.28</v>
      </c>
      <c r="AA10" s="12">
        <v>53.24</v>
      </c>
      <c r="AB10" s="105">
        <v>629200</v>
      </c>
      <c r="AC10" s="12">
        <v>53.24</v>
      </c>
      <c r="AD10" s="2">
        <f t="shared" si="0"/>
        <v>1.0700000000000003</v>
      </c>
      <c r="AE10" s="148">
        <f t="shared" si="1"/>
        <v>1.583667239076525E-2</v>
      </c>
    </row>
    <row r="11" spans="1:31" x14ac:dyDescent="0.25">
      <c r="B11" s="211">
        <v>42310</v>
      </c>
      <c r="C11" s="12">
        <v>0</v>
      </c>
      <c r="D11" s="222" t="s">
        <v>134</v>
      </c>
      <c r="E11" s="43">
        <v>46.15</v>
      </c>
      <c r="F11" s="43">
        <v>33.94</v>
      </c>
      <c r="W11" s="143">
        <v>42446</v>
      </c>
      <c r="X11" s="12">
        <v>51.08</v>
      </c>
      <c r="Y11" s="12">
        <v>52.63</v>
      </c>
      <c r="Z11" s="12">
        <v>51.01</v>
      </c>
      <c r="AA11" s="12">
        <v>52.41</v>
      </c>
      <c r="AB11" s="105">
        <v>212500</v>
      </c>
      <c r="AC11" s="12">
        <v>52.41</v>
      </c>
      <c r="AD11" s="2">
        <f t="shared" si="0"/>
        <v>1.6200000000000045</v>
      </c>
      <c r="AE11" s="148">
        <f t="shared" si="1"/>
        <v>2.603758809710266E-2</v>
      </c>
    </row>
    <row r="12" spans="1:31" x14ac:dyDescent="0.25">
      <c r="B12" s="12"/>
      <c r="C12" s="12"/>
      <c r="D12" s="43"/>
      <c r="E12" s="43"/>
      <c r="F12" s="43"/>
      <c r="W12" s="143">
        <v>42445</v>
      </c>
      <c r="X12" s="12">
        <v>49.69</v>
      </c>
      <c r="Y12" s="12">
        <v>51.32</v>
      </c>
      <c r="Z12" s="12">
        <v>49.69</v>
      </c>
      <c r="AA12" s="12">
        <v>51.08</v>
      </c>
      <c r="AB12" s="105">
        <v>214700</v>
      </c>
      <c r="AC12" s="12">
        <v>51.08</v>
      </c>
      <c r="AD12" s="2">
        <f t="shared" si="0"/>
        <v>1.6300000000000026</v>
      </c>
      <c r="AE12" s="148">
        <f t="shared" si="1"/>
        <v>2.2827392871445751E-2</v>
      </c>
    </row>
    <row r="13" spans="1:31" x14ac:dyDescent="0.25">
      <c r="B13" s="12"/>
      <c r="C13" s="12"/>
      <c r="D13" s="43"/>
      <c r="E13" s="43"/>
      <c r="F13" s="43"/>
      <c r="W13" s="143">
        <v>42444</v>
      </c>
      <c r="X13" s="12">
        <v>49.79</v>
      </c>
      <c r="Y13" s="12">
        <v>50.23</v>
      </c>
      <c r="Z13" s="12">
        <v>49.05</v>
      </c>
      <c r="AA13" s="12">
        <v>49.94</v>
      </c>
      <c r="AB13" s="105">
        <v>210400</v>
      </c>
      <c r="AC13" s="12">
        <v>49.94</v>
      </c>
      <c r="AD13" s="2">
        <f t="shared" si="0"/>
        <v>1.1799999999999997</v>
      </c>
      <c r="AE13" s="148">
        <f t="shared" si="1"/>
        <v>-2.7955271565495154E-3</v>
      </c>
    </row>
    <row r="14" spans="1:31" x14ac:dyDescent="0.25">
      <c r="B14" s="12"/>
      <c r="C14" s="12"/>
      <c r="D14" s="43"/>
      <c r="E14" s="43"/>
      <c r="F14" s="43"/>
      <c r="W14" s="143">
        <v>42443</v>
      </c>
      <c r="X14" s="12">
        <v>50.19</v>
      </c>
      <c r="Y14" s="12">
        <v>50.49</v>
      </c>
      <c r="Z14" s="12">
        <v>49.43</v>
      </c>
      <c r="AA14" s="12">
        <v>50.08</v>
      </c>
      <c r="AB14" s="105">
        <v>238600</v>
      </c>
      <c r="AC14" s="12">
        <v>50.08</v>
      </c>
      <c r="AD14" s="2">
        <f t="shared" si="0"/>
        <v>1.0600000000000023</v>
      </c>
      <c r="AE14" s="148">
        <f t="shared" si="1"/>
        <v>-5.3624627606753128E-3</v>
      </c>
    </row>
    <row r="15" spans="1:31" x14ac:dyDescent="0.25">
      <c r="B15" s="12"/>
      <c r="C15" s="12"/>
      <c r="D15" s="43"/>
      <c r="E15" s="43"/>
      <c r="F15" s="43"/>
      <c r="W15" s="143">
        <v>42440</v>
      </c>
      <c r="X15" s="12">
        <v>49.78</v>
      </c>
      <c r="Y15" s="12">
        <v>50.48</v>
      </c>
      <c r="Z15" s="12">
        <v>49.6</v>
      </c>
      <c r="AA15" s="12">
        <v>50.35</v>
      </c>
      <c r="AB15" s="105">
        <v>204000</v>
      </c>
      <c r="AC15" s="12">
        <v>50.35</v>
      </c>
      <c r="AD15" s="2">
        <f t="shared" si="0"/>
        <v>0.87999999999999545</v>
      </c>
      <c r="AE15" s="148">
        <f t="shared" si="1"/>
        <v>2.0884022708840266E-2</v>
      </c>
    </row>
    <row r="16" spans="1:31" x14ac:dyDescent="0.25">
      <c r="B16" s="12"/>
      <c r="C16" s="12"/>
      <c r="D16" s="43"/>
      <c r="E16" s="43"/>
      <c r="F16" s="43"/>
      <c r="W16" s="143">
        <v>42439</v>
      </c>
      <c r="X16" s="12">
        <v>49.58</v>
      </c>
      <c r="Y16" s="12">
        <v>49.67</v>
      </c>
      <c r="Z16" s="12">
        <v>48.9</v>
      </c>
      <c r="AA16" s="12">
        <v>49.32</v>
      </c>
      <c r="AB16" s="105">
        <v>191800</v>
      </c>
      <c r="AC16" s="12">
        <v>49.32</v>
      </c>
      <c r="AD16" s="2">
        <f t="shared" si="0"/>
        <v>0.77000000000000313</v>
      </c>
      <c r="AE16" s="148">
        <f t="shared" si="1"/>
        <v>-6.0790273556232677E-4</v>
      </c>
    </row>
    <row r="17" spans="2:31" x14ac:dyDescent="0.25">
      <c r="B17" s="12"/>
      <c r="C17" s="12"/>
      <c r="D17" s="43"/>
      <c r="E17" s="43"/>
      <c r="F17" s="43"/>
      <c r="W17" s="143">
        <v>42438</v>
      </c>
      <c r="X17" s="12">
        <v>48.93</v>
      </c>
      <c r="Y17" s="12">
        <v>49.52</v>
      </c>
      <c r="Z17" s="12">
        <v>48.5</v>
      </c>
      <c r="AA17" s="12">
        <v>49.35</v>
      </c>
      <c r="AB17" s="105">
        <v>315000</v>
      </c>
      <c r="AC17" s="12">
        <v>49.35</v>
      </c>
      <c r="AD17" s="2">
        <f t="shared" si="0"/>
        <v>1.0200000000000031</v>
      </c>
      <c r="AE17" s="148">
        <f t="shared" si="1"/>
        <v>1.3763352506162674E-2</v>
      </c>
    </row>
    <row r="18" spans="2:31" x14ac:dyDescent="0.25">
      <c r="B18" s="12"/>
      <c r="C18" s="12"/>
      <c r="D18" s="43"/>
      <c r="E18" s="43"/>
      <c r="F18" s="43"/>
      <c r="W18" s="143">
        <v>42437</v>
      </c>
      <c r="X18" s="12">
        <v>49.57</v>
      </c>
      <c r="Y18" s="12">
        <v>49.57</v>
      </c>
      <c r="Z18" s="12">
        <v>48.65</v>
      </c>
      <c r="AA18" s="12">
        <v>48.68</v>
      </c>
      <c r="AB18" s="105">
        <v>317800</v>
      </c>
      <c r="AC18" s="12">
        <v>48.68</v>
      </c>
      <c r="AD18" s="2">
        <f t="shared" si="0"/>
        <v>0.92000000000000171</v>
      </c>
      <c r="AE18" s="148">
        <f t="shared" si="1"/>
        <v>-2.5815489293576133E-2</v>
      </c>
    </row>
    <row r="19" spans="2:31" x14ac:dyDescent="0.25">
      <c r="B19" s="12"/>
      <c r="C19" s="12"/>
      <c r="D19" s="43"/>
      <c r="E19" s="43"/>
      <c r="F19" s="43"/>
      <c r="W19" s="143">
        <v>42436</v>
      </c>
      <c r="X19" s="12">
        <v>49.88</v>
      </c>
      <c r="Y19" s="12">
        <v>50.34</v>
      </c>
      <c r="Z19" s="12">
        <v>49.56</v>
      </c>
      <c r="AA19" s="12">
        <v>49.97</v>
      </c>
      <c r="AB19" s="105">
        <v>243900</v>
      </c>
      <c r="AC19" s="12">
        <v>49.97</v>
      </c>
      <c r="AD19" s="2">
        <f t="shared" si="0"/>
        <v>0.78000000000000114</v>
      </c>
      <c r="AE19" s="148">
        <f t="shared" si="1"/>
        <v>4.0040040040034697E-4</v>
      </c>
    </row>
    <row r="20" spans="2:31" x14ac:dyDescent="0.25">
      <c r="W20" s="143">
        <v>42433</v>
      </c>
      <c r="X20" s="12">
        <v>49.1</v>
      </c>
      <c r="Y20" s="12">
        <v>50.29</v>
      </c>
      <c r="Z20" s="12">
        <v>48.62</v>
      </c>
      <c r="AA20" s="12">
        <v>49.95</v>
      </c>
      <c r="AB20" s="105">
        <v>238800</v>
      </c>
      <c r="AC20" s="12">
        <v>49.95</v>
      </c>
      <c r="AD20" s="2">
        <f t="shared" si="0"/>
        <v>1.6700000000000017</v>
      </c>
      <c r="AE20" s="148">
        <f t="shared" si="1"/>
        <v>1.1543134872417982E-2</v>
      </c>
    </row>
    <row r="21" spans="2:31" x14ac:dyDescent="0.25">
      <c r="W21" s="143">
        <v>42432</v>
      </c>
      <c r="X21" s="12">
        <v>49.47</v>
      </c>
      <c r="Y21" s="12">
        <v>49.84</v>
      </c>
      <c r="Z21" s="12">
        <v>49.09</v>
      </c>
      <c r="AA21" s="12">
        <v>49.38</v>
      </c>
      <c r="AB21" s="105">
        <v>256200</v>
      </c>
      <c r="AC21" s="12">
        <v>49.38</v>
      </c>
      <c r="AD21" s="2">
        <f t="shared" si="0"/>
        <v>0.75</v>
      </c>
      <c r="AE21" s="148">
        <f t="shared" si="1"/>
        <v>-8.0938891137194435E-4</v>
      </c>
    </row>
    <row r="22" spans="2:31" x14ac:dyDescent="0.25">
      <c r="W22" s="143">
        <v>42431</v>
      </c>
      <c r="X22" s="12">
        <v>48.74</v>
      </c>
      <c r="Y22" s="12">
        <v>49.45</v>
      </c>
      <c r="Z22" s="12">
        <v>47.66</v>
      </c>
      <c r="AA22" s="12">
        <v>49.42</v>
      </c>
      <c r="AB22" s="105">
        <v>284700</v>
      </c>
      <c r="AC22" s="12">
        <v>49.42</v>
      </c>
      <c r="AD22" s="2">
        <f t="shared" si="0"/>
        <v>1.7900000000000063</v>
      </c>
      <c r="AE22" s="148">
        <f t="shared" si="1"/>
        <v>1.1461318051575908E-2</v>
      </c>
    </row>
    <row r="23" spans="2:31" x14ac:dyDescent="0.25">
      <c r="W23" s="143">
        <v>42430</v>
      </c>
      <c r="X23" s="12">
        <v>47.48</v>
      </c>
      <c r="Y23" s="12">
        <v>49.01</v>
      </c>
      <c r="Z23" s="12">
        <v>47.25</v>
      </c>
      <c r="AA23" s="12">
        <v>48.86</v>
      </c>
      <c r="AB23" s="105">
        <v>285000</v>
      </c>
      <c r="AC23" s="12">
        <v>48.86</v>
      </c>
      <c r="AD23" s="2">
        <f t="shared" si="0"/>
        <v>1.759999999999998</v>
      </c>
      <c r="AE23" s="148">
        <f t="shared" si="1"/>
        <v>4.0681576144834919E-2</v>
      </c>
    </row>
    <row r="24" spans="2:31" x14ac:dyDescent="0.25">
      <c r="W24" s="143">
        <v>42429</v>
      </c>
      <c r="X24" s="12">
        <v>46.7</v>
      </c>
      <c r="Y24" s="12">
        <v>47.32</v>
      </c>
      <c r="Z24" s="12">
        <v>46.7</v>
      </c>
      <c r="AA24" s="12">
        <v>46.95</v>
      </c>
      <c r="AB24" s="105">
        <v>507400</v>
      </c>
      <c r="AC24" s="12">
        <v>46.95</v>
      </c>
      <c r="AD24" s="2">
        <f t="shared" si="0"/>
        <v>0.61999999999999744</v>
      </c>
      <c r="AE24" s="148">
        <f t="shared" si="1"/>
        <v>5.3533190578158862E-3</v>
      </c>
    </row>
    <row r="25" spans="2:31" x14ac:dyDescent="0.25">
      <c r="W25" s="143">
        <v>42426</v>
      </c>
      <c r="X25" s="12">
        <v>47.05</v>
      </c>
      <c r="Y25" s="12">
        <v>47.41</v>
      </c>
      <c r="Z25" s="12">
        <v>46.53</v>
      </c>
      <c r="AA25" s="12">
        <v>46.7</v>
      </c>
      <c r="AB25" s="105">
        <v>267700</v>
      </c>
      <c r="AC25" s="12">
        <v>46.7</v>
      </c>
      <c r="AD25" s="2">
        <f t="shared" si="0"/>
        <v>0.87999999999999545</v>
      </c>
      <c r="AE25" s="148">
        <f t="shared" si="1"/>
        <v>-1.2831479897347231E-3</v>
      </c>
    </row>
    <row r="26" spans="2:31" x14ac:dyDescent="0.25">
      <c r="W26" s="143">
        <v>42425</v>
      </c>
      <c r="X26" s="12">
        <v>46.72</v>
      </c>
      <c r="Y26" s="12">
        <v>46.9</v>
      </c>
      <c r="Z26" s="12">
        <v>45.96</v>
      </c>
      <c r="AA26" s="12">
        <v>46.76</v>
      </c>
      <c r="AB26" s="105">
        <v>193200</v>
      </c>
      <c r="AC26" s="12">
        <v>46.76</v>
      </c>
      <c r="AD26" s="2">
        <f t="shared" si="0"/>
        <v>0.93999999999999773</v>
      </c>
      <c r="AE26" s="148">
        <f t="shared" si="1"/>
        <v>2.7879047823289316E-3</v>
      </c>
    </row>
    <row r="27" spans="2:31" x14ac:dyDescent="0.25">
      <c r="W27" s="143">
        <v>42424</v>
      </c>
      <c r="X27" s="12">
        <v>45.49</v>
      </c>
      <c r="Y27" s="12">
        <v>46.73</v>
      </c>
      <c r="Z27" s="12">
        <v>45.31</v>
      </c>
      <c r="AA27" s="12">
        <v>46.63</v>
      </c>
      <c r="AB27" s="105">
        <v>234900</v>
      </c>
      <c r="AC27" s="12">
        <v>46.63</v>
      </c>
      <c r="AD27" s="2">
        <f t="shared" si="0"/>
        <v>1.4199999999999946</v>
      </c>
      <c r="AE27" s="148">
        <f t="shared" si="1"/>
        <v>1.1935763888889062E-2</v>
      </c>
    </row>
    <row r="28" spans="2:31" x14ac:dyDescent="0.25">
      <c r="W28" s="143">
        <v>42423</v>
      </c>
      <c r="X28" s="12">
        <v>46.13</v>
      </c>
      <c r="Y28" s="12">
        <v>47.25</v>
      </c>
      <c r="Z28" s="12">
        <v>46.01</v>
      </c>
      <c r="AA28" s="12">
        <v>46.08</v>
      </c>
      <c r="AB28" s="105">
        <v>325200</v>
      </c>
      <c r="AC28" s="12">
        <v>46.08</v>
      </c>
      <c r="AD28" s="2">
        <f t="shared" si="0"/>
        <v>1.240000000000002</v>
      </c>
      <c r="AE28" s="148">
        <f t="shared" si="1"/>
        <v>-6.0396893874029578E-3</v>
      </c>
    </row>
    <row r="29" spans="2:31" x14ac:dyDescent="0.25">
      <c r="W29" s="143">
        <v>42422</v>
      </c>
      <c r="X29" s="12">
        <v>46.68</v>
      </c>
      <c r="Y29" s="12">
        <v>47.21</v>
      </c>
      <c r="Z29" s="12">
        <v>46.28</v>
      </c>
      <c r="AA29" s="12">
        <v>46.36</v>
      </c>
      <c r="AB29" s="105">
        <v>366700</v>
      </c>
      <c r="AC29" s="12">
        <v>46.36</v>
      </c>
      <c r="AD29" s="2">
        <f t="shared" si="0"/>
        <v>0.92999999999999972</v>
      </c>
      <c r="AE29" s="148">
        <f t="shared" si="1"/>
        <v>-6.4294899271324368E-3</v>
      </c>
    </row>
    <row r="30" spans="2:31" x14ac:dyDescent="0.25">
      <c r="W30" s="143">
        <v>42419</v>
      </c>
      <c r="X30" s="12">
        <v>46.93</v>
      </c>
      <c r="Y30" s="12">
        <v>47.32</v>
      </c>
      <c r="Z30" s="12">
        <v>46.57</v>
      </c>
      <c r="AA30" s="12">
        <v>46.66</v>
      </c>
      <c r="AB30" s="105">
        <v>203700</v>
      </c>
      <c r="AC30" s="12">
        <v>46.66</v>
      </c>
      <c r="AD30" s="2">
        <f t="shared" si="0"/>
        <v>0.75</v>
      </c>
      <c r="AE30" s="148">
        <f t="shared" si="1"/>
        <v>-1.144067796610182E-2</v>
      </c>
    </row>
    <row r="31" spans="2:31" x14ac:dyDescent="0.25">
      <c r="W31" s="143">
        <v>42418</v>
      </c>
      <c r="X31" s="12">
        <v>47.35</v>
      </c>
      <c r="Y31" s="12">
        <v>47.63</v>
      </c>
      <c r="Z31" s="12">
        <v>47.06</v>
      </c>
      <c r="AA31" s="12">
        <v>47.2</v>
      </c>
      <c r="AB31" s="105">
        <v>191700</v>
      </c>
      <c r="AC31" s="12">
        <v>47.2</v>
      </c>
      <c r="AD31" s="2">
        <f t="shared" si="0"/>
        <v>0.57000000000000028</v>
      </c>
      <c r="AE31" s="148" t="e">
        <f t="shared" si="1"/>
        <v>#DIV/0!</v>
      </c>
    </row>
    <row r="32" spans="2:31" x14ac:dyDescent="0.25">
      <c r="W32" s="143">
        <v>42418</v>
      </c>
      <c r="X32" s="12" t="s">
        <v>239</v>
      </c>
      <c r="Y32" s="12"/>
      <c r="Z32" s="12"/>
      <c r="AA32" s="12"/>
      <c r="AB32" s="105"/>
      <c r="AC32" s="12"/>
      <c r="AD32" s="2">
        <f t="shared" si="0"/>
        <v>0</v>
      </c>
      <c r="AE32" s="148">
        <f t="shared" si="1"/>
        <v>-1</v>
      </c>
    </row>
    <row r="33" spans="15:31" x14ac:dyDescent="0.25">
      <c r="W33" s="143">
        <v>42417</v>
      </c>
      <c r="X33" s="12">
        <v>46.56</v>
      </c>
      <c r="Y33" s="12">
        <v>47.59</v>
      </c>
      <c r="Z33" s="12">
        <v>46.56</v>
      </c>
      <c r="AA33" s="12">
        <v>47.48</v>
      </c>
      <c r="AB33" s="105">
        <v>482400</v>
      </c>
      <c r="AC33" s="12">
        <v>47.37</v>
      </c>
      <c r="AD33" s="2">
        <f t="shared" si="0"/>
        <v>1.0300000000000011</v>
      </c>
      <c r="AE33" s="148">
        <f t="shared" si="1"/>
        <v>2.5324675324675194E-2</v>
      </c>
    </row>
    <row r="34" spans="15:31" x14ac:dyDescent="0.25">
      <c r="W34" s="143">
        <v>42416</v>
      </c>
      <c r="X34" s="12">
        <v>44.94</v>
      </c>
      <c r="Y34" s="12">
        <v>46.64</v>
      </c>
      <c r="Z34" s="12">
        <v>44.42</v>
      </c>
      <c r="AA34" s="12">
        <v>46.31</v>
      </c>
      <c r="AB34" s="105">
        <v>377000</v>
      </c>
      <c r="AC34" s="12">
        <v>46.2</v>
      </c>
      <c r="AD34" s="2">
        <f t="shared" si="0"/>
        <v>2.2199999999999989</v>
      </c>
      <c r="AE34" s="148">
        <f t="shared" si="1"/>
        <v>4.7856656838285216E-2</v>
      </c>
    </row>
    <row r="35" spans="15:31" x14ac:dyDescent="0.25">
      <c r="W35" s="143">
        <v>42412</v>
      </c>
      <c r="X35" s="12">
        <v>43.59</v>
      </c>
      <c r="Y35" s="12">
        <v>44.44</v>
      </c>
      <c r="Z35" s="12">
        <v>42.01</v>
      </c>
      <c r="AA35" s="12">
        <v>44.19</v>
      </c>
      <c r="AB35" s="105">
        <v>386500</v>
      </c>
      <c r="AC35" s="12">
        <v>44.09</v>
      </c>
      <c r="AD35" s="2">
        <f t="shared" si="0"/>
        <v>2.4299999999999997</v>
      </c>
      <c r="AE35" s="148">
        <f t="shared" si="1"/>
        <v>2.989955617846296E-2</v>
      </c>
    </row>
    <row r="36" spans="15:31" x14ac:dyDescent="0.25">
      <c r="W36" s="143">
        <v>42411</v>
      </c>
      <c r="X36" s="12">
        <v>43.14</v>
      </c>
      <c r="Y36" s="12">
        <v>44.4</v>
      </c>
      <c r="Z36" s="12">
        <v>42.45</v>
      </c>
      <c r="AA36" s="12">
        <v>42.91</v>
      </c>
      <c r="AB36" s="105">
        <v>425300</v>
      </c>
      <c r="AC36" s="12">
        <v>42.81</v>
      </c>
      <c r="AD36" s="2">
        <f t="shared" si="0"/>
        <v>1.9499999999999957</v>
      </c>
      <c r="AE36" s="148">
        <f t="shared" si="1"/>
        <v>-2.4829157175398575E-2</v>
      </c>
    </row>
    <row r="37" spans="15:31" x14ac:dyDescent="0.25">
      <c r="W37" s="143">
        <v>42410</v>
      </c>
      <c r="X37" s="12">
        <v>43.97</v>
      </c>
      <c r="Y37" s="12">
        <v>44.82</v>
      </c>
      <c r="Z37" s="12">
        <v>43.96</v>
      </c>
      <c r="AA37" s="12">
        <v>44</v>
      </c>
      <c r="AB37" s="105">
        <v>345800</v>
      </c>
      <c r="AC37" s="12">
        <v>43.9</v>
      </c>
      <c r="AD37" s="2">
        <f t="shared" si="0"/>
        <v>0.85999999999999943</v>
      </c>
      <c r="AE37" s="148">
        <f t="shared" si="1"/>
        <v>4.8065918974593558E-3</v>
      </c>
    </row>
    <row r="38" spans="15:31" x14ac:dyDescent="0.25">
      <c r="W38" s="143">
        <v>42409</v>
      </c>
      <c r="X38" s="12">
        <v>43.72</v>
      </c>
      <c r="Y38" s="12">
        <v>44.73</v>
      </c>
      <c r="Z38" s="12">
        <v>43.61</v>
      </c>
      <c r="AA38" s="12">
        <v>43.79</v>
      </c>
      <c r="AB38" s="105">
        <v>581100</v>
      </c>
      <c r="AC38" s="12">
        <v>43.69</v>
      </c>
      <c r="AD38" s="2">
        <f t="shared" si="0"/>
        <v>1.1199999999999974</v>
      </c>
      <c r="AE38" s="148">
        <f t="shared" si="1"/>
        <v>-1.3769751693002208E-2</v>
      </c>
    </row>
    <row r="39" spans="15:31" x14ac:dyDescent="0.25">
      <c r="W39" s="143">
        <v>42408</v>
      </c>
      <c r="X39" s="12">
        <v>44.71</v>
      </c>
      <c r="Y39" s="12">
        <v>45.11</v>
      </c>
      <c r="Z39" s="12">
        <v>43.71</v>
      </c>
      <c r="AA39" s="12">
        <v>44.4</v>
      </c>
      <c r="AB39" s="105">
        <v>425300</v>
      </c>
      <c r="AC39" s="12">
        <v>44.3</v>
      </c>
      <c r="AD39" s="2">
        <f t="shared" si="0"/>
        <v>1.3999999999999986</v>
      </c>
      <c r="AE39" s="148">
        <f t="shared" si="1"/>
        <v>-1.5774272383914711E-2</v>
      </c>
    </row>
    <row r="40" spans="15:31" x14ac:dyDescent="0.25">
      <c r="W40" s="143">
        <v>42405</v>
      </c>
      <c r="X40" s="12">
        <v>45.3</v>
      </c>
      <c r="Y40" s="12">
        <v>45.6</v>
      </c>
      <c r="Z40" s="12">
        <v>44.94</v>
      </c>
      <c r="AA40" s="12">
        <v>45.11</v>
      </c>
      <c r="AB40" s="105">
        <v>495200</v>
      </c>
      <c r="AC40" s="12">
        <v>45.01</v>
      </c>
      <c r="AD40" s="2">
        <f t="shared" si="0"/>
        <v>0.66000000000000369</v>
      </c>
      <c r="AE40" s="148">
        <f t="shared" si="1"/>
        <v>-9.6809680968097389E-3</v>
      </c>
    </row>
    <row r="41" spans="15:31" x14ac:dyDescent="0.25">
      <c r="O41" s="37"/>
      <c r="W41" s="143">
        <v>42404</v>
      </c>
      <c r="X41" s="12">
        <v>45</v>
      </c>
      <c r="Y41" s="12">
        <v>46.11</v>
      </c>
      <c r="Z41" s="12">
        <v>44.96</v>
      </c>
      <c r="AA41" s="12">
        <v>45.56</v>
      </c>
      <c r="AB41" s="105">
        <v>560000</v>
      </c>
      <c r="AC41" s="12">
        <v>45.45</v>
      </c>
      <c r="AD41" s="2">
        <f t="shared" si="0"/>
        <v>1.1499999999999986</v>
      </c>
      <c r="AE41" s="148">
        <f t="shared" si="1"/>
        <v>1.2249443207126953E-2</v>
      </c>
    </row>
    <row r="42" spans="15:31" ht="20.25" thickBot="1" x14ac:dyDescent="0.35">
      <c r="O42" s="420" t="s">
        <v>78</v>
      </c>
      <c r="P42" s="420"/>
      <c r="Q42" s="37"/>
      <c r="T42" s="101" t="s">
        <v>116</v>
      </c>
      <c r="W42" s="143">
        <v>42403</v>
      </c>
      <c r="X42" s="12">
        <v>45.02</v>
      </c>
      <c r="Y42" s="12">
        <v>45.42</v>
      </c>
      <c r="Z42" s="12">
        <v>44.21</v>
      </c>
      <c r="AA42" s="12">
        <v>45</v>
      </c>
      <c r="AB42" s="105">
        <v>387000</v>
      </c>
      <c r="AC42" s="12">
        <v>44.9</v>
      </c>
      <c r="AD42" s="2">
        <f t="shared" si="0"/>
        <v>1.2100000000000009</v>
      </c>
      <c r="AE42" s="148">
        <f t="shared" si="1"/>
        <v>1.2401352874858995E-2</v>
      </c>
    </row>
    <row r="43" spans="15:31" ht="15.75" thickTop="1" x14ac:dyDescent="0.25">
      <c r="O43" s="93">
        <v>1.1000000000000001</v>
      </c>
      <c r="P43" s="93">
        <f>O43*$Q$4</f>
        <v>57.618000000000009</v>
      </c>
      <c r="Q43" s="37"/>
      <c r="T43" s="138" t="s">
        <v>101</v>
      </c>
      <c r="U43" s="108">
        <v>52.02</v>
      </c>
      <c r="W43" s="143">
        <v>42402</v>
      </c>
      <c r="X43" s="12">
        <v>45.24</v>
      </c>
      <c r="Y43" s="12">
        <v>45.45</v>
      </c>
      <c r="Z43" s="12">
        <v>44.39</v>
      </c>
      <c r="AA43" s="12">
        <v>44.45</v>
      </c>
      <c r="AB43" s="105">
        <v>428300</v>
      </c>
      <c r="AC43" s="12">
        <v>44.35</v>
      </c>
      <c r="AD43" s="2">
        <f t="shared" si="0"/>
        <v>1.0600000000000023</v>
      </c>
      <c r="AE43" s="148">
        <f t="shared" si="1"/>
        <v>-2.9540481400437635E-2</v>
      </c>
    </row>
    <row r="44" spans="15:31" x14ac:dyDescent="0.25">
      <c r="O44" s="93">
        <v>1.0900000000000001</v>
      </c>
      <c r="P44" s="93">
        <f t="shared" ref="P44:P63" si="2">O44*$Q$4</f>
        <v>57.094200000000008</v>
      </c>
      <c r="Q44" s="37"/>
      <c r="T44" s="103" t="s">
        <v>102</v>
      </c>
      <c r="U44" s="98" t="s">
        <v>134</v>
      </c>
      <c r="W44" s="143">
        <v>42401</v>
      </c>
      <c r="X44" s="12">
        <v>45.97</v>
      </c>
      <c r="Y44" s="12">
        <v>46.1</v>
      </c>
      <c r="Z44" s="12">
        <v>45.42</v>
      </c>
      <c r="AA44" s="12">
        <v>45.81</v>
      </c>
      <c r="AB44" s="105">
        <v>364900</v>
      </c>
      <c r="AC44" s="12">
        <v>45.7</v>
      </c>
      <c r="AD44" s="2">
        <f t="shared" si="0"/>
        <v>0.67999999999999972</v>
      </c>
      <c r="AE44" s="148">
        <f t="shared" si="1"/>
        <v>-8.2465277777776791E-3</v>
      </c>
    </row>
    <row r="45" spans="15:31" x14ac:dyDescent="0.25">
      <c r="O45" s="93">
        <v>1.08</v>
      </c>
      <c r="P45" s="93">
        <f t="shared" si="2"/>
        <v>56.570400000000006</v>
      </c>
      <c r="Q45" s="37"/>
      <c r="T45" s="103" t="s">
        <v>103</v>
      </c>
      <c r="U45" s="98" t="s">
        <v>134</v>
      </c>
      <c r="W45" s="143">
        <v>42398</v>
      </c>
      <c r="X45" s="12">
        <v>45.61</v>
      </c>
      <c r="Y45" s="12">
        <v>46.26</v>
      </c>
      <c r="Z45" s="12">
        <v>45.37</v>
      </c>
      <c r="AA45" s="12">
        <v>46.19</v>
      </c>
      <c r="AB45" s="105">
        <v>646700</v>
      </c>
      <c r="AC45" s="12">
        <v>46.08</v>
      </c>
      <c r="AD45" s="2">
        <f t="shared" si="0"/>
        <v>0.89000000000000057</v>
      </c>
      <c r="AE45" s="148">
        <f t="shared" si="1"/>
        <v>1.8117543084401166E-2</v>
      </c>
    </row>
    <row r="46" spans="15:31" x14ac:dyDescent="0.25">
      <c r="O46" s="93">
        <v>1.07</v>
      </c>
      <c r="P46" s="93">
        <f t="shared" si="2"/>
        <v>56.046600000000005</v>
      </c>
      <c r="Q46" s="93"/>
      <c r="T46" s="103" t="s">
        <v>104</v>
      </c>
      <c r="U46" s="98" t="s">
        <v>134</v>
      </c>
      <c r="W46" s="143">
        <v>42397</v>
      </c>
      <c r="X46" s="12">
        <v>45.91</v>
      </c>
      <c r="Y46" s="12">
        <v>46.2</v>
      </c>
      <c r="Z46" s="12">
        <v>45.21</v>
      </c>
      <c r="AA46" s="12">
        <v>45.37</v>
      </c>
      <c r="AB46" s="105">
        <v>425200</v>
      </c>
      <c r="AC46" s="12">
        <v>45.26</v>
      </c>
      <c r="AD46" s="2">
        <f t="shared" si="0"/>
        <v>0.99000000000000199</v>
      </c>
      <c r="AE46" s="148">
        <f t="shared" si="1"/>
        <v>-1.7644464049405562E-3</v>
      </c>
    </row>
    <row r="47" spans="15:31" x14ac:dyDescent="0.25">
      <c r="O47" s="93">
        <v>1.06</v>
      </c>
      <c r="P47" s="93">
        <f t="shared" si="2"/>
        <v>55.522800000000004</v>
      </c>
      <c r="Q47" s="93"/>
      <c r="T47" s="103" t="s">
        <v>105</v>
      </c>
      <c r="U47" s="98">
        <v>51</v>
      </c>
      <c r="W47" s="143">
        <v>42396</v>
      </c>
      <c r="X47" s="12">
        <v>46</v>
      </c>
      <c r="Y47" s="12">
        <v>46.45</v>
      </c>
      <c r="Z47" s="12">
        <v>45.33</v>
      </c>
      <c r="AA47" s="12">
        <v>45.45</v>
      </c>
      <c r="AB47" s="105">
        <v>460500</v>
      </c>
      <c r="AC47" s="12">
        <v>45.34</v>
      </c>
      <c r="AD47" s="2">
        <f t="shared" si="0"/>
        <v>1.1200000000000045</v>
      </c>
      <c r="AE47" s="148">
        <f t="shared" si="1"/>
        <v>-1.8402251569603734E-2</v>
      </c>
    </row>
    <row r="48" spans="15:31" x14ac:dyDescent="0.25">
      <c r="O48" s="93">
        <v>1.05</v>
      </c>
      <c r="P48" s="93">
        <f t="shared" si="2"/>
        <v>54.999000000000002</v>
      </c>
      <c r="Q48" s="93"/>
      <c r="T48" s="103" t="s">
        <v>106</v>
      </c>
      <c r="U48" s="98">
        <v>1.21946</v>
      </c>
      <c r="W48" s="143">
        <v>42395</v>
      </c>
      <c r="X48" s="12">
        <v>45.2</v>
      </c>
      <c r="Y48" s="12">
        <v>46.34</v>
      </c>
      <c r="Z48" s="12">
        <v>45.2</v>
      </c>
      <c r="AA48" s="12">
        <v>46.3</v>
      </c>
      <c r="AB48" s="105">
        <v>327000</v>
      </c>
      <c r="AC48" s="12">
        <v>46.19</v>
      </c>
      <c r="AD48" s="2">
        <f t="shared" si="0"/>
        <v>1.1400000000000006</v>
      </c>
      <c r="AE48" s="148">
        <f t="shared" si="1"/>
        <v>3.4490481522956307E-2</v>
      </c>
    </row>
    <row r="49" spans="15:31" x14ac:dyDescent="0.25">
      <c r="O49" s="93">
        <v>1.04</v>
      </c>
      <c r="P49" s="93">
        <f t="shared" si="2"/>
        <v>54.475200000000008</v>
      </c>
      <c r="Q49" s="93"/>
      <c r="T49" s="103" t="s">
        <v>126</v>
      </c>
      <c r="U49" s="98" t="s">
        <v>264</v>
      </c>
      <c r="W49" s="143">
        <v>42394</v>
      </c>
      <c r="X49" s="12">
        <v>45.34</v>
      </c>
      <c r="Y49" s="12">
        <v>45.61</v>
      </c>
      <c r="Z49" s="12">
        <v>44.64</v>
      </c>
      <c r="AA49" s="12">
        <v>44.75</v>
      </c>
      <c r="AB49" s="105">
        <v>322200</v>
      </c>
      <c r="AC49" s="12">
        <v>44.65</v>
      </c>
      <c r="AD49" s="2">
        <f t="shared" si="0"/>
        <v>0.96999999999999886</v>
      </c>
      <c r="AE49" s="148">
        <f t="shared" si="1"/>
        <v>-1.9973661106233664E-2</v>
      </c>
    </row>
    <row r="50" spans="15:31" x14ac:dyDescent="0.25">
      <c r="O50" s="93">
        <v>1.03</v>
      </c>
      <c r="P50" s="93">
        <f t="shared" si="2"/>
        <v>53.951400000000007</v>
      </c>
      <c r="Q50" s="93"/>
      <c r="T50" s="103"/>
      <c r="U50" s="98"/>
      <c r="W50" s="143">
        <v>42391</v>
      </c>
      <c r="X50" s="12">
        <v>44.8</v>
      </c>
      <c r="Y50" s="12">
        <v>46.18</v>
      </c>
      <c r="Z50" s="12">
        <v>44.75</v>
      </c>
      <c r="AA50" s="12">
        <v>45.67</v>
      </c>
      <c r="AB50" s="105">
        <v>372700</v>
      </c>
      <c r="AC50" s="12">
        <v>45.56</v>
      </c>
      <c r="AD50" s="2">
        <f t="shared" si="0"/>
        <v>1.4299999999999997</v>
      </c>
      <c r="AE50" s="148">
        <f t="shared" si="1"/>
        <v>3.7104484407011196E-2</v>
      </c>
    </row>
    <row r="51" spans="15:31" x14ac:dyDescent="0.25">
      <c r="O51" s="93">
        <v>1.02</v>
      </c>
      <c r="P51" s="93">
        <f t="shared" si="2"/>
        <v>53.427600000000005</v>
      </c>
      <c r="Q51" s="93"/>
      <c r="T51" s="103" t="s">
        <v>108</v>
      </c>
      <c r="U51" s="98" t="s">
        <v>302</v>
      </c>
      <c r="W51" s="143">
        <v>42390</v>
      </c>
      <c r="X51" s="12">
        <v>43.4</v>
      </c>
      <c r="Y51" s="12">
        <v>44.78</v>
      </c>
      <c r="Z51" s="12">
        <v>43.32</v>
      </c>
      <c r="AA51" s="12">
        <v>44.03</v>
      </c>
      <c r="AB51" s="105">
        <v>405800</v>
      </c>
      <c r="AC51" s="12">
        <v>43.93</v>
      </c>
      <c r="AD51" s="2">
        <f t="shared" si="0"/>
        <v>1.4600000000000009</v>
      </c>
      <c r="AE51" s="148">
        <f t="shared" si="1"/>
        <v>1.2678653757491887E-2</v>
      </c>
    </row>
    <row r="52" spans="15:31" x14ac:dyDescent="0.25">
      <c r="O52" s="93">
        <v>1.01</v>
      </c>
      <c r="P52" s="93">
        <f t="shared" si="2"/>
        <v>52.903800000000004</v>
      </c>
      <c r="Q52" s="93"/>
      <c r="T52" s="103" t="s">
        <v>109</v>
      </c>
      <c r="U52" s="98" t="s">
        <v>154</v>
      </c>
      <c r="W52" s="143">
        <v>42389</v>
      </c>
      <c r="X52" s="12">
        <v>43.5</v>
      </c>
      <c r="Y52" s="12">
        <v>44.06</v>
      </c>
      <c r="Z52" s="12">
        <v>41.24</v>
      </c>
      <c r="AA52" s="12">
        <v>43.48</v>
      </c>
      <c r="AB52" s="105">
        <v>877500</v>
      </c>
      <c r="AC52" s="12">
        <v>43.38</v>
      </c>
      <c r="AD52" s="2">
        <f t="shared" si="0"/>
        <v>2.8200000000000003</v>
      </c>
      <c r="AE52" s="148">
        <f t="shared" si="1"/>
        <v>-3.2775919732441428E-2</v>
      </c>
    </row>
    <row r="53" spans="15:31" x14ac:dyDescent="0.25">
      <c r="O53" s="93">
        <v>1</v>
      </c>
      <c r="P53" s="93">
        <f t="shared" si="2"/>
        <v>52.38</v>
      </c>
      <c r="Q53" s="93"/>
      <c r="T53" s="103" t="s">
        <v>110</v>
      </c>
      <c r="U53" s="100">
        <v>523</v>
      </c>
      <c r="W53" s="143">
        <v>42388</v>
      </c>
      <c r="X53" s="12">
        <v>45.13</v>
      </c>
      <c r="Y53" s="12">
        <v>45.39</v>
      </c>
      <c r="Z53" s="12">
        <v>44.6</v>
      </c>
      <c r="AA53" s="12">
        <v>44.95</v>
      </c>
      <c r="AB53" s="105">
        <v>740800</v>
      </c>
      <c r="AC53" s="12">
        <v>44.85</v>
      </c>
      <c r="AD53" s="2">
        <f t="shared" si="0"/>
        <v>0.78999999999999915</v>
      </c>
      <c r="AE53" s="148">
        <f t="shared" si="1"/>
        <v>2.2301516503109298E-4</v>
      </c>
    </row>
    <row r="54" spans="15:31" x14ac:dyDescent="0.25">
      <c r="O54" s="93">
        <v>0.99</v>
      </c>
      <c r="P54" s="93">
        <f t="shared" si="2"/>
        <v>51.856200000000001</v>
      </c>
      <c r="Q54" s="93"/>
      <c r="T54" s="103" t="s">
        <v>113</v>
      </c>
      <c r="U54" s="100">
        <v>369516</v>
      </c>
      <c r="W54" s="143">
        <v>42384</v>
      </c>
      <c r="X54" s="12">
        <v>45</v>
      </c>
      <c r="Y54" s="12">
        <v>45.53</v>
      </c>
      <c r="Z54" s="12">
        <v>44.21</v>
      </c>
      <c r="AA54" s="12">
        <v>44.94</v>
      </c>
      <c r="AB54" s="105">
        <v>495900</v>
      </c>
      <c r="AC54" s="12">
        <v>44.84</v>
      </c>
      <c r="AD54" s="2">
        <f t="shared" si="0"/>
        <v>1.3200000000000003</v>
      </c>
      <c r="AE54" s="148">
        <f t="shared" si="1"/>
        <v>-2.9437229437229373E-2</v>
      </c>
    </row>
    <row r="55" spans="15:31" x14ac:dyDescent="0.25">
      <c r="O55" s="93">
        <v>0.98</v>
      </c>
      <c r="P55" s="93">
        <f t="shared" si="2"/>
        <v>51.3324</v>
      </c>
      <c r="Q55" s="93"/>
      <c r="T55" s="103" t="s">
        <v>111</v>
      </c>
      <c r="U55" s="98" t="s">
        <v>361</v>
      </c>
      <c r="W55" s="143">
        <v>42383</v>
      </c>
      <c r="X55" s="12">
        <v>46.08</v>
      </c>
      <c r="Y55" s="12">
        <v>46.86</v>
      </c>
      <c r="Z55" s="12">
        <v>45.34</v>
      </c>
      <c r="AA55" s="12">
        <v>46.31</v>
      </c>
      <c r="AB55" s="105">
        <v>420600</v>
      </c>
      <c r="AC55" s="12">
        <v>46.2</v>
      </c>
      <c r="AD55" s="2">
        <f t="shared" si="0"/>
        <v>1.519999999999996</v>
      </c>
      <c r="AE55" s="148">
        <f t="shared" si="1"/>
        <v>8.2933216935836551E-3</v>
      </c>
    </row>
    <row r="56" spans="15:31" x14ac:dyDescent="0.25">
      <c r="O56" s="93">
        <v>0.97</v>
      </c>
      <c r="P56" s="93">
        <f t="shared" si="2"/>
        <v>50.808599999999998</v>
      </c>
      <c r="Q56" s="93"/>
      <c r="T56" s="103" t="s">
        <v>114</v>
      </c>
      <c r="U56" s="98">
        <v>20.85</v>
      </c>
      <c r="W56" s="143">
        <v>42382</v>
      </c>
      <c r="X56" s="12">
        <v>47.37</v>
      </c>
      <c r="Y56" s="12">
        <v>47.59</v>
      </c>
      <c r="Z56" s="12">
        <v>45.91</v>
      </c>
      <c r="AA56" s="12">
        <v>45.93</v>
      </c>
      <c r="AB56" s="105">
        <v>399900</v>
      </c>
      <c r="AC56" s="12">
        <v>45.82</v>
      </c>
      <c r="AD56" s="2">
        <f t="shared" si="0"/>
        <v>1.6800000000000068</v>
      </c>
      <c r="AE56" s="148">
        <f t="shared" si="1"/>
        <v>-2.5728258558367023E-2</v>
      </c>
    </row>
    <row r="57" spans="15:31" x14ac:dyDescent="0.25">
      <c r="O57" s="93">
        <v>0.96</v>
      </c>
      <c r="P57" s="93">
        <f t="shared" si="2"/>
        <v>50.284799999999997</v>
      </c>
      <c r="Q57" s="93"/>
      <c r="T57" s="103" t="s">
        <v>115</v>
      </c>
      <c r="U57" s="98">
        <v>2.5</v>
      </c>
      <c r="W57" s="143">
        <v>42381</v>
      </c>
      <c r="X57" s="12">
        <v>46.93</v>
      </c>
      <c r="Y57" s="12">
        <v>47.44</v>
      </c>
      <c r="Z57" s="12">
        <v>46.28</v>
      </c>
      <c r="AA57" s="12">
        <v>47.14</v>
      </c>
      <c r="AB57" s="105">
        <v>324100</v>
      </c>
      <c r="AC57" s="12">
        <v>47.03</v>
      </c>
      <c r="AD57" s="2">
        <f t="shared" si="0"/>
        <v>1.1599999999999966</v>
      </c>
      <c r="AE57" s="148">
        <f t="shared" si="1"/>
        <v>1.1397849462365661E-2</v>
      </c>
    </row>
    <row r="58" spans="15:31" x14ac:dyDescent="0.25">
      <c r="O58" s="93">
        <v>0.95</v>
      </c>
      <c r="P58" s="93">
        <f t="shared" si="2"/>
        <v>49.761000000000003</v>
      </c>
      <c r="Q58" s="93"/>
      <c r="T58" s="103" t="s">
        <v>112</v>
      </c>
      <c r="U58" s="98" t="s">
        <v>362</v>
      </c>
      <c r="W58" s="143">
        <v>42380</v>
      </c>
      <c r="X58" s="12">
        <v>46.26</v>
      </c>
      <c r="Y58" s="12">
        <v>47.82</v>
      </c>
      <c r="Z58" s="12">
        <v>46.03</v>
      </c>
      <c r="AA58" s="12">
        <v>46.61</v>
      </c>
      <c r="AB58" s="105">
        <v>459300</v>
      </c>
      <c r="AC58" s="12">
        <v>46.5</v>
      </c>
      <c r="AD58" s="2">
        <f t="shared" si="0"/>
        <v>1.7899999999999991</v>
      </c>
      <c r="AE58" s="148">
        <f t="shared" si="1"/>
        <v>1.108936725375087E-2</v>
      </c>
    </row>
    <row r="59" spans="15:31" x14ac:dyDescent="0.25">
      <c r="O59" s="93">
        <v>0.94</v>
      </c>
      <c r="P59" s="93">
        <f t="shared" si="2"/>
        <v>49.237200000000001</v>
      </c>
      <c r="Q59" s="93"/>
      <c r="W59" s="143">
        <v>42377</v>
      </c>
      <c r="X59" s="12">
        <v>47.17</v>
      </c>
      <c r="Y59" s="12">
        <v>47.19</v>
      </c>
      <c r="Z59" s="12">
        <v>46.01</v>
      </c>
      <c r="AA59" s="12">
        <v>46.1</v>
      </c>
      <c r="AB59" s="105">
        <v>395700</v>
      </c>
      <c r="AC59" s="12">
        <v>45.99</v>
      </c>
      <c r="AD59" s="2">
        <f t="shared" si="0"/>
        <v>1.1799999999999997</v>
      </c>
      <c r="AE59" s="148">
        <f t="shared" si="1"/>
        <v>-1.6887558785805834E-2</v>
      </c>
    </row>
    <row r="60" spans="15:31" x14ac:dyDescent="0.25">
      <c r="O60" s="93">
        <v>0.93</v>
      </c>
      <c r="P60" s="93">
        <f t="shared" si="2"/>
        <v>48.713400000000007</v>
      </c>
      <c r="Q60" s="93"/>
      <c r="W60" s="143">
        <v>42376</v>
      </c>
      <c r="X60" s="12">
        <v>47.93</v>
      </c>
      <c r="Y60" s="12">
        <v>48.19</v>
      </c>
      <c r="Z60" s="12">
        <v>46.6</v>
      </c>
      <c r="AA60" s="12">
        <v>46.89</v>
      </c>
      <c r="AB60" s="105">
        <v>372900</v>
      </c>
      <c r="AC60" s="12">
        <v>46.78</v>
      </c>
      <c r="AD60" s="2">
        <f t="shared" si="0"/>
        <v>1.5899999999999963</v>
      </c>
      <c r="AE60" s="148">
        <f t="shared" si="1"/>
        <v>-4.0410256410256418E-2</v>
      </c>
    </row>
    <row r="61" spans="15:31" x14ac:dyDescent="0.25">
      <c r="O61" s="93">
        <v>0.92</v>
      </c>
      <c r="P61" s="93">
        <f t="shared" si="2"/>
        <v>48.189600000000006</v>
      </c>
      <c r="Q61" s="93"/>
      <c r="W61" s="143">
        <v>42375</v>
      </c>
      <c r="X61" s="12">
        <v>49.35</v>
      </c>
      <c r="Y61" s="12">
        <v>49.97</v>
      </c>
      <c r="Z61" s="12">
        <v>48.48</v>
      </c>
      <c r="AA61" s="12">
        <v>48.86</v>
      </c>
      <c r="AB61" s="105">
        <v>572300</v>
      </c>
      <c r="AC61" s="12">
        <v>48.75</v>
      </c>
      <c r="AD61" s="2">
        <f t="shared" si="0"/>
        <v>1.490000000000002</v>
      </c>
      <c r="AE61" s="148">
        <f t="shared" si="1"/>
        <v>-2.7140291359010194E-2</v>
      </c>
    </row>
    <row r="62" spans="15:31" x14ac:dyDescent="0.25">
      <c r="O62" s="93">
        <v>0.91</v>
      </c>
      <c r="P62" s="93">
        <f t="shared" si="2"/>
        <v>47.665800000000004</v>
      </c>
      <c r="Q62" s="93"/>
      <c r="W62" s="143">
        <v>42374</v>
      </c>
      <c r="X62" s="12">
        <v>49.92</v>
      </c>
      <c r="Y62" s="12">
        <v>50.51</v>
      </c>
      <c r="Z62" s="12">
        <v>49.35</v>
      </c>
      <c r="AA62" s="12">
        <v>50.23</v>
      </c>
      <c r="AB62" s="105">
        <v>354900</v>
      </c>
      <c r="AC62" s="12">
        <v>50.11</v>
      </c>
      <c r="AD62" s="2">
        <f t="shared" si="0"/>
        <v>1.1599999999999966</v>
      </c>
      <c r="AE62" s="148">
        <f t="shared" si="1"/>
        <v>9.4681708299757528E-3</v>
      </c>
    </row>
    <row r="63" spans="15:31" x14ac:dyDescent="0.25">
      <c r="O63" s="93">
        <v>0.9</v>
      </c>
      <c r="P63" s="93">
        <f t="shared" si="2"/>
        <v>47.142000000000003</v>
      </c>
      <c r="Q63" s="93"/>
      <c r="W63" s="143">
        <v>42373</v>
      </c>
      <c r="X63" s="12">
        <v>48.74</v>
      </c>
      <c r="Y63" s="12">
        <v>49.78</v>
      </c>
      <c r="Z63" s="12">
        <v>48.11</v>
      </c>
      <c r="AA63" s="12">
        <v>49.76</v>
      </c>
      <c r="AB63" s="105">
        <v>434900</v>
      </c>
      <c r="AC63" s="12">
        <v>49.64</v>
      </c>
      <c r="AD63" s="2">
        <f t="shared" si="0"/>
        <v>1.6700000000000017</v>
      </c>
      <c r="AE63" s="148">
        <f t="shared" si="1"/>
        <v>2.0185708518369871E-3</v>
      </c>
    </row>
    <row r="64" spans="15:31" x14ac:dyDescent="0.25">
      <c r="O64" s="37"/>
      <c r="W64" s="143">
        <v>42369</v>
      </c>
      <c r="X64" s="12">
        <v>50.65</v>
      </c>
      <c r="Y64" s="12">
        <v>50.74</v>
      </c>
      <c r="Z64" s="12">
        <v>49.64</v>
      </c>
      <c r="AA64" s="12">
        <v>49.66</v>
      </c>
      <c r="AB64" s="105">
        <v>316700</v>
      </c>
      <c r="AC64" s="12">
        <v>49.54</v>
      </c>
      <c r="AD64" s="2">
        <f t="shared" si="0"/>
        <v>1.1000000000000014</v>
      </c>
      <c r="AE64" s="148">
        <f t="shared" si="1"/>
        <v>-2.3264984227129304E-2</v>
      </c>
    </row>
    <row r="65" spans="15:31" x14ac:dyDescent="0.25">
      <c r="O65" s="37"/>
      <c r="W65" s="143">
        <v>42368</v>
      </c>
      <c r="X65" s="12">
        <v>51.06</v>
      </c>
      <c r="Y65" s="12">
        <v>51.13</v>
      </c>
      <c r="Z65" s="12">
        <v>50.56</v>
      </c>
      <c r="AA65" s="12">
        <v>50.84</v>
      </c>
      <c r="AB65" s="105">
        <v>225200</v>
      </c>
      <c r="AC65" s="12">
        <v>50.72</v>
      </c>
      <c r="AD65" s="2">
        <f t="shared" si="0"/>
        <v>0.57000000000000028</v>
      </c>
      <c r="AE65" s="148">
        <f t="shared" si="1"/>
        <v>-2.9486927462157864E-3</v>
      </c>
    </row>
    <row r="66" spans="15:31" x14ac:dyDescent="0.25">
      <c r="O66" s="37"/>
      <c r="W66" s="143">
        <v>42367</v>
      </c>
      <c r="X66" s="12">
        <v>50.79</v>
      </c>
      <c r="Y66" s="12">
        <v>51.34</v>
      </c>
      <c r="Z66" s="12">
        <v>50.28</v>
      </c>
      <c r="AA66" s="12">
        <v>50.99</v>
      </c>
      <c r="AB66" s="105">
        <v>273400</v>
      </c>
      <c r="AC66" s="12">
        <v>50.87</v>
      </c>
      <c r="AD66" s="2">
        <f t="shared" si="0"/>
        <v>1.0600000000000023</v>
      </c>
      <c r="AE66" s="148">
        <f t="shared" si="1"/>
        <v>8.7249652984333625E-3</v>
      </c>
    </row>
    <row r="67" spans="15:31" x14ac:dyDescent="0.25">
      <c r="W67" s="143">
        <v>42366</v>
      </c>
      <c r="X67" s="12">
        <v>50.79</v>
      </c>
      <c r="Y67" s="12">
        <v>50.79</v>
      </c>
      <c r="Z67" s="12">
        <v>50.12</v>
      </c>
      <c r="AA67" s="12">
        <v>50.55</v>
      </c>
      <c r="AB67" s="105">
        <v>194800</v>
      </c>
      <c r="AC67" s="12">
        <v>50.43</v>
      </c>
      <c r="AD67" s="2">
        <f t="shared" ref="AD67:AD68" si="3">Y67-Z67</f>
        <v>0.67000000000000171</v>
      </c>
      <c r="AE67" s="148">
        <f t="shared" ref="AE67" si="4">AC67/AC68-1</f>
        <v>-1.1370319545187191E-2</v>
      </c>
    </row>
    <row r="68" spans="15:31" x14ac:dyDescent="0.25">
      <c r="W68" s="143">
        <v>42362</v>
      </c>
      <c r="X68" s="12">
        <v>50.62</v>
      </c>
      <c r="Y68" s="12">
        <v>51.28</v>
      </c>
      <c r="Z68" s="12">
        <v>50.62</v>
      </c>
      <c r="AA68" s="12">
        <v>51.13</v>
      </c>
      <c r="AB68" s="105">
        <v>113100</v>
      </c>
      <c r="AC68" s="12">
        <v>51.01</v>
      </c>
      <c r="AD68" s="2">
        <f t="shared" si="3"/>
        <v>0.66000000000000369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7" priority="11">
      <formula>Q7&gt;0</formula>
    </cfRule>
    <cfRule type="expression" dxfId="66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5" priority="1">
      <formula>F10&gt;0</formula>
    </cfRule>
    <cfRule type="expression" dxfId="64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206</v>
      </c>
      <c r="B2" s="281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81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64.959999999999994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64.959999999999994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117</v>
      </c>
      <c r="C12" s="209" t="s">
        <v>167</v>
      </c>
      <c r="D12" s="210" t="s">
        <v>166</v>
      </c>
      <c r="E12" s="212" t="s">
        <v>168</v>
      </c>
      <c r="F12" s="212" t="s">
        <v>65</v>
      </c>
      <c r="G12" s="253" t="s">
        <v>172</v>
      </c>
      <c r="H12" s="253" t="s">
        <v>90</v>
      </c>
      <c r="I12" s="253" t="s">
        <v>179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20" t="s">
        <v>78</v>
      </c>
      <c r="P41" s="420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71.456000000000003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70.806399999999996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70.156800000000004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69.507199999999997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68.857599999999991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68.207999999999998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67.558399999999992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66.908799999999999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66.259199999999993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65.6096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64.959999999999994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64.310399999999987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63.660799999999995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63.011199999999995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62.361599999999989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61.711999999999989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61.06239999999999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60.412799999999997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59.763199999999998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59.113599999999998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58.463999999999999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3" priority="9">
      <formula>Q7&gt;0</formula>
    </cfRule>
    <cfRule type="expression" dxfId="62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1" priority="3">
      <formula>F13&gt;0</formula>
    </cfRule>
    <cfRule type="expression" dxfId="60" priority="4">
      <formula>F13&lt;0</formula>
    </cfRule>
  </conditionalFormatting>
  <conditionalFormatting sqref="H13:H16">
    <cfRule type="expression" dxfId="59" priority="1">
      <formula>H13&gt;0</formula>
    </cfRule>
    <cfRule type="expression" dxfId="58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19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42460</v>
      </c>
      <c r="X2" s="12">
        <v>31.01</v>
      </c>
      <c r="Y2" s="12">
        <v>31.59</v>
      </c>
      <c r="Z2" s="12">
        <v>31</v>
      </c>
      <c r="AA2" s="12">
        <v>31.43</v>
      </c>
      <c r="AB2" s="105">
        <v>10137100</v>
      </c>
      <c r="AC2" s="12">
        <v>31.43</v>
      </c>
      <c r="AD2" s="2">
        <f>Y2-Z2</f>
        <v>0.58999999999999986</v>
      </c>
      <c r="AE2" s="148">
        <f>AC2/AC3-1</f>
        <v>1.4198128428525303E-2</v>
      </c>
    </row>
    <row r="3" spans="1:31" x14ac:dyDescent="0.25">
      <c r="A3" s="26" t="s">
        <v>71</v>
      </c>
      <c r="B3" s="419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30.47</v>
      </c>
      <c r="T3" t="s">
        <v>86</v>
      </c>
      <c r="W3" s="143">
        <v>42459</v>
      </c>
      <c r="X3" s="12">
        <v>31.44</v>
      </c>
      <c r="Y3" s="12">
        <v>31.67</v>
      </c>
      <c r="Z3" s="12">
        <v>30.96</v>
      </c>
      <c r="AA3" s="12">
        <v>30.99</v>
      </c>
      <c r="AB3" s="105">
        <v>13359000</v>
      </c>
      <c r="AC3" s="12">
        <v>30.99</v>
      </c>
      <c r="AD3" s="2">
        <f t="shared" ref="AD3:AD66" si="0">Y3-Z3</f>
        <v>0.71000000000000085</v>
      </c>
      <c r="AE3" s="148">
        <f t="shared" ref="AE3:AE66" si="1">AC3/AC4-1</f>
        <v>-6.412311638345769E-3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30.47</v>
      </c>
      <c r="W4" s="143">
        <v>42458</v>
      </c>
      <c r="X4" s="12">
        <v>31.04</v>
      </c>
      <c r="Y4" s="12">
        <v>31.28</v>
      </c>
      <c r="Z4" s="12">
        <v>30.58</v>
      </c>
      <c r="AA4" s="12">
        <v>31.19</v>
      </c>
      <c r="AB4" s="105">
        <v>13627300</v>
      </c>
      <c r="AC4" s="12">
        <v>31.19</v>
      </c>
      <c r="AD4" s="2">
        <f t="shared" si="0"/>
        <v>0.70000000000000284</v>
      </c>
      <c r="AE4" s="148">
        <f t="shared" si="1"/>
        <v>5.4803352675694139E-3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42457</v>
      </c>
      <c r="X5" s="12">
        <v>31.13</v>
      </c>
      <c r="Y5" s="12">
        <v>31.25</v>
      </c>
      <c r="Z5" s="12">
        <v>30.94</v>
      </c>
      <c r="AA5" s="12">
        <v>31.02</v>
      </c>
      <c r="AB5" s="105">
        <v>6012500</v>
      </c>
      <c r="AC5" s="12">
        <v>31.02</v>
      </c>
      <c r="AD5" s="2">
        <f t="shared" si="0"/>
        <v>0.30999999999999872</v>
      </c>
      <c r="AE5" s="148">
        <f t="shared" si="1"/>
        <v>1.9379844961240345E-3</v>
      </c>
    </row>
    <row r="6" spans="1:31" x14ac:dyDescent="0.25">
      <c r="O6" s="13" t="s">
        <v>64</v>
      </c>
      <c r="Q6" s="2">
        <f>Q3*Q2</f>
        <v>0</v>
      </c>
      <c r="W6" s="143">
        <v>42453</v>
      </c>
      <c r="X6" s="12">
        <v>30.88</v>
      </c>
      <c r="Y6" s="12">
        <v>30.97</v>
      </c>
      <c r="Z6" s="12">
        <v>30.39</v>
      </c>
      <c r="AA6" s="12">
        <v>30.96</v>
      </c>
      <c r="AB6" s="105">
        <v>12001900</v>
      </c>
      <c r="AC6" s="12">
        <v>30.96</v>
      </c>
      <c r="AD6" s="2">
        <f t="shared" si="0"/>
        <v>0.57999999999999829</v>
      </c>
      <c r="AE6" s="148">
        <f t="shared" si="1"/>
        <v>-1.1178537208559547E-2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42452</v>
      </c>
      <c r="X7" s="12">
        <v>31.92</v>
      </c>
      <c r="Y7" s="12">
        <v>31.93</v>
      </c>
      <c r="Z7" s="12">
        <v>31.17</v>
      </c>
      <c r="AA7" s="12">
        <v>31.31</v>
      </c>
      <c r="AB7" s="105">
        <v>9064600</v>
      </c>
      <c r="AC7" s="12">
        <v>31.31</v>
      </c>
      <c r="AD7" s="2">
        <f t="shared" si="0"/>
        <v>0.75999999999999801</v>
      </c>
      <c r="AE7" s="148">
        <f t="shared" si="1"/>
        <v>-1.849529780564263E-2</v>
      </c>
    </row>
    <row r="8" spans="1:31" x14ac:dyDescent="0.25">
      <c r="O8" s="13" t="s">
        <v>90</v>
      </c>
      <c r="Q8" s="148">
        <f>(Q4-Q3)/Q3</f>
        <v>0</v>
      </c>
      <c r="W8" s="143">
        <v>42451</v>
      </c>
      <c r="X8" s="12">
        <v>32.08</v>
      </c>
      <c r="Y8" s="12">
        <v>32.21</v>
      </c>
      <c r="Z8" s="12">
        <v>31.76</v>
      </c>
      <c r="AA8" s="12">
        <v>31.9</v>
      </c>
      <c r="AB8" s="105">
        <v>8168500</v>
      </c>
      <c r="AC8" s="12">
        <v>31.9</v>
      </c>
      <c r="AD8" s="2">
        <f t="shared" si="0"/>
        <v>0.44999999999999929</v>
      </c>
      <c r="AE8" s="148">
        <f t="shared" si="1"/>
        <v>-5.610972568578565E-3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42450</v>
      </c>
      <c r="X9" s="12">
        <v>32.11</v>
      </c>
      <c r="Y9" s="12">
        <v>32.19</v>
      </c>
      <c r="Z9" s="12">
        <v>31.75</v>
      </c>
      <c r="AA9" s="12">
        <v>32.08</v>
      </c>
      <c r="AB9" s="105">
        <v>7383300</v>
      </c>
      <c r="AC9" s="12">
        <v>32.08</v>
      </c>
      <c r="AD9" s="2">
        <f t="shared" si="0"/>
        <v>0.43999999999999773</v>
      </c>
      <c r="AE9" s="148">
        <f t="shared" si="1"/>
        <v>3.754693366708306E-3</v>
      </c>
    </row>
    <row r="10" spans="1:31" x14ac:dyDescent="0.25">
      <c r="W10" s="143">
        <v>42447</v>
      </c>
      <c r="X10" s="12">
        <v>32.08</v>
      </c>
      <c r="Y10" s="12">
        <v>32.380000000000003</v>
      </c>
      <c r="Z10" s="12">
        <v>31.91</v>
      </c>
      <c r="AA10" s="12">
        <v>31.96</v>
      </c>
      <c r="AB10" s="105">
        <v>12214400</v>
      </c>
      <c r="AC10" s="12">
        <v>31.96</v>
      </c>
      <c r="AD10" s="2">
        <f t="shared" si="0"/>
        <v>0.47000000000000242</v>
      </c>
      <c r="AE10" s="148">
        <f t="shared" si="1"/>
        <v>0</v>
      </c>
    </row>
    <row r="11" spans="1:31" x14ac:dyDescent="0.25">
      <c r="W11" s="143">
        <v>42446</v>
      </c>
      <c r="X11" s="12">
        <v>31.73</v>
      </c>
      <c r="Y11" s="12">
        <v>32.1</v>
      </c>
      <c r="Z11" s="12">
        <v>31.64</v>
      </c>
      <c r="AA11" s="12">
        <v>31.96</v>
      </c>
      <c r="AB11" s="105">
        <v>11293900</v>
      </c>
      <c r="AC11" s="12">
        <v>31.96</v>
      </c>
      <c r="AD11" s="2">
        <f t="shared" si="0"/>
        <v>0.46000000000000085</v>
      </c>
      <c r="AE11" s="148">
        <f t="shared" si="1"/>
        <v>8.520037866834862E-3</v>
      </c>
    </row>
    <row r="12" spans="1:31" x14ac:dyDescent="0.25">
      <c r="B12" s="209" t="s">
        <v>117</v>
      </c>
      <c r="C12" s="209" t="s">
        <v>167</v>
      </c>
      <c r="D12" s="210" t="s">
        <v>166</v>
      </c>
      <c r="E12" s="212" t="s">
        <v>168</v>
      </c>
      <c r="F12" s="212" t="s">
        <v>65</v>
      </c>
      <c r="G12" s="253" t="s">
        <v>172</v>
      </c>
      <c r="H12" s="253" t="s">
        <v>90</v>
      </c>
      <c r="I12" s="253" t="s">
        <v>179</v>
      </c>
      <c r="W12" s="143">
        <v>42445</v>
      </c>
      <c r="X12" s="12">
        <v>30.83</v>
      </c>
      <c r="Y12" s="12">
        <v>31.76</v>
      </c>
      <c r="Z12" s="12">
        <v>30.83</v>
      </c>
      <c r="AA12" s="12">
        <v>31.69</v>
      </c>
      <c r="AB12" s="105">
        <v>9964400</v>
      </c>
      <c r="AC12" s="12">
        <v>31.69</v>
      </c>
      <c r="AD12" s="2">
        <f t="shared" si="0"/>
        <v>0.93000000000000327</v>
      </c>
      <c r="AE12" s="148">
        <f t="shared" si="1"/>
        <v>2.0611916264090091E-2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42444</v>
      </c>
      <c r="X13" s="12">
        <v>30.86</v>
      </c>
      <c r="Y13" s="12">
        <v>31.08</v>
      </c>
      <c r="Z13" s="12">
        <v>30.44</v>
      </c>
      <c r="AA13" s="12">
        <v>31.05</v>
      </c>
      <c r="AB13" s="105">
        <v>8983200</v>
      </c>
      <c r="AC13" s="12">
        <v>31.05</v>
      </c>
      <c r="AD13" s="2">
        <f t="shared" si="0"/>
        <v>0.63999999999999702</v>
      </c>
      <c r="AE13" s="148">
        <f t="shared" si="1"/>
        <v>-4.1693393200769036E-3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42443</v>
      </c>
      <c r="X14" s="12">
        <v>31.18</v>
      </c>
      <c r="Y14" s="12">
        <v>31.39</v>
      </c>
      <c r="Z14" s="12">
        <v>30.9</v>
      </c>
      <c r="AA14" s="12">
        <v>31.18</v>
      </c>
      <c r="AB14" s="105">
        <v>9071500</v>
      </c>
      <c r="AC14" s="12">
        <v>31.18</v>
      </c>
      <c r="AD14" s="2">
        <f t="shared" si="0"/>
        <v>0.49000000000000199</v>
      </c>
      <c r="AE14" s="148">
        <f t="shared" si="1"/>
        <v>-2.5591810620602118E-3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42440</v>
      </c>
      <c r="X15" s="12">
        <v>31.05</v>
      </c>
      <c r="Y15" s="12">
        <v>31.33</v>
      </c>
      <c r="Z15" s="12">
        <v>30.98</v>
      </c>
      <c r="AA15" s="12">
        <v>31.26</v>
      </c>
      <c r="AB15" s="105">
        <v>13350500</v>
      </c>
      <c r="AC15" s="12">
        <v>31.26</v>
      </c>
      <c r="AD15" s="2">
        <f t="shared" si="0"/>
        <v>0.34999999999999787</v>
      </c>
      <c r="AE15" s="148">
        <f t="shared" si="1"/>
        <v>1.4276443867618394E-2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42439</v>
      </c>
      <c r="X16" s="12">
        <v>30.72</v>
      </c>
      <c r="Y16" s="12">
        <v>30.88</v>
      </c>
      <c r="Z16" s="12">
        <v>30.27</v>
      </c>
      <c r="AA16" s="12">
        <v>30.82</v>
      </c>
      <c r="AB16" s="105">
        <v>15088700</v>
      </c>
      <c r="AC16" s="12">
        <v>30.82</v>
      </c>
      <c r="AD16" s="2">
        <f t="shared" si="0"/>
        <v>0.60999999999999943</v>
      </c>
      <c r="AE16" s="148">
        <f t="shared" si="1"/>
        <v>9.1683038637853098E-3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42438</v>
      </c>
      <c r="X17" s="12">
        <v>30.47</v>
      </c>
      <c r="Y17" s="12">
        <v>30.63</v>
      </c>
      <c r="Z17" s="12">
        <v>30.2</v>
      </c>
      <c r="AA17" s="12">
        <v>30.54</v>
      </c>
      <c r="AB17" s="105">
        <v>12156100</v>
      </c>
      <c r="AC17" s="12">
        <v>30.54</v>
      </c>
      <c r="AD17" s="2">
        <f t="shared" si="0"/>
        <v>0.42999999999999972</v>
      </c>
      <c r="AE17" s="148" t="e">
        <f t="shared" si="1"/>
        <v>#DIV/0!</v>
      </c>
    </row>
    <row r="18" spans="2:31" x14ac:dyDescent="0.25">
      <c r="W18" s="143">
        <v>42438</v>
      </c>
      <c r="X18" s="12" t="s">
        <v>257</v>
      </c>
      <c r="Y18" s="12"/>
      <c r="Z18" s="12"/>
      <c r="AA18" s="12"/>
      <c r="AB18" s="105"/>
      <c r="AC18" s="12"/>
      <c r="AD18" s="2">
        <f t="shared" si="0"/>
        <v>0</v>
      </c>
      <c r="AE18" s="148">
        <f t="shared" si="1"/>
        <v>-1</v>
      </c>
    </row>
    <row r="19" spans="2:31" x14ac:dyDescent="0.25">
      <c r="W19" s="143">
        <v>42437</v>
      </c>
      <c r="X19" s="12">
        <v>31.4</v>
      </c>
      <c r="Y19" s="12">
        <v>31.4</v>
      </c>
      <c r="Z19" s="12">
        <v>30.46</v>
      </c>
      <c r="AA19" s="12">
        <v>30.68</v>
      </c>
      <c r="AB19" s="105">
        <v>16794400</v>
      </c>
      <c r="AC19" s="12">
        <v>30.3</v>
      </c>
      <c r="AD19" s="2">
        <f t="shared" si="0"/>
        <v>0.93999999999999773</v>
      </c>
      <c r="AE19" s="148">
        <f t="shared" si="1"/>
        <v>-2.8846153846153855E-2</v>
      </c>
    </row>
    <row r="20" spans="2:31" x14ac:dyDescent="0.25">
      <c r="W20" s="143">
        <v>42436</v>
      </c>
      <c r="X20" s="12">
        <v>31.31</v>
      </c>
      <c r="Y20" s="12">
        <v>31.78</v>
      </c>
      <c r="Z20" s="12">
        <v>31.19</v>
      </c>
      <c r="AA20" s="12">
        <v>31.59</v>
      </c>
      <c r="AB20" s="105">
        <v>11373800</v>
      </c>
      <c r="AC20" s="12">
        <v>31.2</v>
      </c>
      <c r="AD20" s="2">
        <f t="shared" si="0"/>
        <v>0.58999999999999986</v>
      </c>
      <c r="AE20" s="148">
        <f t="shared" si="1"/>
        <v>7.1013557133634553E-3</v>
      </c>
    </row>
    <row r="21" spans="2:31" x14ac:dyDescent="0.25">
      <c r="W21" s="143">
        <v>42433</v>
      </c>
      <c r="X21" s="12">
        <v>31.22</v>
      </c>
      <c r="Y21" s="12">
        <v>31.74</v>
      </c>
      <c r="Z21" s="12">
        <v>31.06</v>
      </c>
      <c r="AA21" s="12">
        <v>31.37</v>
      </c>
      <c r="AB21" s="105">
        <v>13963200</v>
      </c>
      <c r="AC21" s="12">
        <v>30.98</v>
      </c>
      <c r="AD21" s="2">
        <f t="shared" si="0"/>
        <v>0.67999999999999972</v>
      </c>
      <c r="AE21" s="148">
        <f t="shared" si="1"/>
        <v>9.4493320299771089E-3</v>
      </c>
    </row>
    <row r="22" spans="2:31" x14ac:dyDescent="0.25">
      <c r="W22" s="143">
        <v>42432</v>
      </c>
      <c r="X22" s="12">
        <v>30.26</v>
      </c>
      <c r="Y22" s="12">
        <v>31.22</v>
      </c>
      <c r="Z22" s="12">
        <v>30.2</v>
      </c>
      <c r="AA22" s="12">
        <v>31.07</v>
      </c>
      <c r="AB22" s="105">
        <v>18341300</v>
      </c>
      <c r="AC22" s="12">
        <v>30.69</v>
      </c>
      <c r="AD22" s="2">
        <f t="shared" si="0"/>
        <v>1.0199999999999996</v>
      </c>
      <c r="AE22" s="148">
        <f t="shared" si="1"/>
        <v>3.0557421087978431E-2</v>
      </c>
    </row>
    <row r="23" spans="2:31" x14ac:dyDescent="0.25">
      <c r="W23" s="143">
        <v>42431</v>
      </c>
      <c r="X23" s="12">
        <v>30</v>
      </c>
      <c r="Y23" s="12">
        <v>30.32</v>
      </c>
      <c r="Z23" s="12">
        <v>29.84</v>
      </c>
      <c r="AA23" s="12">
        <v>30.15</v>
      </c>
      <c r="AB23" s="105">
        <v>12094700</v>
      </c>
      <c r="AC23" s="12">
        <v>29.78</v>
      </c>
      <c r="AD23" s="2">
        <f t="shared" si="0"/>
        <v>0.48000000000000043</v>
      </c>
      <c r="AE23" s="148">
        <f t="shared" si="1"/>
        <v>4.7233468286100866E-3</v>
      </c>
    </row>
    <row r="24" spans="2:31" x14ac:dyDescent="0.25">
      <c r="W24" s="143">
        <v>42430</v>
      </c>
      <c r="X24" s="12">
        <v>30.02</v>
      </c>
      <c r="Y24" s="12">
        <v>30.23</v>
      </c>
      <c r="Z24" s="12">
        <v>28.92</v>
      </c>
      <c r="AA24" s="12">
        <v>30.01</v>
      </c>
      <c r="AB24" s="105">
        <v>21007300</v>
      </c>
      <c r="AC24" s="12">
        <v>29.64</v>
      </c>
      <c r="AD24" s="2">
        <f t="shared" si="0"/>
        <v>1.3099999999999987</v>
      </c>
      <c r="AE24" s="148">
        <f t="shared" si="1"/>
        <v>1.9257221458046869E-2</v>
      </c>
    </row>
    <row r="25" spans="2:31" x14ac:dyDescent="0.25">
      <c r="W25" s="143">
        <v>42429</v>
      </c>
      <c r="X25" s="12">
        <v>29.37</v>
      </c>
      <c r="Y25" s="12">
        <v>29.8</v>
      </c>
      <c r="Z25" s="12">
        <v>29.29</v>
      </c>
      <c r="AA25" s="12">
        <v>29.44</v>
      </c>
      <c r="AB25" s="105">
        <v>10329400</v>
      </c>
      <c r="AC25" s="12">
        <v>29.08</v>
      </c>
      <c r="AD25" s="2">
        <f t="shared" si="0"/>
        <v>0.51000000000000156</v>
      </c>
      <c r="AE25" s="148">
        <f t="shared" si="1"/>
        <v>-6.1517429938483525E-3</v>
      </c>
    </row>
    <row r="26" spans="2:31" x14ac:dyDescent="0.25">
      <c r="W26" s="143">
        <v>42426</v>
      </c>
      <c r="X26" s="12">
        <v>29.73</v>
      </c>
      <c r="Y26" s="12">
        <v>29.96</v>
      </c>
      <c r="Z26" s="12">
        <v>29.54</v>
      </c>
      <c r="AA26" s="12">
        <v>29.63</v>
      </c>
      <c r="AB26" s="105">
        <v>15778300</v>
      </c>
      <c r="AC26" s="12">
        <v>29.26</v>
      </c>
      <c r="AD26" s="2">
        <f t="shared" si="0"/>
        <v>0.42000000000000171</v>
      </c>
      <c r="AE26" s="148">
        <f t="shared" si="1"/>
        <v>4.462753175420664E-3</v>
      </c>
    </row>
    <row r="27" spans="2:31" x14ac:dyDescent="0.25">
      <c r="W27" s="143">
        <v>42425</v>
      </c>
      <c r="X27" s="12">
        <v>28.83</v>
      </c>
      <c r="Y27" s="12">
        <v>29.51</v>
      </c>
      <c r="Z27" s="12">
        <v>28.55</v>
      </c>
      <c r="AA27" s="12">
        <v>29.5</v>
      </c>
      <c r="AB27" s="105">
        <v>11904300</v>
      </c>
      <c r="AC27" s="12">
        <v>29.13</v>
      </c>
      <c r="AD27" s="2">
        <f t="shared" si="0"/>
        <v>0.96000000000000085</v>
      </c>
      <c r="AE27" s="148">
        <f t="shared" si="1"/>
        <v>2.2823033707865203E-2</v>
      </c>
    </row>
    <row r="28" spans="2:31" x14ac:dyDescent="0.25">
      <c r="W28" s="143">
        <v>42424</v>
      </c>
      <c r="X28" s="12">
        <v>28.72</v>
      </c>
      <c r="Y28" s="12">
        <v>28.9</v>
      </c>
      <c r="Z28" s="12">
        <v>27.81</v>
      </c>
      <c r="AA28" s="12">
        <v>28.84</v>
      </c>
      <c r="AB28" s="105">
        <v>20989100</v>
      </c>
      <c r="AC28" s="12">
        <v>28.48</v>
      </c>
      <c r="AD28" s="2">
        <f t="shared" si="0"/>
        <v>1.0899999999999999</v>
      </c>
      <c r="AE28" s="148">
        <f t="shared" si="1"/>
        <v>-1.860785665058573E-2</v>
      </c>
    </row>
    <row r="29" spans="2:31" x14ac:dyDescent="0.25">
      <c r="W29" s="143">
        <v>42423</v>
      </c>
      <c r="X29" s="12">
        <v>29.41</v>
      </c>
      <c r="Y29" s="12">
        <v>29.82</v>
      </c>
      <c r="Z29" s="12">
        <v>29.28</v>
      </c>
      <c r="AA29" s="12">
        <v>29.38</v>
      </c>
      <c r="AB29" s="105">
        <v>9949600</v>
      </c>
      <c r="AC29" s="12">
        <v>29.02</v>
      </c>
      <c r="AD29" s="2">
        <f t="shared" si="0"/>
        <v>0.53999999999999915</v>
      </c>
      <c r="AE29" s="148">
        <f t="shared" si="1"/>
        <v>-8.2023239917977664E-3</v>
      </c>
    </row>
    <row r="30" spans="2:31" x14ac:dyDescent="0.25">
      <c r="W30" s="143">
        <v>42422</v>
      </c>
      <c r="X30" s="12">
        <v>28.78</v>
      </c>
      <c r="Y30" s="12">
        <v>29.64</v>
      </c>
      <c r="Z30" s="12">
        <v>28.78</v>
      </c>
      <c r="AA30" s="12">
        <v>29.63</v>
      </c>
      <c r="AB30" s="105">
        <v>12215500</v>
      </c>
      <c r="AC30" s="12">
        <v>29.26</v>
      </c>
      <c r="AD30" s="2">
        <f t="shared" si="0"/>
        <v>0.85999999999999943</v>
      </c>
      <c r="AE30" s="148">
        <f t="shared" si="1"/>
        <v>2.9556650246305383E-2</v>
      </c>
    </row>
    <row r="31" spans="2:31" x14ac:dyDescent="0.25">
      <c r="W31" s="143">
        <v>42419</v>
      </c>
      <c r="X31" s="12">
        <v>28.88</v>
      </c>
      <c r="Y31" s="12">
        <v>28.98</v>
      </c>
      <c r="Z31" s="12">
        <v>28.38</v>
      </c>
      <c r="AA31" s="12">
        <v>28.78</v>
      </c>
      <c r="AB31" s="105">
        <v>12362300</v>
      </c>
      <c r="AC31" s="12">
        <v>28.42</v>
      </c>
      <c r="AD31" s="2">
        <f t="shared" si="0"/>
        <v>0.60000000000000142</v>
      </c>
      <c r="AE31" s="148">
        <f t="shared" si="1"/>
        <v>-8.7199162888036419E-3</v>
      </c>
    </row>
    <row r="32" spans="2:31" x14ac:dyDescent="0.25">
      <c r="W32" s="143">
        <v>42418</v>
      </c>
      <c r="X32" s="12">
        <v>29.45</v>
      </c>
      <c r="Y32" s="12">
        <v>29.55</v>
      </c>
      <c r="Z32" s="12">
        <v>28.92</v>
      </c>
      <c r="AA32" s="12">
        <v>29.03</v>
      </c>
      <c r="AB32" s="105">
        <v>12158600</v>
      </c>
      <c r="AC32" s="12">
        <v>28.67</v>
      </c>
      <c r="AD32" s="2">
        <f t="shared" si="0"/>
        <v>0.62999999999999901</v>
      </c>
      <c r="AE32" s="148">
        <f t="shared" si="1"/>
        <v>-8.3016257350396749E-3</v>
      </c>
    </row>
    <row r="33" spans="4:31" x14ac:dyDescent="0.25">
      <c r="W33" s="143">
        <v>42417</v>
      </c>
      <c r="X33" s="12">
        <v>28.86</v>
      </c>
      <c r="Y33" s="12">
        <v>29.35</v>
      </c>
      <c r="Z33" s="12">
        <v>28.7</v>
      </c>
      <c r="AA33" s="12">
        <v>29.27</v>
      </c>
      <c r="AB33" s="105">
        <v>13256100</v>
      </c>
      <c r="AC33" s="12">
        <v>28.91</v>
      </c>
      <c r="AD33" s="2">
        <f t="shared" si="0"/>
        <v>0.65000000000000213</v>
      </c>
      <c r="AE33" s="148">
        <f t="shared" si="1"/>
        <v>2.4087849805171757E-2</v>
      </c>
    </row>
    <row r="34" spans="4:31" x14ac:dyDescent="0.25">
      <c r="W34" s="143">
        <v>42416</v>
      </c>
      <c r="X34" s="12">
        <v>28</v>
      </c>
      <c r="Y34" s="12">
        <v>28.59</v>
      </c>
      <c r="Z34" s="12">
        <v>27.76</v>
      </c>
      <c r="AA34" s="12">
        <v>28.58</v>
      </c>
      <c r="AB34" s="105">
        <v>14627500</v>
      </c>
      <c r="AC34" s="12">
        <v>28.23</v>
      </c>
      <c r="AD34" s="2">
        <f t="shared" si="0"/>
        <v>0.82999999999999829</v>
      </c>
      <c r="AE34" s="148">
        <f t="shared" si="1"/>
        <v>3.1421264157837081E-2</v>
      </c>
    </row>
    <row r="35" spans="4:31" x14ac:dyDescent="0.25">
      <c r="W35" s="143">
        <v>42412</v>
      </c>
      <c r="X35" s="12">
        <v>27.23</v>
      </c>
      <c r="Y35" s="12">
        <v>27.74</v>
      </c>
      <c r="Z35" s="12">
        <v>27.05</v>
      </c>
      <c r="AA35" s="12">
        <v>27.71</v>
      </c>
      <c r="AB35" s="105">
        <v>11041000</v>
      </c>
      <c r="AC35" s="12">
        <v>27.37</v>
      </c>
      <c r="AD35" s="2">
        <f t="shared" si="0"/>
        <v>0.68999999999999773</v>
      </c>
      <c r="AE35" s="148">
        <f t="shared" si="1"/>
        <v>3.0109145652992053E-2</v>
      </c>
    </row>
    <row r="36" spans="4:31" x14ac:dyDescent="0.25">
      <c r="W36" s="143">
        <v>42411</v>
      </c>
      <c r="X36" s="12">
        <v>27.48</v>
      </c>
      <c r="Y36" s="12">
        <v>28.09</v>
      </c>
      <c r="Z36" s="12">
        <v>26.69</v>
      </c>
      <c r="AA36" s="12">
        <v>26.9</v>
      </c>
      <c r="AB36" s="105">
        <v>25164400</v>
      </c>
      <c r="AC36" s="12">
        <v>26.57</v>
      </c>
      <c r="AD36" s="2">
        <f t="shared" si="0"/>
        <v>1.3999999999999986</v>
      </c>
      <c r="AE36" s="148">
        <f t="shared" si="1"/>
        <v>-2.922908293752291E-2</v>
      </c>
    </row>
    <row r="37" spans="4:31" x14ac:dyDescent="0.25">
      <c r="W37" s="143">
        <v>42410</v>
      </c>
      <c r="X37" s="12">
        <v>28.12</v>
      </c>
      <c r="Y37" s="12">
        <v>28.64</v>
      </c>
      <c r="Z37" s="12">
        <v>27.69</v>
      </c>
      <c r="AA37" s="12">
        <v>27.71</v>
      </c>
      <c r="AB37" s="105">
        <v>15163800</v>
      </c>
      <c r="AC37" s="12">
        <v>27.37</v>
      </c>
      <c r="AD37" s="2">
        <f t="shared" si="0"/>
        <v>0.94999999999999929</v>
      </c>
      <c r="AE37" s="148">
        <f t="shared" si="1"/>
        <v>-5.4505813953488191E-3</v>
      </c>
    </row>
    <row r="38" spans="4:31" x14ac:dyDescent="0.25">
      <c r="W38" s="143">
        <v>42409</v>
      </c>
      <c r="X38" s="12">
        <v>28.13</v>
      </c>
      <c r="Y38" s="12">
        <v>28.87</v>
      </c>
      <c r="Z38" s="12">
        <v>27.77</v>
      </c>
      <c r="AA38" s="12">
        <v>27.87</v>
      </c>
      <c r="AB38" s="105">
        <v>21654100</v>
      </c>
      <c r="AC38" s="12">
        <v>27.52</v>
      </c>
      <c r="AD38" s="2">
        <f t="shared" si="0"/>
        <v>1.1000000000000014</v>
      </c>
      <c r="AE38" s="148">
        <f t="shared" si="1"/>
        <v>-2.8248587570621542E-2</v>
      </c>
    </row>
    <row r="39" spans="4:31" x14ac:dyDescent="0.25">
      <c r="W39" s="143">
        <v>42408</v>
      </c>
      <c r="X39" s="12">
        <v>28.28</v>
      </c>
      <c r="Y39" s="12">
        <v>28.84</v>
      </c>
      <c r="Z39" s="12">
        <v>28.05</v>
      </c>
      <c r="AA39" s="12">
        <v>28.68</v>
      </c>
      <c r="AB39" s="105">
        <v>19174000</v>
      </c>
      <c r="AC39" s="12">
        <v>28.32</v>
      </c>
      <c r="AD39" s="2">
        <f t="shared" si="0"/>
        <v>0.78999999999999915</v>
      </c>
      <c r="AE39" s="148">
        <f t="shared" si="1"/>
        <v>4.6115643845334731E-3</v>
      </c>
    </row>
    <row r="40" spans="4:31" x14ac:dyDescent="0.25">
      <c r="D40"/>
      <c r="E40"/>
      <c r="W40" s="143">
        <v>42405</v>
      </c>
      <c r="X40" s="12">
        <v>28.67</v>
      </c>
      <c r="Y40" s="12">
        <v>29.2</v>
      </c>
      <c r="Z40" s="12">
        <v>28.42</v>
      </c>
      <c r="AA40" s="12">
        <v>28.54</v>
      </c>
      <c r="AB40" s="105">
        <v>14125200</v>
      </c>
      <c r="AC40" s="12">
        <v>28.19</v>
      </c>
      <c r="AD40" s="2">
        <f t="shared" si="0"/>
        <v>0.77999999999999758</v>
      </c>
      <c r="AE40" s="148">
        <f t="shared" si="1"/>
        <v>-3.5348179568751581E-3</v>
      </c>
    </row>
    <row r="41" spans="4:31" ht="20.25" thickBot="1" x14ac:dyDescent="0.35">
      <c r="O41" s="420" t="s">
        <v>78</v>
      </c>
      <c r="P41" s="420"/>
      <c r="T41" s="101" t="s">
        <v>116</v>
      </c>
      <c r="W41" s="143">
        <v>42404</v>
      </c>
      <c r="X41" s="12">
        <v>28.94</v>
      </c>
      <c r="Y41" s="12">
        <v>29.21</v>
      </c>
      <c r="Z41" s="12">
        <v>28.1</v>
      </c>
      <c r="AA41" s="12">
        <v>28.64</v>
      </c>
      <c r="AB41" s="105">
        <v>21002800</v>
      </c>
      <c r="AC41" s="12">
        <v>28.29</v>
      </c>
      <c r="AD41" s="2">
        <f t="shared" si="0"/>
        <v>1.1099999999999994</v>
      </c>
      <c r="AE41" s="148">
        <f t="shared" si="1"/>
        <v>-9.4537815126050084E-3</v>
      </c>
    </row>
    <row r="42" spans="4:31" ht="15.75" thickTop="1" x14ac:dyDescent="0.25">
      <c r="O42" s="93">
        <v>1.1000000000000001</v>
      </c>
      <c r="P42" s="93">
        <f>O42*$Q$4</f>
        <v>33.517000000000003</v>
      </c>
      <c r="Q42" s="2"/>
      <c r="T42" s="171" t="s">
        <v>101</v>
      </c>
      <c r="U42" s="171">
        <v>31.43</v>
      </c>
      <c r="W42" s="143">
        <v>42403</v>
      </c>
      <c r="X42" s="12">
        <v>30.1</v>
      </c>
      <c r="Y42" s="12">
        <v>30.25</v>
      </c>
      <c r="Z42" s="12">
        <v>28.18</v>
      </c>
      <c r="AA42" s="12">
        <v>28.92</v>
      </c>
      <c r="AB42" s="105">
        <v>29069800</v>
      </c>
      <c r="AC42" s="12">
        <v>28.56</v>
      </c>
      <c r="AD42" s="2">
        <f t="shared" si="0"/>
        <v>2.0700000000000003</v>
      </c>
      <c r="AE42" s="148">
        <f t="shared" si="1"/>
        <v>-2.4590163934426257E-2</v>
      </c>
    </row>
    <row r="43" spans="4:31" x14ac:dyDescent="0.25">
      <c r="O43" s="93">
        <v>1.0900000000000001</v>
      </c>
      <c r="P43" s="93">
        <f t="shared" ref="P43:P62" si="3">O43*$Q$4</f>
        <v>33.212299999999999</v>
      </c>
      <c r="Q43" s="2"/>
      <c r="T43" s="12" t="s">
        <v>102</v>
      </c>
      <c r="U43" s="12" t="s">
        <v>134</v>
      </c>
      <c r="W43" s="143">
        <v>42402</v>
      </c>
      <c r="X43" s="12">
        <v>29.99</v>
      </c>
      <c r="Y43" s="12">
        <v>30.19</v>
      </c>
      <c r="Z43" s="12">
        <v>28.87</v>
      </c>
      <c r="AA43" s="12">
        <v>29.65</v>
      </c>
      <c r="AB43" s="105">
        <v>23777400</v>
      </c>
      <c r="AC43" s="12">
        <v>29.28</v>
      </c>
      <c r="AD43" s="2">
        <f t="shared" si="0"/>
        <v>1.3200000000000003</v>
      </c>
      <c r="AE43" s="148">
        <f t="shared" si="1"/>
        <v>-1.5467383994619999E-2</v>
      </c>
    </row>
    <row r="44" spans="4:31" x14ac:dyDescent="0.25">
      <c r="O44" s="93">
        <v>1.08</v>
      </c>
      <c r="P44" s="93">
        <f t="shared" si="3"/>
        <v>32.907600000000002</v>
      </c>
      <c r="Q44" s="2"/>
      <c r="T44" s="12" t="s">
        <v>103</v>
      </c>
      <c r="U44" s="12" t="s">
        <v>363</v>
      </c>
      <c r="W44" s="143">
        <v>42401</v>
      </c>
      <c r="X44" s="12">
        <v>29.46</v>
      </c>
      <c r="Y44" s="12">
        <v>30.24</v>
      </c>
      <c r="Z44" s="12">
        <v>29.1</v>
      </c>
      <c r="AA44" s="12">
        <v>30.11</v>
      </c>
      <c r="AB44" s="105">
        <v>13831700</v>
      </c>
      <c r="AC44" s="12">
        <v>29.74</v>
      </c>
      <c r="AD44" s="2">
        <f t="shared" si="0"/>
        <v>1.139999999999997</v>
      </c>
      <c r="AE44" s="148">
        <f t="shared" si="1"/>
        <v>1.605739665186201E-2</v>
      </c>
    </row>
    <row r="45" spans="4:31" x14ac:dyDescent="0.25">
      <c r="O45" s="93">
        <v>1.07</v>
      </c>
      <c r="P45" s="93">
        <f t="shared" si="3"/>
        <v>32.602899999999998</v>
      </c>
      <c r="Q45" s="2"/>
      <c r="T45" s="12" t="s">
        <v>104</v>
      </c>
      <c r="U45" s="12" t="s">
        <v>364</v>
      </c>
      <c r="W45" s="143">
        <v>42398</v>
      </c>
      <c r="X45" s="12">
        <v>29.17</v>
      </c>
      <c r="Y45" s="12">
        <v>29.64</v>
      </c>
      <c r="Z45" s="12">
        <v>29.02</v>
      </c>
      <c r="AA45" s="12">
        <v>29.64</v>
      </c>
      <c r="AB45" s="105">
        <v>13445800</v>
      </c>
      <c r="AC45" s="12">
        <v>29.27</v>
      </c>
      <c r="AD45" s="2">
        <f t="shared" si="0"/>
        <v>0.62000000000000099</v>
      </c>
      <c r="AE45" s="148">
        <f t="shared" si="1"/>
        <v>2.1284019539427712E-2</v>
      </c>
    </row>
    <row r="46" spans="4:31" x14ac:dyDescent="0.25">
      <c r="O46" s="93">
        <v>1.06</v>
      </c>
      <c r="P46" s="93">
        <f t="shared" si="3"/>
        <v>32.298200000000001</v>
      </c>
      <c r="Q46" s="2"/>
      <c r="T46" s="12" t="s">
        <v>105</v>
      </c>
      <c r="U46" s="12">
        <v>37.76</v>
      </c>
      <c r="W46" s="143">
        <v>42397</v>
      </c>
      <c r="X46" s="12">
        <v>29.47</v>
      </c>
      <c r="Y46" s="12">
        <v>29.48</v>
      </c>
      <c r="Z46" s="12">
        <v>28.4</v>
      </c>
      <c r="AA46" s="12">
        <v>29.02</v>
      </c>
      <c r="AB46" s="105">
        <v>16421200</v>
      </c>
      <c r="AC46" s="12">
        <v>28.66</v>
      </c>
      <c r="AD46" s="2">
        <f t="shared" si="0"/>
        <v>1.0800000000000018</v>
      </c>
      <c r="AE46" s="148">
        <f t="shared" si="1"/>
        <v>-6.585788561525141E-3</v>
      </c>
    </row>
    <row r="47" spans="4:31" x14ac:dyDescent="0.25">
      <c r="O47" s="93">
        <v>1.05</v>
      </c>
      <c r="P47" s="93">
        <f t="shared" si="3"/>
        <v>31.993500000000001</v>
      </c>
      <c r="Q47" s="2"/>
      <c r="T47" s="12" t="s">
        <v>106</v>
      </c>
      <c r="U47" s="12">
        <v>1.6581999999999999</v>
      </c>
      <c r="W47" s="143">
        <v>42396</v>
      </c>
      <c r="X47" s="12">
        <v>29.72</v>
      </c>
      <c r="Y47" s="12">
        <v>29.9</v>
      </c>
      <c r="Z47" s="12">
        <v>29</v>
      </c>
      <c r="AA47" s="12">
        <v>29.21</v>
      </c>
      <c r="AB47" s="105">
        <v>12932300</v>
      </c>
      <c r="AC47" s="12">
        <v>28.85</v>
      </c>
      <c r="AD47" s="2">
        <f t="shared" si="0"/>
        <v>0.89999999999999858</v>
      </c>
      <c r="AE47" s="148">
        <f t="shared" si="1"/>
        <v>-1.4685792349726778E-2</v>
      </c>
    </row>
    <row r="48" spans="4:31" x14ac:dyDescent="0.25">
      <c r="O48" s="93">
        <v>1.04</v>
      </c>
      <c r="P48" s="93">
        <f t="shared" si="3"/>
        <v>31.688800000000001</v>
      </c>
      <c r="Q48" s="2"/>
      <c r="T48" s="12" t="s">
        <v>107</v>
      </c>
      <c r="U48" s="12" t="s">
        <v>273</v>
      </c>
      <c r="W48" s="143">
        <v>42395</v>
      </c>
      <c r="X48" s="12">
        <v>29.41</v>
      </c>
      <c r="Y48" s="12">
        <v>29.75</v>
      </c>
      <c r="Z48" s="12">
        <v>29.04</v>
      </c>
      <c r="AA48" s="12">
        <v>29.65</v>
      </c>
      <c r="AB48" s="105">
        <v>11656700</v>
      </c>
      <c r="AC48" s="12">
        <v>29.28</v>
      </c>
      <c r="AD48" s="2">
        <f t="shared" si="0"/>
        <v>0.71000000000000085</v>
      </c>
      <c r="AE48" s="148">
        <f t="shared" si="1"/>
        <v>1.4201593349497665E-2</v>
      </c>
    </row>
    <row r="49" spans="15:31" x14ac:dyDescent="0.25">
      <c r="O49" s="93">
        <v>1.03</v>
      </c>
      <c r="P49" s="93">
        <f t="shared" si="3"/>
        <v>31.3841</v>
      </c>
      <c r="Q49" s="2"/>
      <c r="T49" s="12"/>
      <c r="U49" s="12"/>
      <c r="W49" s="143">
        <v>42394</v>
      </c>
      <c r="X49" s="12">
        <v>29.33</v>
      </c>
      <c r="Y49" s="12">
        <v>29.59</v>
      </c>
      <c r="Z49" s="12">
        <v>29.02</v>
      </c>
      <c r="AA49" s="12">
        <v>29.23</v>
      </c>
      <c r="AB49" s="105">
        <v>33627700</v>
      </c>
      <c r="AC49" s="12">
        <v>28.87</v>
      </c>
      <c r="AD49" s="2">
        <f t="shared" si="0"/>
        <v>0.57000000000000028</v>
      </c>
      <c r="AE49" s="148">
        <f t="shared" si="1"/>
        <v>-1.7289073305670755E-3</v>
      </c>
    </row>
    <row r="50" spans="15:31" x14ac:dyDescent="0.25">
      <c r="O50" s="93">
        <v>1.02</v>
      </c>
      <c r="P50" s="93">
        <f t="shared" si="3"/>
        <v>31.0794</v>
      </c>
      <c r="Q50" s="2"/>
      <c r="T50" s="12" t="s">
        <v>108</v>
      </c>
      <c r="U50" s="12" t="s">
        <v>302</v>
      </c>
      <c r="W50" s="143">
        <v>42391</v>
      </c>
      <c r="X50" s="12">
        <v>30.16</v>
      </c>
      <c r="Y50" s="12">
        <v>30.29</v>
      </c>
      <c r="Z50" s="12">
        <v>29.03</v>
      </c>
      <c r="AA50" s="12">
        <v>29.28</v>
      </c>
      <c r="AB50" s="105">
        <v>18302800</v>
      </c>
      <c r="AC50" s="12">
        <v>28.92</v>
      </c>
      <c r="AD50" s="2">
        <f t="shared" si="0"/>
        <v>1.259999999999998</v>
      </c>
      <c r="AE50" s="148">
        <f t="shared" si="1"/>
        <v>-8.9102124742973521E-3</v>
      </c>
    </row>
    <row r="51" spans="15:31" x14ac:dyDescent="0.25">
      <c r="O51" s="93">
        <v>1.01</v>
      </c>
      <c r="P51" s="93">
        <f t="shared" si="3"/>
        <v>30.774699999999999</v>
      </c>
      <c r="Q51" s="2"/>
      <c r="T51" s="12" t="s">
        <v>109</v>
      </c>
      <c r="U51" s="12" t="s">
        <v>290</v>
      </c>
      <c r="W51" s="143">
        <v>42390</v>
      </c>
      <c r="X51" s="12">
        <v>29.46</v>
      </c>
      <c r="Y51" s="12">
        <v>30.14</v>
      </c>
      <c r="Z51" s="12">
        <v>29.07</v>
      </c>
      <c r="AA51" s="12">
        <v>29.55</v>
      </c>
      <c r="AB51" s="105">
        <v>15844000</v>
      </c>
      <c r="AC51" s="12">
        <v>29.18</v>
      </c>
      <c r="AD51" s="2">
        <f t="shared" si="0"/>
        <v>1.0700000000000003</v>
      </c>
      <c r="AE51" s="148">
        <f t="shared" si="1"/>
        <v>4.1293874741914482E-3</v>
      </c>
    </row>
    <row r="52" spans="15:31" x14ac:dyDescent="0.25">
      <c r="O52" s="93">
        <v>1</v>
      </c>
      <c r="P52" s="93">
        <f t="shared" si="3"/>
        <v>30.47</v>
      </c>
      <c r="Q52" s="2"/>
      <c r="T52" s="12" t="s">
        <v>110</v>
      </c>
      <c r="U52" s="105">
        <v>0</v>
      </c>
      <c r="W52" s="143">
        <v>42389</v>
      </c>
      <c r="X52" s="12">
        <v>28.86</v>
      </c>
      <c r="Y52" s="12">
        <v>29.9</v>
      </c>
      <c r="Z52" s="12">
        <v>28.32</v>
      </c>
      <c r="AA52" s="12">
        <v>29.42</v>
      </c>
      <c r="AB52" s="105">
        <v>21481000</v>
      </c>
      <c r="AC52" s="12">
        <v>29.06</v>
      </c>
      <c r="AD52" s="2">
        <f t="shared" si="0"/>
        <v>1.5799999999999983</v>
      </c>
      <c r="AE52" s="148">
        <f t="shared" si="1"/>
        <v>6.8870523415975882E-4</v>
      </c>
    </row>
    <row r="53" spans="15:31" x14ac:dyDescent="0.25">
      <c r="O53" s="93">
        <v>0.99</v>
      </c>
      <c r="P53" s="93">
        <f t="shared" si="3"/>
        <v>30.165299999999998</v>
      </c>
      <c r="Q53" s="2"/>
      <c r="T53" s="12" t="s">
        <v>113</v>
      </c>
      <c r="U53" s="105">
        <v>15962600</v>
      </c>
      <c r="W53" s="143">
        <v>42388</v>
      </c>
      <c r="X53" s="12">
        <v>29.93</v>
      </c>
      <c r="Y53" s="12">
        <v>30</v>
      </c>
      <c r="Z53" s="12">
        <v>28.91</v>
      </c>
      <c r="AA53" s="12">
        <v>29.4</v>
      </c>
      <c r="AB53" s="105">
        <v>17826600</v>
      </c>
      <c r="AC53" s="12">
        <v>29.04</v>
      </c>
      <c r="AD53" s="2">
        <f t="shared" si="0"/>
        <v>1.0899999999999999</v>
      </c>
      <c r="AE53" s="148">
        <f t="shared" si="1"/>
        <v>-5.479452054794498E-3</v>
      </c>
    </row>
    <row r="54" spans="15:31" x14ac:dyDescent="0.25">
      <c r="O54" s="93">
        <v>0.98</v>
      </c>
      <c r="P54" s="93">
        <f t="shared" si="3"/>
        <v>29.860599999999998</v>
      </c>
      <c r="Q54" s="2"/>
      <c r="T54" s="12" t="s">
        <v>111</v>
      </c>
      <c r="U54" s="12" t="s">
        <v>365</v>
      </c>
      <c r="W54" s="143">
        <v>42384</v>
      </c>
      <c r="X54" s="12">
        <v>29.46</v>
      </c>
      <c r="Y54" s="12">
        <v>29.68</v>
      </c>
      <c r="Z54" s="12">
        <v>28.8</v>
      </c>
      <c r="AA54" s="12">
        <v>29.57</v>
      </c>
      <c r="AB54" s="105">
        <v>26698100</v>
      </c>
      <c r="AC54" s="12">
        <v>29.2</v>
      </c>
      <c r="AD54" s="2">
        <f t="shared" si="0"/>
        <v>0.87999999999999901</v>
      </c>
      <c r="AE54" s="148">
        <f t="shared" si="1"/>
        <v>-2.4064171122994749E-2</v>
      </c>
    </row>
    <row r="55" spans="15:31" x14ac:dyDescent="0.25">
      <c r="O55" s="93">
        <v>0.97</v>
      </c>
      <c r="P55" s="93">
        <f t="shared" si="3"/>
        <v>29.555899999999998</v>
      </c>
      <c r="T55" s="12" t="s">
        <v>114</v>
      </c>
      <c r="U55" s="12">
        <v>5.32</v>
      </c>
      <c r="W55" s="143">
        <v>42383</v>
      </c>
      <c r="X55" s="12">
        <v>30.81</v>
      </c>
      <c r="Y55" s="12">
        <v>30.89</v>
      </c>
      <c r="Z55" s="12">
        <v>29.45</v>
      </c>
      <c r="AA55" s="12">
        <v>30.3</v>
      </c>
      <c r="AB55" s="105">
        <v>27106700</v>
      </c>
      <c r="AC55" s="12">
        <v>29.92</v>
      </c>
      <c r="AD55" s="2">
        <f t="shared" si="0"/>
        <v>1.4400000000000013</v>
      </c>
      <c r="AE55" s="148">
        <f t="shared" si="1"/>
        <v>-6.3101959481899339E-3</v>
      </c>
    </row>
    <row r="56" spans="15:31" x14ac:dyDescent="0.25">
      <c r="O56" s="93">
        <v>0.96</v>
      </c>
      <c r="P56" s="93">
        <f t="shared" si="3"/>
        <v>29.251199999999997</v>
      </c>
      <c r="T56" s="12" t="s">
        <v>115</v>
      </c>
      <c r="U56" s="12">
        <v>5.91</v>
      </c>
      <c r="W56" s="143">
        <v>42382</v>
      </c>
      <c r="X56" s="12">
        <v>31.83</v>
      </c>
      <c r="Y56" s="12">
        <v>31.9</v>
      </c>
      <c r="Z56" s="12">
        <v>30.09</v>
      </c>
      <c r="AA56" s="12">
        <v>30.49</v>
      </c>
      <c r="AB56" s="105">
        <v>31586200</v>
      </c>
      <c r="AC56" s="12">
        <v>30.11</v>
      </c>
      <c r="AD56" s="2">
        <f t="shared" si="0"/>
        <v>1.8099999999999987</v>
      </c>
      <c r="AE56" s="148">
        <f t="shared" si="1"/>
        <v>6.350267379679142E-3</v>
      </c>
    </row>
    <row r="57" spans="15:31" x14ac:dyDescent="0.25">
      <c r="O57" s="93">
        <v>0.95</v>
      </c>
      <c r="P57" s="93">
        <f t="shared" si="3"/>
        <v>28.946499999999997</v>
      </c>
      <c r="T57" s="12" t="s">
        <v>112</v>
      </c>
      <c r="U57" s="12" t="s">
        <v>366</v>
      </c>
      <c r="W57" s="143">
        <v>42381</v>
      </c>
      <c r="X57" s="12">
        <v>30.63</v>
      </c>
      <c r="Y57" s="12">
        <v>30.75</v>
      </c>
      <c r="Z57" s="12">
        <v>29.8</v>
      </c>
      <c r="AA57" s="12">
        <v>30.3</v>
      </c>
      <c r="AB57" s="105">
        <v>13398900</v>
      </c>
      <c r="AC57" s="12">
        <v>29.92</v>
      </c>
      <c r="AD57" s="2">
        <f t="shared" si="0"/>
        <v>0.94999999999999929</v>
      </c>
      <c r="AE57" s="148">
        <f t="shared" si="1"/>
        <v>1.3386880856760541E-3</v>
      </c>
    </row>
    <row r="58" spans="15:31" x14ac:dyDescent="0.25">
      <c r="O58" s="93">
        <v>0.94</v>
      </c>
      <c r="P58" s="93">
        <f t="shared" si="3"/>
        <v>28.641799999999996</v>
      </c>
      <c r="W58" s="143">
        <v>42380</v>
      </c>
      <c r="X58" s="12">
        <v>30.37</v>
      </c>
      <c r="Y58" s="12">
        <v>30.48</v>
      </c>
      <c r="Z58" s="12">
        <v>29.68</v>
      </c>
      <c r="AA58" s="12">
        <v>30.25</v>
      </c>
      <c r="AB58" s="105">
        <v>16877400</v>
      </c>
      <c r="AC58" s="12">
        <v>29.88</v>
      </c>
      <c r="AD58" s="2">
        <f t="shared" si="0"/>
        <v>0.80000000000000071</v>
      </c>
      <c r="AE58" s="148">
        <f t="shared" si="1"/>
        <v>2.4691358024691246E-2</v>
      </c>
    </row>
    <row r="59" spans="15:31" x14ac:dyDescent="0.25">
      <c r="O59" s="93">
        <v>0.93</v>
      </c>
      <c r="P59" s="93">
        <f t="shared" si="3"/>
        <v>28.3371</v>
      </c>
      <c r="W59" s="143">
        <v>42377</v>
      </c>
      <c r="X59" s="12">
        <v>30.46</v>
      </c>
      <c r="Y59" s="12">
        <v>30.7</v>
      </c>
      <c r="Z59" s="12">
        <v>29.42</v>
      </c>
      <c r="AA59" s="12">
        <v>29.53</v>
      </c>
      <c r="AB59" s="105">
        <v>16448000</v>
      </c>
      <c r="AC59" s="12">
        <v>29.16</v>
      </c>
      <c r="AD59" s="2">
        <f t="shared" si="0"/>
        <v>1.2799999999999976</v>
      </c>
      <c r="AE59" s="148">
        <f t="shared" si="1"/>
        <v>-1.5530047265361224E-2</v>
      </c>
    </row>
    <row r="60" spans="15:31" x14ac:dyDescent="0.25">
      <c r="O60" s="93">
        <v>0.92</v>
      </c>
      <c r="P60" s="93">
        <f t="shared" si="3"/>
        <v>28.032399999999999</v>
      </c>
      <c r="W60" s="143">
        <v>42376</v>
      </c>
      <c r="X60" s="12">
        <v>30.26</v>
      </c>
      <c r="Y60" s="12">
        <v>30.82</v>
      </c>
      <c r="Z60" s="12">
        <v>29.83</v>
      </c>
      <c r="AA60" s="12">
        <v>29.99</v>
      </c>
      <c r="AB60" s="105">
        <v>21046300</v>
      </c>
      <c r="AC60" s="12">
        <v>29.62</v>
      </c>
      <c r="AD60" s="2">
        <f t="shared" si="0"/>
        <v>0.99000000000000199</v>
      </c>
      <c r="AE60" s="148">
        <f t="shared" si="1"/>
        <v>-4.0803108808290078E-2</v>
      </c>
    </row>
    <row r="61" spans="15:31" x14ac:dyDescent="0.25">
      <c r="O61" s="93">
        <v>0.91</v>
      </c>
      <c r="P61" s="93">
        <f t="shared" si="3"/>
        <v>27.727699999999999</v>
      </c>
      <c r="W61" s="143">
        <v>42375</v>
      </c>
      <c r="X61" s="12">
        <v>31.95</v>
      </c>
      <c r="Y61" s="12">
        <v>31.98</v>
      </c>
      <c r="Z61" s="12">
        <v>31.01</v>
      </c>
      <c r="AA61" s="12">
        <v>31.27</v>
      </c>
      <c r="AB61" s="105">
        <v>27515200</v>
      </c>
      <c r="AC61" s="12">
        <v>30.88</v>
      </c>
      <c r="AD61" s="2">
        <f t="shared" si="0"/>
        <v>0.96999999999999886</v>
      </c>
      <c r="AE61" s="148">
        <f t="shared" si="1"/>
        <v>-3.5903840149859589E-2</v>
      </c>
    </row>
    <row r="62" spans="15:31" x14ac:dyDescent="0.25">
      <c r="O62" s="93">
        <v>0.9</v>
      </c>
      <c r="P62" s="93">
        <f t="shared" si="3"/>
        <v>27.422999999999998</v>
      </c>
      <c r="W62" s="143">
        <v>42374</v>
      </c>
      <c r="X62" s="12">
        <v>33.33</v>
      </c>
      <c r="Y62" s="12">
        <v>33.409999999999997</v>
      </c>
      <c r="Z62" s="12">
        <v>32.18</v>
      </c>
      <c r="AA62" s="12">
        <v>32.43</v>
      </c>
      <c r="AB62" s="105">
        <v>19777200</v>
      </c>
      <c r="AC62" s="12">
        <v>32.03</v>
      </c>
      <c r="AD62" s="2">
        <f t="shared" si="0"/>
        <v>1.2299999999999969</v>
      </c>
      <c r="AE62" s="148">
        <f t="shared" si="1"/>
        <v>-2.6443768996960437E-2</v>
      </c>
    </row>
    <row r="63" spans="15:31" x14ac:dyDescent="0.25">
      <c r="W63" s="143">
        <v>42373</v>
      </c>
      <c r="X63" s="12">
        <v>33.450000000000003</v>
      </c>
      <c r="Y63" s="12">
        <v>33.54</v>
      </c>
      <c r="Z63" s="12">
        <v>32.840000000000003</v>
      </c>
      <c r="AA63" s="12">
        <v>33.31</v>
      </c>
      <c r="AB63" s="105">
        <v>14875500</v>
      </c>
      <c r="AC63" s="12">
        <v>32.9</v>
      </c>
      <c r="AD63" s="2">
        <f t="shared" si="0"/>
        <v>0.69999999999999574</v>
      </c>
      <c r="AE63" s="148">
        <f t="shared" si="1"/>
        <v>-2.0541827924977829E-2</v>
      </c>
    </row>
    <row r="64" spans="15:31" x14ac:dyDescent="0.25">
      <c r="W64" s="143">
        <v>42369</v>
      </c>
      <c r="X64" s="12">
        <v>34.21</v>
      </c>
      <c r="Y64" s="12">
        <v>34.299999999999997</v>
      </c>
      <c r="Z64" s="12">
        <v>34</v>
      </c>
      <c r="AA64" s="12">
        <v>34.01</v>
      </c>
      <c r="AB64" s="105">
        <v>6586000</v>
      </c>
      <c r="AC64" s="12">
        <v>33.590000000000003</v>
      </c>
      <c r="AD64" s="2">
        <f t="shared" si="0"/>
        <v>0.29999999999999716</v>
      </c>
      <c r="AE64" s="148">
        <f t="shared" si="1"/>
        <v>-9.1445427728612527E-3</v>
      </c>
    </row>
    <row r="65" spans="23:31" x14ac:dyDescent="0.25">
      <c r="W65" s="143">
        <v>42368</v>
      </c>
      <c r="X65" s="12">
        <v>34.32</v>
      </c>
      <c r="Y65" s="12">
        <v>34.56</v>
      </c>
      <c r="Z65" s="12">
        <v>34.28</v>
      </c>
      <c r="AA65" s="12">
        <v>34.33</v>
      </c>
      <c r="AB65" s="105">
        <v>4694500</v>
      </c>
      <c r="AC65" s="12">
        <v>33.9</v>
      </c>
      <c r="AD65" s="2">
        <f t="shared" si="0"/>
        <v>0.28000000000000114</v>
      </c>
      <c r="AE65" s="148">
        <f t="shared" si="1"/>
        <v>-4.9897270325800491E-3</v>
      </c>
    </row>
    <row r="66" spans="23:31" x14ac:dyDescent="0.25">
      <c r="W66" s="143">
        <v>42367</v>
      </c>
      <c r="X66" s="12">
        <v>34.659999999999997</v>
      </c>
      <c r="Y66" s="12">
        <v>34.69</v>
      </c>
      <c r="Z66" s="12">
        <v>34.17</v>
      </c>
      <c r="AA66" s="12">
        <v>34.5</v>
      </c>
      <c r="AB66" s="105">
        <v>7056400</v>
      </c>
      <c r="AC66" s="12">
        <v>34.07</v>
      </c>
      <c r="AD66" s="2">
        <f t="shared" si="0"/>
        <v>0.51999999999999602</v>
      </c>
      <c r="AE66" s="148">
        <f t="shared" si="1"/>
        <v>-2.934272300468832E-4</v>
      </c>
    </row>
    <row r="67" spans="23:31" x14ac:dyDescent="0.25">
      <c r="W67" s="143">
        <v>42366</v>
      </c>
      <c r="X67" s="12">
        <v>34.53</v>
      </c>
      <c r="Y67" s="12">
        <v>34.67</v>
      </c>
      <c r="Z67" s="12">
        <v>34.299999999999997</v>
      </c>
      <c r="AA67" s="12">
        <v>34.51</v>
      </c>
      <c r="AB67" s="105">
        <v>5348600</v>
      </c>
      <c r="AC67" s="12">
        <v>34.08</v>
      </c>
      <c r="AD67" s="2">
        <f t="shared" ref="AD67:AD68" si="4">Y67-Z67</f>
        <v>0.37000000000000455</v>
      </c>
      <c r="AE67" s="148">
        <f t="shared" ref="AE67" si="5">AC67/AC68-1</f>
        <v>-2.6338893766463256E-3</v>
      </c>
    </row>
    <row r="68" spans="23:31" x14ac:dyDescent="0.25">
      <c r="W68" s="143">
        <v>42362</v>
      </c>
      <c r="X68" s="12">
        <v>34.72</v>
      </c>
      <c r="Y68" s="12">
        <v>34.75</v>
      </c>
      <c r="Z68" s="12">
        <v>34.5</v>
      </c>
      <c r="AA68" s="12">
        <v>34.6</v>
      </c>
      <c r="AB68" s="105">
        <v>3134800</v>
      </c>
      <c r="AC68" s="12">
        <v>34.17</v>
      </c>
      <c r="AD68" s="2">
        <f t="shared" si="4"/>
        <v>0.25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7" priority="10">
      <formula>Q7&gt;0</formula>
    </cfRule>
    <cfRule type="expression" dxfId="56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5" priority="3">
      <formula>F13&gt;0</formula>
    </cfRule>
    <cfRule type="expression" dxfId="54" priority="4">
      <formula>F13&lt;0</formula>
    </cfRule>
  </conditionalFormatting>
  <conditionalFormatting sqref="H13:H17">
    <cfRule type="expression" dxfId="53" priority="1">
      <formula>H13&gt;0</formula>
    </cfRule>
    <cfRule type="expression" dxfId="52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160</v>
      </c>
      <c r="W2" s="143">
        <v>42460</v>
      </c>
      <c r="X2" s="12">
        <v>140.75</v>
      </c>
      <c r="Y2" s="12">
        <v>142.21</v>
      </c>
      <c r="Z2" s="12">
        <v>140.13999999999999</v>
      </c>
      <c r="AA2" s="12">
        <v>141.59</v>
      </c>
      <c r="AB2" s="105">
        <v>1145500</v>
      </c>
      <c r="AC2" s="12">
        <v>141.59</v>
      </c>
      <c r="AD2" s="2"/>
      <c r="AE2" s="148"/>
      <c r="AP2" t="s">
        <v>185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142.66999999999999</v>
      </c>
      <c r="W3" s="143">
        <v>42459</v>
      </c>
      <c r="X3" s="12">
        <v>141.04</v>
      </c>
      <c r="Y3" s="12">
        <v>142.04</v>
      </c>
      <c r="Z3" s="12">
        <v>140.35</v>
      </c>
      <c r="AA3" s="12">
        <v>140.79</v>
      </c>
      <c r="AB3" s="105">
        <v>879000</v>
      </c>
      <c r="AC3" s="12">
        <v>140.79</v>
      </c>
      <c r="AD3" s="2"/>
      <c r="AE3" s="148"/>
      <c r="AI3" t="s">
        <v>199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142.66999999999999</v>
      </c>
      <c r="W4" s="143">
        <v>42458</v>
      </c>
      <c r="X4" s="12">
        <v>138.38999999999999</v>
      </c>
      <c r="Y4" s="12">
        <v>140.28</v>
      </c>
      <c r="Z4" s="12">
        <v>137.69999999999999</v>
      </c>
      <c r="AA4" s="12">
        <v>140.15</v>
      </c>
      <c r="AB4" s="105">
        <v>1199700</v>
      </c>
      <c r="AC4" s="12">
        <v>140.15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42457</v>
      </c>
      <c r="X5" s="12">
        <v>139.59</v>
      </c>
      <c r="Y5" s="12">
        <v>139.88</v>
      </c>
      <c r="Z5" s="12">
        <v>138.12</v>
      </c>
      <c r="AA5" s="12">
        <v>138.53</v>
      </c>
      <c r="AB5" s="105">
        <v>826500</v>
      </c>
      <c r="AC5" s="12">
        <v>138.53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42453</v>
      </c>
      <c r="X6" s="12">
        <v>138.15</v>
      </c>
      <c r="Y6" s="12">
        <v>139.22</v>
      </c>
      <c r="Z6" s="12">
        <v>137.4</v>
      </c>
      <c r="AA6" s="12">
        <v>139.02000000000001</v>
      </c>
      <c r="AB6" s="105">
        <v>992800</v>
      </c>
      <c r="AC6" s="12">
        <v>139.02000000000001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42452</v>
      </c>
      <c r="X7" s="12">
        <v>139</v>
      </c>
      <c r="Y7" s="12">
        <v>139.75</v>
      </c>
      <c r="Z7" s="12">
        <v>138.41999999999999</v>
      </c>
      <c r="AA7" s="12">
        <v>138.82</v>
      </c>
      <c r="AB7" s="105">
        <v>1070300</v>
      </c>
      <c r="AC7" s="12">
        <v>138.82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42451</v>
      </c>
      <c r="X8" s="12">
        <v>139.15</v>
      </c>
      <c r="Y8" s="12">
        <v>139.97999999999999</v>
      </c>
      <c r="Z8" s="12">
        <v>138.38</v>
      </c>
      <c r="AA8" s="12">
        <v>138.85</v>
      </c>
      <c r="AB8" s="105">
        <v>1609100</v>
      </c>
      <c r="AC8" s="12">
        <v>138.85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42450</v>
      </c>
      <c r="X9" s="12">
        <v>139.5</v>
      </c>
      <c r="Y9" s="12">
        <v>140.18</v>
      </c>
      <c r="Z9" s="12">
        <v>138.88</v>
      </c>
      <c r="AA9" s="12">
        <v>139.63</v>
      </c>
      <c r="AB9" s="105">
        <v>1265000</v>
      </c>
      <c r="AC9" s="12">
        <v>139.63</v>
      </c>
      <c r="AD9" s="2"/>
      <c r="AE9" s="148"/>
    </row>
    <row r="10" spans="1:43" x14ac:dyDescent="0.25">
      <c r="W10" s="143">
        <v>42447</v>
      </c>
      <c r="X10" s="12">
        <v>138.85</v>
      </c>
      <c r="Y10" s="12">
        <v>140.77000000000001</v>
      </c>
      <c r="Z10" s="12">
        <v>137.76</v>
      </c>
      <c r="AA10" s="12">
        <v>140</v>
      </c>
      <c r="AB10" s="105">
        <v>3238100</v>
      </c>
      <c r="AC10" s="12">
        <v>140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42446</v>
      </c>
      <c r="X11" s="12">
        <v>138.81</v>
      </c>
      <c r="Y11" s="12">
        <v>139.33000000000001</v>
      </c>
      <c r="Z11" s="12">
        <v>136.58000000000001</v>
      </c>
      <c r="AA11" s="12">
        <v>138.25</v>
      </c>
      <c r="AB11" s="105">
        <v>2379100</v>
      </c>
      <c r="AC11" s="12">
        <v>138.25</v>
      </c>
      <c r="AD11" s="2"/>
      <c r="AE11" s="148"/>
    </row>
    <row r="12" spans="1:43" x14ac:dyDescent="0.25">
      <c r="W12" s="143">
        <v>42445</v>
      </c>
      <c r="X12" s="12">
        <v>138.29</v>
      </c>
      <c r="Y12" s="12">
        <v>139.43</v>
      </c>
      <c r="Z12" s="12">
        <v>137.46</v>
      </c>
      <c r="AA12" s="12">
        <v>139.08000000000001</v>
      </c>
      <c r="AB12" s="105">
        <v>1254900</v>
      </c>
      <c r="AC12" s="12">
        <v>139.08000000000001</v>
      </c>
      <c r="AD12" s="2"/>
      <c r="AE12" s="148"/>
    </row>
    <row r="13" spans="1:43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3" t="s">
        <v>65</v>
      </c>
      <c r="G13" s="253" t="s">
        <v>172</v>
      </c>
      <c r="H13" s="213" t="s">
        <v>90</v>
      </c>
      <c r="I13" s="212" t="s">
        <v>179</v>
      </c>
      <c r="W13" s="143">
        <v>42444</v>
      </c>
      <c r="X13" s="12">
        <v>138.59</v>
      </c>
      <c r="Y13" s="12">
        <v>138.77000000000001</v>
      </c>
      <c r="Z13" s="12">
        <v>137.03</v>
      </c>
      <c r="AA13" s="12">
        <v>138.26</v>
      </c>
      <c r="AB13" s="105">
        <v>1524200</v>
      </c>
      <c r="AC13" s="12">
        <v>138.26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42443</v>
      </c>
      <c r="X14" s="12">
        <v>139.61000000000001</v>
      </c>
      <c r="Y14" s="12">
        <v>140.57</v>
      </c>
      <c r="Z14" s="12">
        <v>138.86000000000001</v>
      </c>
      <c r="AA14" s="12">
        <v>139.77000000000001</v>
      </c>
      <c r="AB14" s="105">
        <v>1124300</v>
      </c>
      <c r="AC14" s="12">
        <v>139.77000000000001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42440</v>
      </c>
      <c r="X15" s="12">
        <v>138.88</v>
      </c>
      <c r="Y15" s="12">
        <v>140.86000000000001</v>
      </c>
      <c r="Z15" s="12">
        <v>138.80000000000001</v>
      </c>
      <c r="AA15" s="12">
        <v>140.22</v>
      </c>
      <c r="AB15" s="105">
        <v>2036100</v>
      </c>
      <c r="AC15" s="12">
        <v>140.22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42440</v>
      </c>
      <c r="X16" s="12" t="s">
        <v>219</v>
      </c>
      <c r="Y16" s="12"/>
      <c r="Z16" s="12"/>
      <c r="AA16" s="12"/>
      <c r="AB16" s="105"/>
      <c r="AC16" s="12"/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42439</v>
      </c>
      <c r="X17" s="12">
        <v>138.94</v>
      </c>
      <c r="Y17" s="12">
        <v>140.16</v>
      </c>
      <c r="Z17" s="12">
        <v>136.69999999999999</v>
      </c>
      <c r="AA17" s="12">
        <v>137.96</v>
      </c>
      <c r="AB17" s="105">
        <v>2398700</v>
      </c>
      <c r="AC17" s="12">
        <v>137.81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42438</v>
      </c>
      <c r="X18" s="12">
        <v>139.65</v>
      </c>
      <c r="Y18" s="12">
        <v>140.27000000000001</v>
      </c>
      <c r="Z18" s="12">
        <v>137.47</v>
      </c>
      <c r="AA18" s="12">
        <v>138.15</v>
      </c>
      <c r="AB18" s="105">
        <v>2588800</v>
      </c>
      <c r="AC18" s="12">
        <v>138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42437</v>
      </c>
      <c r="X19" s="12">
        <v>140.24</v>
      </c>
      <c r="Y19" s="12">
        <v>141.03</v>
      </c>
      <c r="Z19" s="12">
        <v>138.78</v>
      </c>
      <c r="AA19" s="12">
        <v>139.08000000000001</v>
      </c>
      <c r="AB19" s="105">
        <v>2202500</v>
      </c>
      <c r="AC19" s="12">
        <v>138.93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42436</v>
      </c>
      <c r="X20" s="12">
        <v>138.72</v>
      </c>
      <c r="Y20" s="12">
        <v>141.62</v>
      </c>
      <c r="Z20" s="12">
        <v>137.29</v>
      </c>
      <c r="AA20" s="12">
        <v>141.55000000000001</v>
      </c>
      <c r="AB20" s="105">
        <v>3182900</v>
      </c>
      <c r="AC20" s="12">
        <v>141.4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42433</v>
      </c>
      <c r="X21" s="12">
        <v>138.78</v>
      </c>
      <c r="Y21" s="12">
        <v>140.99</v>
      </c>
      <c r="Z21" s="12">
        <v>138.46</v>
      </c>
      <c r="AA21" s="12">
        <v>140.30000000000001</v>
      </c>
      <c r="AB21" s="105">
        <v>2355700</v>
      </c>
      <c r="AC21" s="12">
        <v>140.15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42432</v>
      </c>
      <c r="X22" s="12">
        <v>137.75</v>
      </c>
      <c r="Y22" s="12">
        <v>139.04</v>
      </c>
      <c r="Z22" s="12">
        <v>136.46</v>
      </c>
      <c r="AA22" s="12">
        <v>138.66999999999999</v>
      </c>
      <c r="AB22" s="105">
        <v>2122100</v>
      </c>
      <c r="AC22" s="12">
        <v>138.52000000000001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42431</v>
      </c>
      <c r="X23" s="12">
        <v>134.84</v>
      </c>
      <c r="Y23" s="12">
        <v>138.58000000000001</v>
      </c>
      <c r="Z23" s="12">
        <v>134.72</v>
      </c>
      <c r="AA23" s="12">
        <v>138.12</v>
      </c>
      <c r="AB23" s="105">
        <v>3278200</v>
      </c>
      <c r="AC23" s="12">
        <v>137.97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42430</v>
      </c>
      <c r="X24" s="12">
        <v>129.84</v>
      </c>
      <c r="Y24" s="12">
        <v>135.74</v>
      </c>
      <c r="Z24" s="12">
        <v>129.69999999999999</v>
      </c>
      <c r="AA24" s="12">
        <v>135.28</v>
      </c>
      <c r="AB24" s="105">
        <v>2598200</v>
      </c>
      <c r="AC24" s="12">
        <v>135.13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42429</v>
      </c>
      <c r="X25" s="12">
        <v>130.24</v>
      </c>
      <c r="Y25" s="12">
        <v>131.04</v>
      </c>
      <c r="Z25" s="12">
        <v>129.13</v>
      </c>
      <c r="AA25" s="12">
        <v>129.19</v>
      </c>
      <c r="AB25" s="105">
        <v>2237200</v>
      </c>
      <c r="AC25" s="12">
        <v>129.05000000000001</v>
      </c>
      <c r="AD25" s="2"/>
      <c r="AE25" s="148"/>
    </row>
    <row r="26" spans="2:31" x14ac:dyDescent="0.25">
      <c r="W26" s="143">
        <v>42426</v>
      </c>
      <c r="X26" s="12">
        <v>130.94</v>
      </c>
      <c r="Y26" s="12">
        <v>131.6</v>
      </c>
      <c r="Z26" s="12">
        <v>130.27000000000001</v>
      </c>
      <c r="AA26" s="12">
        <v>130.71</v>
      </c>
      <c r="AB26" s="105">
        <v>897200</v>
      </c>
      <c r="AC26" s="12">
        <v>130.57</v>
      </c>
      <c r="AD26" s="2"/>
      <c r="AE26" s="148"/>
    </row>
    <row r="27" spans="2:31" x14ac:dyDescent="0.25">
      <c r="W27" s="143">
        <v>42425</v>
      </c>
      <c r="X27" s="12">
        <v>130</v>
      </c>
      <c r="Y27" s="12">
        <v>130.99</v>
      </c>
      <c r="Z27" s="12">
        <v>129.08000000000001</v>
      </c>
      <c r="AA27" s="12">
        <v>130.57</v>
      </c>
      <c r="AB27" s="105">
        <v>1077700</v>
      </c>
      <c r="AC27" s="12">
        <v>130.43</v>
      </c>
      <c r="AD27" s="2"/>
      <c r="AE27" s="148"/>
    </row>
    <row r="28" spans="2:31" x14ac:dyDescent="0.25">
      <c r="W28" s="143">
        <v>42424</v>
      </c>
      <c r="X28" s="12">
        <v>128.38</v>
      </c>
      <c r="Y28" s="12">
        <v>130.07</v>
      </c>
      <c r="Z28" s="12">
        <v>127.65</v>
      </c>
      <c r="AA28" s="12">
        <v>129.77000000000001</v>
      </c>
      <c r="AB28" s="105">
        <v>924600</v>
      </c>
      <c r="AC28" s="12">
        <v>129.63</v>
      </c>
      <c r="AD28" s="2"/>
      <c r="AE28" s="148"/>
    </row>
    <row r="29" spans="2:31" x14ac:dyDescent="0.25">
      <c r="W29" s="143">
        <v>42423</v>
      </c>
      <c r="X29" s="12">
        <v>131.03</v>
      </c>
      <c r="Y29" s="12">
        <v>131.62</v>
      </c>
      <c r="Z29" s="12">
        <v>128.84</v>
      </c>
      <c r="AA29" s="12">
        <v>129.74</v>
      </c>
      <c r="AB29" s="105">
        <v>1244200</v>
      </c>
      <c r="AC29" s="12">
        <v>129.6</v>
      </c>
      <c r="AD29" s="2"/>
      <c r="AE29" s="148"/>
    </row>
    <row r="30" spans="2:31" x14ac:dyDescent="0.25">
      <c r="W30" s="143">
        <v>42422</v>
      </c>
      <c r="X30" s="12">
        <v>131</v>
      </c>
      <c r="Y30" s="12">
        <v>131.99</v>
      </c>
      <c r="Z30" s="12">
        <v>130.32</v>
      </c>
      <c r="AA30" s="12">
        <v>131.44</v>
      </c>
      <c r="AB30" s="105">
        <v>937100</v>
      </c>
      <c r="AC30" s="12">
        <v>131.30000000000001</v>
      </c>
      <c r="AD30" s="2"/>
      <c r="AE30" s="148"/>
    </row>
    <row r="31" spans="2:31" x14ac:dyDescent="0.25">
      <c r="W31" s="143">
        <v>42419</v>
      </c>
      <c r="X31" s="12">
        <v>129.52000000000001</v>
      </c>
      <c r="Y31" s="12">
        <v>130.76</v>
      </c>
      <c r="Z31" s="12">
        <v>128.31</v>
      </c>
      <c r="AA31" s="12">
        <v>130.16</v>
      </c>
      <c r="AB31" s="105">
        <v>1303300</v>
      </c>
      <c r="AC31" s="12">
        <v>130.02000000000001</v>
      </c>
      <c r="AD31" s="2"/>
      <c r="AE31" s="148"/>
    </row>
    <row r="32" spans="2:31" x14ac:dyDescent="0.25">
      <c r="W32" s="143">
        <v>42418</v>
      </c>
      <c r="X32" s="12">
        <v>130.26</v>
      </c>
      <c r="Y32" s="12">
        <v>131.37</v>
      </c>
      <c r="Z32" s="12">
        <v>129.29</v>
      </c>
      <c r="AA32" s="12">
        <v>129.69</v>
      </c>
      <c r="AB32" s="105">
        <v>1292900</v>
      </c>
      <c r="AC32" s="12">
        <v>129.55000000000001</v>
      </c>
      <c r="AD32" s="2"/>
      <c r="AE32" s="148"/>
    </row>
    <row r="33" spans="15:31" x14ac:dyDescent="0.25">
      <c r="W33" s="143">
        <v>42417</v>
      </c>
      <c r="X33" s="12">
        <v>128.16999999999999</v>
      </c>
      <c r="Y33" s="12">
        <v>131.61000000000001</v>
      </c>
      <c r="Z33" s="12">
        <v>127.56</v>
      </c>
      <c r="AA33" s="12">
        <v>130.69999999999999</v>
      </c>
      <c r="AB33" s="105">
        <v>1832400</v>
      </c>
      <c r="AC33" s="12">
        <v>130.56</v>
      </c>
      <c r="AD33" s="2"/>
      <c r="AE33" s="148"/>
    </row>
    <row r="34" spans="15:31" x14ac:dyDescent="0.25">
      <c r="W34" s="143">
        <v>42416</v>
      </c>
      <c r="X34" s="12">
        <v>127.72</v>
      </c>
      <c r="Y34" s="12">
        <v>128.41999999999999</v>
      </c>
      <c r="Z34" s="12">
        <v>126.42</v>
      </c>
      <c r="AA34" s="12">
        <v>127.42</v>
      </c>
      <c r="AB34" s="105">
        <v>2466400</v>
      </c>
      <c r="AC34" s="12">
        <v>127.28</v>
      </c>
      <c r="AD34" s="2"/>
      <c r="AE34" s="148"/>
    </row>
    <row r="35" spans="15:31" x14ac:dyDescent="0.25">
      <c r="W35" s="143">
        <v>42412</v>
      </c>
      <c r="X35" s="12">
        <v>124.52</v>
      </c>
      <c r="Y35" s="12">
        <v>126.55</v>
      </c>
      <c r="Z35" s="12">
        <v>123.96</v>
      </c>
      <c r="AA35" s="12">
        <v>126.48</v>
      </c>
      <c r="AB35" s="105">
        <v>1574400</v>
      </c>
      <c r="AC35" s="12">
        <v>126.34</v>
      </c>
      <c r="AD35" s="2"/>
      <c r="AE35" s="148"/>
    </row>
    <row r="36" spans="15:31" x14ac:dyDescent="0.25">
      <c r="W36" s="143">
        <v>42411</v>
      </c>
      <c r="X36" s="12">
        <v>122.86</v>
      </c>
      <c r="Y36" s="12">
        <v>124.29</v>
      </c>
      <c r="Z36" s="12">
        <v>122.25</v>
      </c>
      <c r="AA36" s="12">
        <v>123.3</v>
      </c>
      <c r="AB36" s="105">
        <v>1441900</v>
      </c>
      <c r="AC36" s="12">
        <v>123.17</v>
      </c>
      <c r="AD36" s="2"/>
      <c r="AE36" s="148"/>
    </row>
    <row r="37" spans="15:31" x14ac:dyDescent="0.25">
      <c r="W37" s="143">
        <v>42410</v>
      </c>
      <c r="X37" s="12">
        <v>126.07</v>
      </c>
      <c r="Y37" s="12">
        <v>129</v>
      </c>
      <c r="Z37" s="12">
        <v>125.22</v>
      </c>
      <c r="AA37" s="12">
        <v>125.46</v>
      </c>
      <c r="AB37" s="105">
        <v>1584400</v>
      </c>
      <c r="AC37" s="12">
        <v>125.32</v>
      </c>
      <c r="AD37" s="2"/>
      <c r="AE37" s="148"/>
    </row>
    <row r="38" spans="15:31" x14ac:dyDescent="0.25">
      <c r="W38" s="143">
        <v>42409</v>
      </c>
      <c r="X38" s="12">
        <v>121.03</v>
      </c>
      <c r="Y38" s="12">
        <v>125.47</v>
      </c>
      <c r="Z38" s="12">
        <v>120.73</v>
      </c>
      <c r="AA38" s="12">
        <v>124.45</v>
      </c>
      <c r="AB38" s="105">
        <v>2855100</v>
      </c>
      <c r="AC38" s="12">
        <v>124.31</v>
      </c>
      <c r="AD38" s="2"/>
      <c r="AE38" s="148"/>
    </row>
    <row r="39" spans="15:31" x14ac:dyDescent="0.25">
      <c r="W39" s="143">
        <v>42408</v>
      </c>
      <c r="X39" s="12">
        <v>121.75</v>
      </c>
      <c r="Y39" s="12">
        <v>122.82</v>
      </c>
      <c r="Z39" s="12">
        <v>119.75</v>
      </c>
      <c r="AA39" s="12">
        <v>121.94</v>
      </c>
      <c r="AB39" s="105">
        <v>2958400</v>
      </c>
      <c r="AC39" s="12">
        <v>121.81</v>
      </c>
      <c r="AD39" s="2"/>
      <c r="AE39" s="148"/>
    </row>
    <row r="40" spans="15:31" x14ac:dyDescent="0.25">
      <c r="W40" s="143">
        <v>42405</v>
      </c>
      <c r="X40" s="12">
        <v>127</v>
      </c>
      <c r="Y40" s="12">
        <v>127.25</v>
      </c>
      <c r="Z40" s="12">
        <v>121.3</v>
      </c>
      <c r="AA40" s="12">
        <v>123.18</v>
      </c>
      <c r="AB40" s="105">
        <v>4172100</v>
      </c>
      <c r="AC40" s="12">
        <v>123.05</v>
      </c>
      <c r="AD40" s="2"/>
      <c r="AE40" s="148"/>
    </row>
    <row r="41" spans="15:31" x14ac:dyDescent="0.25">
      <c r="W41" s="143">
        <v>42404</v>
      </c>
      <c r="X41" s="12">
        <v>126.36</v>
      </c>
      <c r="Y41" s="12">
        <v>128.61000000000001</v>
      </c>
      <c r="Z41" s="12">
        <v>125.95</v>
      </c>
      <c r="AA41" s="12">
        <v>127.8</v>
      </c>
      <c r="AB41" s="105">
        <v>2319000</v>
      </c>
      <c r="AC41" s="12">
        <v>127.66</v>
      </c>
      <c r="AD41" s="2"/>
      <c r="AE41" s="148"/>
    </row>
    <row r="42" spans="15:31" x14ac:dyDescent="0.25">
      <c r="W42" s="143">
        <v>42403</v>
      </c>
      <c r="X42" s="12">
        <v>127.94</v>
      </c>
      <c r="Y42" s="12">
        <v>127.94</v>
      </c>
      <c r="Z42" s="12">
        <v>123.19</v>
      </c>
      <c r="AA42" s="12">
        <v>126.05</v>
      </c>
      <c r="AB42" s="105">
        <v>2984400</v>
      </c>
      <c r="AC42" s="12">
        <v>125.91</v>
      </c>
      <c r="AD42" s="2"/>
      <c r="AE42" s="148"/>
    </row>
    <row r="43" spans="15:31" x14ac:dyDescent="0.25">
      <c r="W43" s="143">
        <v>42402</v>
      </c>
      <c r="X43" s="12">
        <v>129.31</v>
      </c>
      <c r="Y43" s="12">
        <v>129.86000000000001</v>
      </c>
      <c r="Z43" s="12">
        <v>126.53</v>
      </c>
      <c r="AA43" s="12">
        <v>126.89</v>
      </c>
      <c r="AB43" s="105">
        <v>1838100</v>
      </c>
      <c r="AC43" s="12">
        <v>126.75</v>
      </c>
      <c r="AD43" s="2"/>
      <c r="AE43" s="148"/>
    </row>
    <row r="44" spans="15:31" x14ac:dyDescent="0.25">
      <c r="W44" s="143">
        <v>42401</v>
      </c>
      <c r="X44" s="12">
        <v>131.26</v>
      </c>
      <c r="Y44" s="12">
        <v>132.1</v>
      </c>
      <c r="Z44" s="12">
        <v>129.63999999999999</v>
      </c>
      <c r="AA44" s="12">
        <v>130.69</v>
      </c>
      <c r="AB44" s="105">
        <v>1772100</v>
      </c>
      <c r="AC44" s="12">
        <v>130.55000000000001</v>
      </c>
      <c r="AD44" s="2"/>
      <c r="AE44" s="148"/>
    </row>
    <row r="45" spans="15:31" ht="20.25" thickBot="1" x14ac:dyDescent="0.35">
      <c r="O45" s="420" t="s">
        <v>78</v>
      </c>
      <c r="P45" s="420"/>
      <c r="T45" s="101" t="s">
        <v>116</v>
      </c>
      <c r="W45" s="143">
        <v>42398</v>
      </c>
      <c r="X45" s="12">
        <v>129.07</v>
      </c>
      <c r="Y45" s="12">
        <v>132.06</v>
      </c>
      <c r="Z45" s="12">
        <v>128.6</v>
      </c>
      <c r="AA45" s="12">
        <v>132.06</v>
      </c>
      <c r="AB45" s="105">
        <v>3189500</v>
      </c>
      <c r="AC45" s="12">
        <v>131.91999999999999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156.93700000000001</v>
      </c>
      <c r="Q46" s="2"/>
      <c r="T46" s="385" t="s">
        <v>101</v>
      </c>
      <c r="U46" s="385">
        <v>141.59</v>
      </c>
      <c r="W46" s="143">
        <v>42397</v>
      </c>
      <c r="X46" s="12">
        <v>130.86000000000001</v>
      </c>
      <c r="Y46" s="12">
        <v>133</v>
      </c>
      <c r="Z46" s="12">
        <v>127.18</v>
      </c>
      <c r="AA46" s="12">
        <v>128.16999999999999</v>
      </c>
      <c r="AB46" s="105">
        <v>4609900</v>
      </c>
      <c r="AC46" s="12">
        <v>128.03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155.5103</v>
      </c>
      <c r="Q47" s="2"/>
      <c r="T47" s="110" t="s">
        <v>102</v>
      </c>
      <c r="U47" s="110" t="s">
        <v>134</v>
      </c>
      <c r="W47" s="143">
        <v>42396</v>
      </c>
      <c r="X47" s="12">
        <v>134.05000000000001</v>
      </c>
      <c r="Y47" s="12">
        <v>137.21</v>
      </c>
      <c r="Z47" s="12">
        <v>133.34</v>
      </c>
      <c r="AA47" s="12">
        <v>135.83000000000001</v>
      </c>
      <c r="AB47" s="105">
        <v>3308900</v>
      </c>
      <c r="AC47" s="12">
        <v>135.68</v>
      </c>
      <c r="AD47" s="2"/>
      <c r="AE47" s="148"/>
    </row>
    <row r="48" spans="15:31" x14ac:dyDescent="0.25">
      <c r="O48" s="93">
        <v>1.08</v>
      </c>
      <c r="P48" s="93">
        <f t="shared" si="0"/>
        <v>154.08359999999999</v>
      </c>
      <c r="Q48" s="2"/>
      <c r="T48" s="110" t="s">
        <v>103</v>
      </c>
      <c r="U48" s="110" t="s">
        <v>134</v>
      </c>
      <c r="W48" s="143">
        <v>42395</v>
      </c>
      <c r="X48" s="12">
        <v>134.59</v>
      </c>
      <c r="Y48" s="12">
        <v>135.06</v>
      </c>
      <c r="Z48" s="12">
        <v>132.07</v>
      </c>
      <c r="AA48" s="12">
        <v>134.1</v>
      </c>
      <c r="AB48" s="105">
        <v>1721600</v>
      </c>
      <c r="AC48" s="12">
        <v>133.94999999999999</v>
      </c>
      <c r="AD48" s="2"/>
      <c r="AE48" s="148"/>
    </row>
    <row r="49" spans="15:31" x14ac:dyDescent="0.25">
      <c r="O49" s="93">
        <v>1.07</v>
      </c>
      <c r="P49" s="93">
        <f t="shared" si="0"/>
        <v>152.65690000000001</v>
      </c>
      <c r="Q49" s="2"/>
      <c r="T49" s="110" t="s">
        <v>104</v>
      </c>
      <c r="U49" s="110" t="s">
        <v>134</v>
      </c>
      <c r="W49" s="143">
        <v>42394</v>
      </c>
      <c r="X49" s="12">
        <v>134.72999999999999</v>
      </c>
      <c r="Y49" s="12">
        <v>136.25</v>
      </c>
      <c r="Z49" s="12">
        <v>134.28</v>
      </c>
      <c r="AA49" s="12">
        <v>134.72999999999999</v>
      </c>
      <c r="AB49" s="105">
        <v>1320500</v>
      </c>
      <c r="AC49" s="12">
        <v>134.58000000000001</v>
      </c>
      <c r="AD49" s="2"/>
      <c r="AE49" s="148"/>
    </row>
    <row r="50" spans="15:31" x14ac:dyDescent="0.25">
      <c r="O50" s="93">
        <v>1.06</v>
      </c>
      <c r="P50" s="93">
        <f t="shared" si="0"/>
        <v>151.2302</v>
      </c>
      <c r="Q50" s="2"/>
      <c r="T50" s="110" t="s">
        <v>105</v>
      </c>
      <c r="U50" s="110">
        <v>150.97</v>
      </c>
      <c r="W50" s="143">
        <v>42391</v>
      </c>
      <c r="X50" s="12">
        <v>133.59</v>
      </c>
      <c r="Y50" s="12">
        <v>135.4</v>
      </c>
      <c r="Z50" s="12">
        <v>132.91999999999999</v>
      </c>
      <c r="AA50" s="12">
        <v>135.31</v>
      </c>
      <c r="AB50" s="105">
        <v>1930000</v>
      </c>
      <c r="AC50" s="12">
        <v>135.16</v>
      </c>
      <c r="AD50" s="2"/>
      <c r="AE50" s="148"/>
    </row>
    <row r="51" spans="15:31" x14ac:dyDescent="0.25">
      <c r="O51" s="93">
        <v>1.05</v>
      </c>
      <c r="P51" s="93">
        <f t="shared" si="0"/>
        <v>149.80349999999999</v>
      </c>
      <c r="Q51" s="2"/>
      <c r="T51" s="110" t="s">
        <v>106</v>
      </c>
      <c r="U51" s="110">
        <v>0.97979799999999995</v>
      </c>
      <c r="W51" s="143">
        <v>42390</v>
      </c>
      <c r="X51" s="12">
        <v>133.47</v>
      </c>
      <c r="Y51" s="12">
        <v>133.61000000000001</v>
      </c>
      <c r="Z51" s="12">
        <v>130.74</v>
      </c>
      <c r="AA51" s="12">
        <v>131.68</v>
      </c>
      <c r="AB51" s="105">
        <v>2193500</v>
      </c>
      <c r="AC51" s="12">
        <v>131.54</v>
      </c>
      <c r="AD51" s="2"/>
      <c r="AE51" s="148"/>
    </row>
    <row r="52" spans="15:31" x14ac:dyDescent="0.25">
      <c r="O52" s="93">
        <v>1.04</v>
      </c>
      <c r="P52" s="93">
        <f t="shared" si="0"/>
        <v>148.3768</v>
      </c>
      <c r="Q52" s="2"/>
      <c r="T52" s="110" t="s">
        <v>126</v>
      </c>
      <c r="U52" s="110" t="s">
        <v>220</v>
      </c>
      <c r="W52" s="143">
        <v>42389</v>
      </c>
      <c r="X52" s="12">
        <v>132.66</v>
      </c>
      <c r="Y52" s="12">
        <v>134.66</v>
      </c>
      <c r="Z52" s="12">
        <v>129.54</v>
      </c>
      <c r="AA52" s="12">
        <v>133.05000000000001</v>
      </c>
      <c r="AB52" s="105">
        <v>2917500</v>
      </c>
      <c r="AC52" s="12">
        <v>132.91</v>
      </c>
      <c r="AD52" s="2"/>
      <c r="AE52" s="148"/>
    </row>
    <row r="53" spans="15:31" x14ac:dyDescent="0.25">
      <c r="O53" s="93">
        <v>1.03</v>
      </c>
      <c r="P53" s="93">
        <f t="shared" si="0"/>
        <v>146.95009999999999</v>
      </c>
      <c r="Q53" s="2"/>
      <c r="T53" s="110"/>
      <c r="U53" s="110"/>
      <c r="W53" s="143">
        <v>42388</v>
      </c>
      <c r="X53" s="12">
        <v>134.57</v>
      </c>
      <c r="Y53" s="12">
        <v>135.65</v>
      </c>
      <c r="Z53" s="12">
        <v>132.9</v>
      </c>
      <c r="AA53" s="12">
        <v>134.91</v>
      </c>
      <c r="AB53" s="105">
        <v>3007200</v>
      </c>
      <c r="AC53" s="12">
        <v>134.76</v>
      </c>
      <c r="AD53" s="2"/>
      <c r="AE53" s="148"/>
    </row>
    <row r="54" spans="15:31" x14ac:dyDescent="0.25">
      <c r="O54" s="93">
        <v>1.02</v>
      </c>
      <c r="P54" s="93">
        <f t="shared" si="0"/>
        <v>145.52339999999998</v>
      </c>
      <c r="Q54" s="2"/>
      <c r="T54" s="110" t="s">
        <v>108</v>
      </c>
      <c r="U54" s="110" t="s">
        <v>302</v>
      </c>
      <c r="W54" s="143">
        <v>42384</v>
      </c>
      <c r="X54" s="12">
        <v>134.59</v>
      </c>
      <c r="Y54" s="12">
        <v>135.19999999999999</v>
      </c>
      <c r="Z54" s="12">
        <v>130.65</v>
      </c>
      <c r="AA54" s="12">
        <v>132.76</v>
      </c>
      <c r="AB54" s="105">
        <v>3332600</v>
      </c>
      <c r="AC54" s="12">
        <v>132.62</v>
      </c>
      <c r="AD54" s="2"/>
      <c r="AE54" s="148"/>
    </row>
    <row r="55" spans="15:31" x14ac:dyDescent="0.25">
      <c r="O55" s="93">
        <v>1.01</v>
      </c>
      <c r="P55" s="93">
        <f t="shared" si="0"/>
        <v>144.0967</v>
      </c>
      <c r="Q55" s="2"/>
      <c r="T55" s="110" t="s">
        <v>109</v>
      </c>
      <c r="U55" s="110" t="s">
        <v>221</v>
      </c>
      <c r="W55" s="143">
        <v>42383</v>
      </c>
      <c r="X55" s="12">
        <v>133.63999999999999</v>
      </c>
      <c r="Y55" s="12">
        <v>137.36000000000001</v>
      </c>
      <c r="Z55" s="12">
        <v>133.44</v>
      </c>
      <c r="AA55" s="12">
        <v>135.79</v>
      </c>
      <c r="AB55" s="105">
        <v>2871200</v>
      </c>
      <c r="AC55" s="12">
        <v>135.63999999999999</v>
      </c>
      <c r="AD55" s="2"/>
      <c r="AE55" s="148"/>
    </row>
    <row r="56" spans="15:31" x14ac:dyDescent="0.25">
      <c r="O56" s="93">
        <v>1</v>
      </c>
      <c r="P56" s="93">
        <f t="shared" si="0"/>
        <v>142.66999999999999</v>
      </c>
      <c r="Q56" s="2"/>
      <c r="T56" s="110" t="s">
        <v>110</v>
      </c>
      <c r="U56" s="111">
        <v>0</v>
      </c>
      <c r="W56" s="143">
        <v>42382</v>
      </c>
      <c r="X56" s="12">
        <v>137.41999999999999</v>
      </c>
      <c r="Y56" s="12">
        <v>138.01</v>
      </c>
      <c r="Z56" s="12">
        <v>133</v>
      </c>
      <c r="AA56" s="12">
        <v>133.77000000000001</v>
      </c>
      <c r="AB56" s="105">
        <v>2521200</v>
      </c>
      <c r="AC56" s="12">
        <v>133.62</v>
      </c>
      <c r="AD56" s="2"/>
      <c r="AE56" s="148"/>
    </row>
    <row r="57" spans="15:31" x14ac:dyDescent="0.25">
      <c r="O57" s="93">
        <v>0.99</v>
      </c>
      <c r="P57" s="93">
        <f t="shared" si="0"/>
        <v>141.24329999999998</v>
      </c>
      <c r="Q57" s="2"/>
      <c r="T57" s="110" t="s">
        <v>113</v>
      </c>
      <c r="U57" s="111">
        <v>2145860</v>
      </c>
      <c r="W57" s="143">
        <v>42381</v>
      </c>
      <c r="X57" s="12">
        <v>136.29</v>
      </c>
      <c r="Y57" s="12">
        <v>137.9</v>
      </c>
      <c r="Z57" s="12">
        <v>135.54</v>
      </c>
      <c r="AA57" s="12">
        <v>136.97</v>
      </c>
      <c r="AB57" s="105">
        <v>3088000</v>
      </c>
      <c r="AC57" s="12">
        <v>136.82</v>
      </c>
      <c r="AD57" s="2"/>
      <c r="AE57" s="148"/>
    </row>
    <row r="58" spans="15:31" x14ac:dyDescent="0.25">
      <c r="O58" s="93">
        <v>0.98</v>
      </c>
      <c r="P58" s="93">
        <f t="shared" si="0"/>
        <v>139.81659999999999</v>
      </c>
      <c r="Q58" s="2"/>
      <c r="T58" s="110" t="s">
        <v>111</v>
      </c>
      <c r="U58" s="110" t="s">
        <v>367</v>
      </c>
      <c r="W58" s="143">
        <v>42380</v>
      </c>
      <c r="X58" s="12">
        <v>134.34</v>
      </c>
      <c r="Y58" s="12">
        <v>137.29</v>
      </c>
      <c r="Z58" s="12">
        <v>133.38999999999999</v>
      </c>
      <c r="AA58" s="12">
        <v>134.88</v>
      </c>
      <c r="AB58" s="105">
        <v>2407000</v>
      </c>
      <c r="AC58" s="12">
        <v>134.72999999999999</v>
      </c>
      <c r="AD58" s="2"/>
      <c r="AE58" s="148"/>
    </row>
    <row r="59" spans="15:31" x14ac:dyDescent="0.25">
      <c r="O59" s="93">
        <v>0.97</v>
      </c>
      <c r="P59" s="93">
        <f t="shared" si="0"/>
        <v>138.38989999999998</v>
      </c>
      <c r="T59" s="110" t="s">
        <v>114</v>
      </c>
      <c r="U59" s="110">
        <v>28.79</v>
      </c>
      <c r="W59" s="143">
        <v>42377</v>
      </c>
      <c r="X59" s="12">
        <v>135.6</v>
      </c>
      <c r="Y59" s="12">
        <v>137.01</v>
      </c>
      <c r="Z59" s="12">
        <v>133.82</v>
      </c>
      <c r="AA59" s="12">
        <v>134.16</v>
      </c>
      <c r="AB59" s="105">
        <v>2148100</v>
      </c>
      <c r="AC59" s="12">
        <v>134.01</v>
      </c>
      <c r="AD59" s="2"/>
      <c r="AE59" s="148"/>
    </row>
    <row r="60" spans="15:31" x14ac:dyDescent="0.25">
      <c r="O60" s="93">
        <v>0.96</v>
      </c>
      <c r="P60" s="93">
        <f t="shared" si="0"/>
        <v>136.96319999999997</v>
      </c>
      <c r="T60" s="110" t="s">
        <v>115</v>
      </c>
      <c r="U60" s="110">
        <v>4.92</v>
      </c>
      <c r="W60" s="143">
        <v>42376</v>
      </c>
      <c r="X60" s="12">
        <v>135</v>
      </c>
      <c r="Y60" s="12">
        <v>135.26</v>
      </c>
      <c r="Z60" s="12">
        <v>133.13999999999999</v>
      </c>
      <c r="AA60" s="12">
        <v>134.31</v>
      </c>
      <c r="AB60" s="105">
        <v>2470900</v>
      </c>
      <c r="AC60" s="12">
        <v>134.16</v>
      </c>
      <c r="AD60" s="2"/>
      <c r="AE60" s="148"/>
    </row>
    <row r="61" spans="15:31" x14ac:dyDescent="0.25">
      <c r="O61" s="93">
        <v>0.95</v>
      </c>
      <c r="P61" s="93">
        <f t="shared" si="0"/>
        <v>135.53649999999999</v>
      </c>
      <c r="T61" s="110" t="s">
        <v>112</v>
      </c>
      <c r="U61" s="110" t="s">
        <v>255</v>
      </c>
      <c r="W61" s="143">
        <v>42375</v>
      </c>
      <c r="X61" s="12">
        <v>136.55000000000001</v>
      </c>
      <c r="Y61" s="12">
        <v>138.44999999999999</v>
      </c>
      <c r="Z61" s="12">
        <v>136.55000000000001</v>
      </c>
      <c r="AA61" s="12">
        <v>137.44999999999999</v>
      </c>
      <c r="AB61" s="105">
        <v>2300800</v>
      </c>
      <c r="AC61" s="12">
        <v>137.30000000000001</v>
      </c>
      <c r="AD61" s="2"/>
      <c r="AE61" s="148"/>
    </row>
    <row r="62" spans="15:31" x14ac:dyDescent="0.25">
      <c r="O62" s="93">
        <v>0.94</v>
      </c>
      <c r="P62" s="93">
        <f t="shared" si="0"/>
        <v>134.10979999999998</v>
      </c>
      <c r="W62" s="143">
        <v>42374</v>
      </c>
      <c r="X62" s="12">
        <v>139</v>
      </c>
      <c r="Y62" s="12">
        <v>140.94</v>
      </c>
      <c r="Z62" s="12">
        <v>138.37</v>
      </c>
      <c r="AA62" s="12">
        <v>138.51</v>
      </c>
      <c r="AB62" s="105">
        <v>3184400</v>
      </c>
      <c r="AC62" s="12">
        <v>138.36000000000001</v>
      </c>
      <c r="AD62" s="2"/>
      <c r="AE62" s="148"/>
    </row>
    <row r="63" spans="15:31" x14ac:dyDescent="0.25">
      <c r="O63" s="93">
        <v>0.93</v>
      </c>
      <c r="P63" s="93">
        <f t="shared" si="0"/>
        <v>132.6831</v>
      </c>
      <c r="W63" s="143">
        <v>42373</v>
      </c>
      <c r="X63" s="12">
        <v>139.44999999999999</v>
      </c>
      <c r="Y63" s="12">
        <v>140.15</v>
      </c>
      <c r="Z63" s="12">
        <v>137.32</v>
      </c>
      <c r="AA63" s="12">
        <v>138.75</v>
      </c>
      <c r="AB63" s="105">
        <v>3287500</v>
      </c>
      <c r="AC63" s="12">
        <v>138.6</v>
      </c>
      <c r="AD63" s="2"/>
      <c r="AE63" s="148"/>
    </row>
    <row r="64" spans="15:31" x14ac:dyDescent="0.25">
      <c r="O64" s="93">
        <v>0.92</v>
      </c>
      <c r="P64" s="93">
        <f t="shared" si="0"/>
        <v>131.25639999999999</v>
      </c>
      <c r="W64" s="143">
        <v>42369</v>
      </c>
      <c r="X64" s="12">
        <v>141.97</v>
      </c>
      <c r="Y64" s="12">
        <v>143.21</v>
      </c>
      <c r="Z64" s="12">
        <v>141.84</v>
      </c>
      <c r="AA64" s="12">
        <v>141.85</v>
      </c>
      <c r="AB64" s="105">
        <v>1145000</v>
      </c>
      <c r="AC64" s="12">
        <v>141.69999999999999</v>
      </c>
      <c r="AD64" s="2"/>
      <c r="AE64" s="148"/>
    </row>
    <row r="65" spans="15:31" x14ac:dyDescent="0.25">
      <c r="O65" s="93">
        <v>0.91</v>
      </c>
      <c r="P65" s="93">
        <f t="shared" si="0"/>
        <v>129.8297</v>
      </c>
      <c r="W65" s="143">
        <v>42368</v>
      </c>
      <c r="X65" s="12">
        <v>143.04</v>
      </c>
      <c r="Y65" s="12">
        <v>143.65</v>
      </c>
      <c r="Z65" s="12">
        <v>142.51</v>
      </c>
      <c r="AA65" s="12">
        <v>142.86000000000001</v>
      </c>
      <c r="AB65" s="105">
        <v>1057500</v>
      </c>
      <c r="AC65" s="12">
        <v>142.69999999999999</v>
      </c>
      <c r="AD65" s="2"/>
      <c r="AE65" s="148"/>
    </row>
    <row r="66" spans="15:31" x14ac:dyDescent="0.25">
      <c r="O66" s="93">
        <v>0.9</v>
      </c>
      <c r="P66" s="93">
        <f t="shared" si="0"/>
        <v>128.40299999999999</v>
      </c>
      <c r="W66" s="143">
        <v>42367</v>
      </c>
      <c r="X66" s="12">
        <v>141.58000000000001</v>
      </c>
      <c r="Y66" s="12">
        <v>143.5</v>
      </c>
      <c r="Z66" s="12">
        <v>141.38999999999999</v>
      </c>
      <c r="AA66" s="12">
        <v>143.03</v>
      </c>
      <c r="AB66" s="105">
        <v>1416200</v>
      </c>
      <c r="AC66" s="12">
        <v>142.87</v>
      </c>
      <c r="AD66" s="2"/>
      <c r="AE66" s="148"/>
    </row>
    <row r="67" spans="15:31" x14ac:dyDescent="0.25">
      <c r="W67" s="143">
        <v>42366</v>
      </c>
      <c r="X67" s="12">
        <v>140.97</v>
      </c>
      <c r="Y67" s="12">
        <v>141.21</v>
      </c>
      <c r="Z67" s="12">
        <v>140.53</v>
      </c>
      <c r="AA67" s="12">
        <v>140.69999999999999</v>
      </c>
      <c r="AB67" s="105">
        <v>835700</v>
      </c>
      <c r="AC67" s="12">
        <v>140.55000000000001</v>
      </c>
      <c r="AD67" s="2"/>
      <c r="AE67" s="148"/>
    </row>
    <row r="68" spans="15:31" x14ac:dyDescent="0.25">
      <c r="W68" s="143">
        <v>42362</v>
      </c>
      <c r="X68" s="12">
        <v>140.94</v>
      </c>
      <c r="Y68" s="12">
        <v>141.75</v>
      </c>
      <c r="Z68" s="12">
        <v>140.75</v>
      </c>
      <c r="AA68" s="12">
        <v>141.32</v>
      </c>
      <c r="AB68" s="105">
        <v>370700</v>
      </c>
      <c r="AC68" s="12">
        <v>141.16999999999999</v>
      </c>
      <c r="AD68" s="2"/>
      <c r="AE68" s="148"/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1" priority="13">
      <formula>Q7&gt;0</formula>
    </cfRule>
    <cfRule type="expression" dxfId="50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9" priority="7">
      <formula>F18&gt;0</formula>
    </cfRule>
    <cfRule type="expression" dxfId="48" priority="8">
      <formula>F18&lt;0</formula>
    </cfRule>
  </conditionalFormatting>
  <conditionalFormatting sqref="H18:H25">
    <cfRule type="expression" dxfId="47" priority="5">
      <formula>H18&gt;0</formula>
    </cfRule>
    <cfRule type="expression" dxfId="46" priority="6">
      <formula>H18&lt;0</formula>
    </cfRule>
  </conditionalFormatting>
  <conditionalFormatting sqref="F14:F17">
    <cfRule type="expression" dxfId="45" priority="3">
      <formula>F14&gt;0</formula>
    </cfRule>
    <cfRule type="expression" dxfId="44" priority="4">
      <formula>F14&lt;0</formula>
    </cfRule>
  </conditionalFormatting>
  <conditionalFormatting sqref="H14:H17">
    <cfRule type="expression" dxfId="43" priority="1">
      <formula>H14&gt;0</formula>
    </cfRule>
    <cfRule type="expression" dxfId="4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160</v>
      </c>
      <c r="W2" s="143">
        <v>42460</v>
      </c>
      <c r="X2" s="12">
        <v>33.380000000000003</v>
      </c>
      <c r="Y2" s="12">
        <v>33.64</v>
      </c>
      <c r="Z2" s="12">
        <v>33.19</v>
      </c>
      <c r="AA2" s="12">
        <v>33.49</v>
      </c>
      <c r="AB2" s="105">
        <v>1132200</v>
      </c>
      <c r="AC2" s="12">
        <v>33.49</v>
      </c>
      <c r="AD2" s="2">
        <f>Y2-Z2</f>
        <v>0.45000000000000284</v>
      </c>
      <c r="AE2" s="148">
        <f>AC2/AC3-1</f>
        <v>5.4037826478534612E-3</v>
      </c>
      <c r="AP2" t="s">
        <v>185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33.67</v>
      </c>
      <c r="W3" s="143">
        <v>42459</v>
      </c>
      <c r="X3" s="12">
        <v>33.17</v>
      </c>
      <c r="Y3" s="12">
        <v>33.479999999999997</v>
      </c>
      <c r="Z3" s="12">
        <v>33.07</v>
      </c>
      <c r="AA3" s="12">
        <v>33.31</v>
      </c>
      <c r="AB3" s="105">
        <v>687700</v>
      </c>
      <c r="AC3" s="12">
        <v>33.31</v>
      </c>
      <c r="AD3" s="2">
        <f t="shared" ref="AD3:AD66" si="1">Y3-Z3</f>
        <v>0.40999999999999659</v>
      </c>
      <c r="AE3" s="148">
        <f t="shared" ref="AE3:AE66" si="2">AC3/AC4-1</f>
        <v>1.3386066321874113E-2</v>
      </c>
      <c r="AI3" t="s">
        <v>199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33.67</v>
      </c>
      <c r="W4" s="143">
        <v>42458</v>
      </c>
      <c r="X4" s="12">
        <v>32.07</v>
      </c>
      <c r="Y4" s="12">
        <v>33</v>
      </c>
      <c r="Z4" s="12">
        <v>31.98</v>
      </c>
      <c r="AA4" s="12">
        <v>32.869999999999997</v>
      </c>
      <c r="AB4" s="105">
        <v>761100</v>
      </c>
      <c r="AC4" s="12">
        <v>32.869999999999997</v>
      </c>
      <c r="AD4" s="2">
        <f t="shared" si="1"/>
        <v>1.0199999999999996</v>
      </c>
      <c r="AE4" s="148">
        <f t="shared" si="2"/>
        <v>1.8593120545397968E-2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42457</v>
      </c>
      <c r="X5" s="12">
        <v>31.96</v>
      </c>
      <c r="Y5" s="12">
        <v>32.36</v>
      </c>
      <c r="Z5" s="12">
        <v>31.82</v>
      </c>
      <c r="AA5" s="12">
        <v>32.270000000000003</v>
      </c>
      <c r="AB5" s="105">
        <v>1370100</v>
      </c>
      <c r="AC5" s="12">
        <v>32.270000000000003</v>
      </c>
      <c r="AD5" s="2">
        <f t="shared" si="1"/>
        <v>0.53999999999999915</v>
      </c>
      <c r="AE5" s="148">
        <f t="shared" si="2"/>
        <v>-1.4957264957264793E-2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42453</v>
      </c>
      <c r="X6" s="12">
        <v>32.24</v>
      </c>
      <c r="Y6" s="12">
        <v>32.78</v>
      </c>
      <c r="Z6" s="12">
        <v>31.72</v>
      </c>
      <c r="AA6" s="12">
        <v>32.76</v>
      </c>
      <c r="AB6" s="105">
        <v>826300</v>
      </c>
      <c r="AC6" s="12">
        <v>32.76</v>
      </c>
      <c r="AD6" s="2">
        <f t="shared" si="1"/>
        <v>1.0600000000000023</v>
      </c>
      <c r="AE6" s="148">
        <f t="shared" si="2"/>
        <v>4.9079754601226711E-3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42452</v>
      </c>
      <c r="X7" s="12">
        <v>33.4</v>
      </c>
      <c r="Y7" s="12">
        <v>33.47</v>
      </c>
      <c r="Z7" s="12">
        <v>32.520000000000003</v>
      </c>
      <c r="AA7" s="12">
        <v>32.6</v>
      </c>
      <c r="AB7" s="105">
        <v>698400</v>
      </c>
      <c r="AC7" s="12">
        <v>32.6</v>
      </c>
      <c r="AD7" s="2">
        <f t="shared" si="1"/>
        <v>0.94999999999999574</v>
      </c>
      <c r="AE7" s="148">
        <f t="shared" si="2"/>
        <v>-2.39520958083832E-2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42451</v>
      </c>
      <c r="X8" s="12">
        <v>32.979999999999997</v>
      </c>
      <c r="Y8" s="12">
        <v>33.619999999999997</v>
      </c>
      <c r="Z8" s="12">
        <v>32.770000000000003</v>
      </c>
      <c r="AA8" s="12">
        <v>33.4</v>
      </c>
      <c r="AB8" s="105">
        <v>995400</v>
      </c>
      <c r="AC8" s="12">
        <v>33.4</v>
      </c>
      <c r="AD8" s="2">
        <f t="shared" si="1"/>
        <v>0.84999999999999432</v>
      </c>
      <c r="AE8" s="148">
        <f t="shared" si="2"/>
        <v>5.1158591634066219E-3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42450</v>
      </c>
      <c r="X9" s="12">
        <v>33.39</v>
      </c>
      <c r="Y9" s="12">
        <v>33.57</v>
      </c>
      <c r="Z9" s="12">
        <v>33.1</v>
      </c>
      <c r="AA9" s="12">
        <v>33.229999999999997</v>
      </c>
      <c r="AB9" s="105">
        <v>986600</v>
      </c>
      <c r="AC9" s="12">
        <v>33.229999999999997</v>
      </c>
      <c r="AD9" s="2">
        <f t="shared" si="1"/>
        <v>0.46999999999999886</v>
      </c>
      <c r="AE9" s="148">
        <f t="shared" si="2"/>
        <v>-6.2799043062201632E-3</v>
      </c>
    </row>
    <row r="10" spans="1:43" x14ac:dyDescent="0.25">
      <c r="W10" s="143">
        <v>42447</v>
      </c>
      <c r="X10" s="12">
        <v>33.08</v>
      </c>
      <c r="Y10" s="12">
        <v>33.520000000000003</v>
      </c>
      <c r="Z10" s="12">
        <v>32.85</v>
      </c>
      <c r="AA10" s="12">
        <v>33.44</v>
      </c>
      <c r="AB10" s="105">
        <v>1768700</v>
      </c>
      <c r="AC10" s="12">
        <v>33.44</v>
      </c>
      <c r="AD10" s="2">
        <f t="shared" si="1"/>
        <v>0.67000000000000171</v>
      </c>
      <c r="AE10" s="148">
        <f t="shared" si="2"/>
        <v>1.3333333333333197E-2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42446</v>
      </c>
      <c r="X11" s="12">
        <v>31.42</v>
      </c>
      <c r="Y11" s="12">
        <v>33.229999999999997</v>
      </c>
      <c r="Z11" s="12">
        <v>31.35</v>
      </c>
      <c r="AA11" s="12">
        <v>33</v>
      </c>
      <c r="AB11" s="105">
        <v>1284900</v>
      </c>
      <c r="AC11" s="12">
        <v>33</v>
      </c>
      <c r="AD11" s="2">
        <f t="shared" si="1"/>
        <v>1.8799999999999955</v>
      </c>
      <c r="AE11" s="148">
        <f t="shared" si="2"/>
        <v>5.1625239005736123E-2</v>
      </c>
    </row>
    <row r="12" spans="1:43" x14ac:dyDescent="0.25">
      <c r="W12" s="143">
        <v>42445</v>
      </c>
      <c r="X12" s="12">
        <v>30.43</v>
      </c>
      <c r="Y12" s="12">
        <v>31.42</v>
      </c>
      <c r="Z12" s="12">
        <v>30.43</v>
      </c>
      <c r="AA12" s="12">
        <v>31.38</v>
      </c>
      <c r="AB12" s="105">
        <v>561700</v>
      </c>
      <c r="AC12" s="12">
        <v>31.38</v>
      </c>
      <c r="AD12" s="2">
        <f t="shared" si="1"/>
        <v>0.99000000000000199</v>
      </c>
      <c r="AE12" s="148">
        <f t="shared" si="2"/>
        <v>2.8852459016393439E-2</v>
      </c>
    </row>
    <row r="13" spans="1:43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3" t="s">
        <v>65</v>
      </c>
      <c r="G13" s="253" t="s">
        <v>172</v>
      </c>
      <c r="H13" s="213" t="s">
        <v>90</v>
      </c>
      <c r="I13" s="212" t="s">
        <v>179</v>
      </c>
      <c r="W13" s="143">
        <v>42444</v>
      </c>
      <c r="X13" s="12">
        <v>30.77</v>
      </c>
      <c r="Y13" s="12">
        <v>30.79</v>
      </c>
      <c r="Z13" s="12">
        <v>30.14</v>
      </c>
      <c r="AA13" s="12">
        <v>30.5</v>
      </c>
      <c r="AB13" s="105">
        <v>731800</v>
      </c>
      <c r="AC13" s="12">
        <v>30.5</v>
      </c>
      <c r="AD13" s="2">
        <f t="shared" si="1"/>
        <v>0.64999999999999858</v>
      </c>
      <c r="AE13" s="148">
        <f t="shared" si="2"/>
        <v>-2.274911887215636E-2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42443</v>
      </c>
      <c r="X14" s="12">
        <v>31.12</v>
      </c>
      <c r="Y14" s="12">
        <v>31.51</v>
      </c>
      <c r="Z14" s="12">
        <v>30.97</v>
      </c>
      <c r="AA14" s="12">
        <v>31.21</v>
      </c>
      <c r="AB14" s="105">
        <v>747700</v>
      </c>
      <c r="AC14" s="12">
        <v>31.21</v>
      </c>
      <c r="AD14" s="2">
        <f t="shared" si="1"/>
        <v>0.5400000000000027</v>
      </c>
      <c r="AE14" s="148">
        <f t="shared" si="2"/>
        <v>-3.5121328224776427E-3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42440</v>
      </c>
      <c r="X15" s="12">
        <v>30.69</v>
      </c>
      <c r="Y15" s="12">
        <v>31.37</v>
      </c>
      <c r="Z15" s="12">
        <v>30.67</v>
      </c>
      <c r="AA15" s="12">
        <v>31.32</v>
      </c>
      <c r="AB15" s="105">
        <v>455300</v>
      </c>
      <c r="AC15" s="12">
        <v>31.32</v>
      </c>
      <c r="AD15" s="2">
        <f t="shared" si="1"/>
        <v>0.69999999999999929</v>
      </c>
      <c r="AE15" s="148">
        <f t="shared" si="2"/>
        <v>2.8909329829172048E-2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42439</v>
      </c>
      <c r="X16" s="12">
        <v>30.51</v>
      </c>
      <c r="Y16" s="12">
        <v>30.66</v>
      </c>
      <c r="Z16" s="12">
        <v>29.87</v>
      </c>
      <c r="AA16" s="12">
        <v>30.44</v>
      </c>
      <c r="AB16" s="105">
        <v>692300</v>
      </c>
      <c r="AC16" s="12">
        <v>30.44</v>
      </c>
      <c r="AD16" s="2">
        <f t="shared" si="1"/>
        <v>0.78999999999999915</v>
      </c>
      <c r="AE16" s="148">
        <f t="shared" si="2"/>
        <v>-3.2840722495885988E-4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42438</v>
      </c>
      <c r="X17" s="12">
        <v>30.78</v>
      </c>
      <c r="Y17" s="12">
        <v>30.95</v>
      </c>
      <c r="Z17" s="12">
        <v>30.26</v>
      </c>
      <c r="AA17" s="12">
        <v>30.45</v>
      </c>
      <c r="AB17" s="105">
        <v>754300</v>
      </c>
      <c r="AC17" s="12">
        <v>30.45</v>
      </c>
      <c r="AD17" s="2">
        <f t="shared" si="1"/>
        <v>0.68999999999999773</v>
      </c>
      <c r="AE17" s="148">
        <f t="shared" si="2"/>
        <v>-6.525285481239762E-3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42437</v>
      </c>
      <c r="X18" s="12">
        <v>31.63</v>
      </c>
      <c r="Y18" s="12">
        <v>31.75</v>
      </c>
      <c r="Z18" s="12">
        <v>30.58</v>
      </c>
      <c r="AA18" s="12">
        <v>30.65</v>
      </c>
      <c r="AB18" s="105">
        <v>800700</v>
      </c>
      <c r="AC18" s="12">
        <v>30.65</v>
      </c>
      <c r="AD18" s="2">
        <f t="shared" si="1"/>
        <v>1.1700000000000017</v>
      </c>
      <c r="AE18" s="148">
        <f t="shared" si="2"/>
        <v>-4.3980037429819152E-2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42436</v>
      </c>
      <c r="X19" s="12">
        <v>31.6</v>
      </c>
      <c r="Y19" s="12">
        <v>32.31</v>
      </c>
      <c r="Z19" s="12">
        <v>31.6</v>
      </c>
      <c r="AA19" s="12">
        <v>32.06</v>
      </c>
      <c r="AB19" s="105">
        <v>988200</v>
      </c>
      <c r="AC19" s="12">
        <v>32.06</v>
      </c>
      <c r="AD19" s="2">
        <f t="shared" si="1"/>
        <v>0.71000000000000085</v>
      </c>
      <c r="AE19" s="148">
        <f t="shared" si="2"/>
        <v>1.4556962025316533E-2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42433</v>
      </c>
      <c r="X20" s="12">
        <v>31.09</v>
      </c>
      <c r="Y20" s="12">
        <v>32.21</v>
      </c>
      <c r="Z20" s="12">
        <v>30.88</v>
      </c>
      <c r="AA20" s="12">
        <v>31.6</v>
      </c>
      <c r="AB20" s="105">
        <v>2331400</v>
      </c>
      <c r="AC20" s="12">
        <v>31.6</v>
      </c>
      <c r="AD20" s="2">
        <f t="shared" si="1"/>
        <v>1.3300000000000018</v>
      </c>
      <c r="AE20" s="148">
        <f t="shared" si="2"/>
        <v>2.3316062176165886E-2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42432</v>
      </c>
      <c r="X21" s="12">
        <v>30.86</v>
      </c>
      <c r="Y21" s="12">
        <v>31.14</v>
      </c>
      <c r="Z21" s="12">
        <v>30.58</v>
      </c>
      <c r="AA21" s="12">
        <v>30.88</v>
      </c>
      <c r="AB21" s="105">
        <v>890800</v>
      </c>
      <c r="AC21" s="12">
        <v>30.88</v>
      </c>
      <c r="AD21" s="2">
        <f t="shared" si="1"/>
        <v>0.56000000000000227</v>
      </c>
      <c r="AE21" s="148">
        <f t="shared" si="2"/>
        <v>1.6217969510217145E-3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42431</v>
      </c>
      <c r="X22" s="12">
        <v>30.81</v>
      </c>
      <c r="Y22" s="12">
        <v>31.19</v>
      </c>
      <c r="Z22" s="12">
        <v>30.17</v>
      </c>
      <c r="AA22" s="12">
        <v>30.83</v>
      </c>
      <c r="AB22" s="105">
        <v>1635800</v>
      </c>
      <c r="AC22" s="12">
        <v>30.83</v>
      </c>
      <c r="AD22" s="2">
        <f t="shared" si="1"/>
        <v>1.0199999999999996</v>
      </c>
      <c r="AE22" s="148">
        <f t="shared" si="2"/>
        <v>-1.9423761735190004E-3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42430</v>
      </c>
      <c r="X23" s="12">
        <v>30.2</v>
      </c>
      <c r="Y23" s="12">
        <v>31.09</v>
      </c>
      <c r="Z23" s="12">
        <v>29.82</v>
      </c>
      <c r="AA23" s="12">
        <v>30.89</v>
      </c>
      <c r="AB23" s="105">
        <v>1044800</v>
      </c>
      <c r="AC23" s="12">
        <v>30.89</v>
      </c>
      <c r="AD23" s="2">
        <f t="shared" si="1"/>
        <v>1.2699999999999996</v>
      </c>
      <c r="AE23" s="148">
        <f t="shared" si="2"/>
        <v>3.5534696614146988E-2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42429</v>
      </c>
      <c r="X24" s="12">
        <v>30</v>
      </c>
      <c r="Y24" s="12">
        <v>30.17</v>
      </c>
      <c r="Z24" s="12">
        <v>29.81</v>
      </c>
      <c r="AA24" s="12">
        <v>29.83</v>
      </c>
      <c r="AB24" s="105">
        <v>617400</v>
      </c>
      <c r="AC24" s="12">
        <v>29.83</v>
      </c>
      <c r="AD24" s="2">
        <f t="shared" si="1"/>
        <v>0.36000000000000298</v>
      </c>
      <c r="AE24" s="148">
        <f t="shared" si="2"/>
        <v>3.3534540576796168E-4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42426</v>
      </c>
      <c r="X25" s="12">
        <v>30.11</v>
      </c>
      <c r="Y25" s="12">
        <v>30.13</v>
      </c>
      <c r="Z25" s="12">
        <v>29.62</v>
      </c>
      <c r="AA25" s="12">
        <v>29.82</v>
      </c>
      <c r="AB25" s="105">
        <v>616700</v>
      </c>
      <c r="AC25" s="12">
        <v>29.82</v>
      </c>
      <c r="AD25" s="2">
        <f t="shared" si="1"/>
        <v>0.50999999999999801</v>
      </c>
      <c r="AE25" s="148">
        <f t="shared" si="2"/>
        <v>1.6795431642593339E-3</v>
      </c>
    </row>
    <row r="26" spans="2:31" x14ac:dyDescent="0.25">
      <c r="W26" s="143">
        <v>42425</v>
      </c>
      <c r="X26" s="12">
        <v>30.13</v>
      </c>
      <c r="Y26" s="12">
        <v>30.31</v>
      </c>
      <c r="Z26" s="12">
        <v>29.23</v>
      </c>
      <c r="AA26" s="12">
        <v>29.77</v>
      </c>
      <c r="AB26" s="105">
        <v>996400</v>
      </c>
      <c r="AC26" s="12">
        <v>29.77</v>
      </c>
      <c r="AD26" s="2">
        <f t="shared" si="1"/>
        <v>1.0799999999999983</v>
      </c>
      <c r="AE26" s="148">
        <f t="shared" si="2"/>
        <v>-1.0305851063829752E-2</v>
      </c>
    </row>
    <row r="27" spans="2:31" x14ac:dyDescent="0.25">
      <c r="W27" s="143">
        <v>42424</v>
      </c>
      <c r="X27" s="12">
        <v>29.06</v>
      </c>
      <c r="Y27" s="12">
        <v>30.19</v>
      </c>
      <c r="Z27" s="12">
        <v>28.64</v>
      </c>
      <c r="AA27" s="12">
        <v>30.08</v>
      </c>
      <c r="AB27" s="105">
        <v>712300</v>
      </c>
      <c r="AC27" s="12">
        <v>30.08</v>
      </c>
      <c r="AD27" s="2">
        <f t="shared" si="1"/>
        <v>1.5500000000000007</v>
      </c>
      <c r="AE27" s="148">
        <f t="shared" si="2"/>
        <v>1.4160485502360043E-2</v>
      </c>
    </row>
    <row r="28" spans="2:31" x14ac:dyDescent="0.25">
      <c r="W28" s="143">
        <v>42423</v>
      </c>
      <c r="X28" s="12">
        <v>30.47</v>
      </c>
      <c r="Y28" s="12">
        <v>30.92</v>
      </c>
      <c r="Z28" s="12">
        <v>29.64</v>
      </c>
      <c r="AA28" s="12">
        <v>29.66</v>
      </c>
      <c r="AB28" s="105">
        <v>601100</v>
      </c>
      <c r="AC28" s="12">
        <v>29.66</v>
      </c>
      <c r="AD28" s="2">
        <f t="shared" si="1"/>
        <v>1.2800000000000011</v>
      </c>
      <c r="AE28" s="148">
        <f t="shared" si="2"/>
        <v>-3.3561420658194896E-2</v>
      </c>
    </row>
    <row r="29" spans="2:31" x14ac:dyDescent="0.25">
      <c r="W29" s="143">
        <v>42422</v>
      </c>
      <c r="X29" s="12">
        <v>30.59</v>
      </c>
      <c r="Y29" s="12">
        <v>31.15</v>
      </c>
      <c r="Z29" s="12">
        <v>30.42</v>
      </c>
      <c r="AA29" s="12">
        <v>30.69</v>
      </c>
      <c r="AB29" s="105">
        <v>693800</v>
      </c>
      <c r="AC29" s="12">
        <v>30.69</v>
      </c>
      <c r="AD29" s="2">
        <f t="shared" si="1"/>
        <v>0.72999999999999687</v>
      </c>
      <c r="AE29" s="148">
        <f t="shared" si="2"/>
        <v>1.8248175182481674E-2</v>
      </c>
    </row>
    <row r="30" spans="2:31" x14ac:dyDescent="0.25">
      <c r="W30" s="143">
        <v>42419</v>
      </c>
      <c r="X30" s="12">
        <v>30.23</v>
      </c>
      <c r="Y30" s="12">
        <v>30.4</v>
      </c>
      <c r="Z30" s="12">
        <v>29.57</v>
      </c>
      <c r="AA30" s="12">
        <v>30.14</v>
      </c>
      <c r="AB30" s="105">
        <v>986600</v>
      </c>
      <c r="AC30" s="12">
        <v>30.14</v>
      </c>
      <c r="AD30" s="2">
        <f t="shared" si="1"/>
        <v>0.82999999999999829</v>
      </c>
      <c r="AE30" s="148" t="e">
        <f t="shared" si="2"/>
        <v>#DIV/0!</v>
      </c>
    </row>
    <row r="31" spans="2:31" x14ac:dyDescent="0.25">
      <c r="W31" s="143">
        <v>42419</v>
      </c>
      <c r="X31" s="12" t="s">
        <v>146</v>
      </c>
      <c r="Y31" s="12"/>
      <c r="Z31" s="12"/>
      <c r="AA31" s="12"/>
      <c r="AB31" s="105"/>
      <c r="AC31" s="12"/>
      <c r="AD31" s="2">
        <f t="shared" si="1"/>
        <v>0</v>
      </c>
      <c r="AE31" s="148">
        <f t="shared" si="2"/>
        <v>-1</v>
      </c>
    </row>
    <row r="32" spans="2:31" x14ac:dyDescent="0.25">
      <c r="W32" s="143">
        <v>42418</v>
      </c>
      <c r="X32" s="12">
        <v>30.27</v>
      </c>
      <c r="Y32" s="12">
        <v>30.83</v>
      </c>
      <c r="Z32" s="12">
        <v>29.47</v>
      </c>
      <c r="AA32" s="12">
        <v>30.81</v>
      </c>
      <c r="AB32" s="105">
        <v>1507700</v>
      </c>
      <c r="AC32" s="12">
        <v>30.55</v>
      </c>
      <c r="AD32" s="2">
        <f t="shared" si="1"/>
        <v>1.3599999999999994</v>
      </c>
      <c r="AE32" s="148">
        <f t="shared" si="2"/>
        <v>3.284072249589487E-3</v>
      </c>
    </row>
    <row r="33" spans="15:31" x14ac:dyDescent="0.25">
      <c r="W33" s="143">
        <v>42417</v>
      </c>
      <c r="X33" s="12">
        <v>30.74</v>
      </c>
      <c r="Y33" s="12">
        <v>31.64</v>
      </c>
      <c r="Z33" s="12">
        <v>30.56</v>
      </c>
      <c r="AA33" s="12">
        <v>30.71</v>
      </c>
      <c r="AB33" s="105">
        <v>1467000</v>
      </c>
      <c r="AC33" s="12">
        <v>30.45</v>
      </c>
      <c r="AD33" s="2">
        <f t="shared" si="1"/>
        <v>1.0800000000000018</v>
      </c>
      <c r="AE33" s="148">
        <f t="shared" si="2"/>
        <v>1.1627906976744207E-2</v>
      </c>
    </row>
    <row r="34" spans="15:31" x14ac:dyDescent="0.25">
      <c r="W34" s="143">
        <v>42416</v>
      </c>
      <c r="X34" s="12">
        <v>30.45</v>
      </c>
      <c r="Y34" s="12">
        <v>30.77</v>
      </c>
      <c r="Z34" s="12">
        <v>29.7</v>
      </c>
      <c r="AA34" s="12">
        <v>30.36</v>
      </c>
      <c r="AB34" s="105">
        <v>1056500</v>
      </c>
      <c r="AC34" s="12">
        <v>30.1</v>
      </c>
      <c r="AD34" s="2">
        <f t="shared" si="1"/>
        <v>1.0700000000000003</v>
      </c>
      <c r="AE34" s="148">
        <f t="shared" si="2"/>
        <v>1.5519568151147078E-2</v>
      </c>
    </row>
    <row r="35" spans="15:31" x14ac:dyDescent="0.25">
      <c r="W35" s="143">
        <v>42412</v>
      </c>
      <c r="X35" s="12">
        <v>28.4</v>
      </c>
      <c r="Y35" s="12">
        <v>30.02</v>
      </c>
      <c r="Z35" s="12">
        <v>28.32</v>
      </c>
      <c r="AA35" s="12">
        <v>29.89</v>
      </c>
      <c r="AB35" s="105">
        <v>1182900</v>
      </c>
      <c r="AC35" s="12">
        <v>29.64</v>
      </c>
      <c r="AD35" s="2">
        <f t="shared" si="1"/>
        <v>1.6999999999999993</v>
      </c>
      <c r="AE35" s="148">
        <f t="shared" si="2"/>
        <v>6.3890882986360475E-2</v>
      </c>
    </row>
    <row r="36" spans="15:31" x14ac:dyDescent="0.25">
      <c r="W36" s="143">
        <v>42411</v>
      </c>
      <c r="X36" s="12">
        <v>27.75</v>
      </c>
      <c r="Y36" s="12">
        <v>28.58</v>
      </c>
      <c r="Z36" s="12">
        <v>27.63</v>
      </c>
      <c r="AA36" s="12">
        <v>28.1</v>
      </c>
      <c r="AB36" s="105">
        <v>965200</v>
      </c>
      <c r="AC36" s="12">
        <v>27.86</v>
      </c>
      <c r="AD36" s="2">
        <f t="shared" si="1"/>
        <v>0.94999999999999929</v>
      </c>
      <c r="AE36" s="148">
        <f t="shared" si="2"/>
        <v>-3.9327851269216341E-3</v>
      </c>
    </row>
    <row r="37" spans="15:31" x14ac:dyDescent="0.25">
      <c r="W37" s="143">
        <v>42410</v>
      </c>
      <c r="X37" s="12">
        <v>29</v>
      </c>
      <c r="Y37" s="12">
        <v>29.2</v>
      </c>
      <c r="Z37" s="12">
        <v>27.93</v>
      </c>
      <c r="AA37" s="12">
        <v>28.21</v>
      </c>
      <c r="AB37" s="105">
        <v>1155900</v>
      </c>
      <c r="AC37" s="12">
        <v>27.97</v>
      </c>
      <c r="AD37" s="2">
        <f t="shared" si="1"/>
        <v>1.2699999999999996</v>
      </c>
      <c r="AE37" s="148">
        <f t="shared" si="2"/>
        <v>-2.7468706536856846E-2</v>
      </c>
    </row>
    <row r="38" spans="15:31" x14ac:dyDescent="0.25">
      <c r="W38" s="143">
        <v>42409</v>
      </c>
      <c r="X38" s="12">
        <v>28.5</v>
      </c>
      <c r="Y38" s="12">
        <v>29.69</v>
      </c>
      <c r="Z38" s="12">
        <v>28.5</v>
      </c>
      <c r="AA38" s="12">
        <v>29</v>
      </c>
      <c r="AB38" s="105">
        <v>1178900</v>
      </c>
      <c r="AC38" s="12">
        <v>28.76</v>
      </c>
      <c r="AD38" s="2">
        <f t="shared" si="1"/>
        <v>1.1900000000000013</v>
      </c>
      <c r="AE38" s="148">
        <f t="shared" si="2"/>
        <v>-2.7739251040220791E-3</v>
      </c>
    </row>
    <row r="39" spans="15:31" x14ac:dyDescent="0.25">
      <c r="W39" s="143">
        <v>42408</v>
      </c>
      <c r="X39" s="12">
        <v>29.14</v>
      </c>
      <c r="Y39" s="12">
        <v>29.67</v>
      </c>
      <c r="Z39" s="12">
        <v>28.55</v>
      </c>
      <c r="AA39" s="12">
        <v>29.09</v>
      </c>
      <c r="AB39" s="105">
        <v>1122500</v>
      </c>
      <c r="AC39" s="12">
        <v>28.84</v>
      </c>
      <c r="AD39" s="2">
        <f t="shared" si="1"/>
        <v>1.120000000000001</v>
      </c>
      <c r="AE39" s="148">
        <f t="shared" si="2"/>
        <v>-1.4690809702767371E-2</v>
      </c>
    </row>
    <row r="40" spans="15:31" x14ac:dyDescent="0.25">
      <c r="W40" s="143">
        <v>42405</v>
      </c>
      <c r="X40" s="12">
        <v>29.28</v>
      </c>
      <c r="Y40" s="12">
        <v>30.26</v>
      </c>
      <c r="Z40" s="12">
        <v>29.04</v>
      </c>
      <c r="AA40" s="12">
        <v>29.52</v>
      </c>
      <c r="AB40" s="105">
        <v>1454100</v>
      </c>
      <c r="AC40" s="12">
        <v>29.27</v>
      </c>
      <c r="AD40" s="2">
        <f t="shared" si="1"/>
        <v>1.2200000000000024</v>
      </c>
      <c r="AE40" s="148">
        <f t="shared" si="2"/>
        <v>6.8799449604401985E-3</v>
      </c>
    </row>
    <row r="41" spans="15:31" x14ac:dyDescent="0.25">
      <c r="W41" s="143">
        <v>42404</v>
      </c>
      <c r="X41" s="12">
        <v>27.93</v>
      </c>
      <c r="Y41" s="12">
        <v>30.13</v>
      </c>
      <c r="Z41" s="12">
        <v>27.68</v>
      </c>
      <c r="AA41" s="12">
        <v>29.32</v>
      </c>
      <c r="AB41" s="105">
        <v>2103000</v>
      </c>
      <c r="AC41" s="12">
        <v>29.07</v>
      </c>
      <c r="AD41" s="2">
        <f t="shared" si="1"/>
        <v>2.4499999999999993</v>
      </c>
      <c r="AE41" s="148">
        <f t="shared" si="2"/>
        <v>4.643628509719222E-2</v>
      </c>
    </row>
    <row r="42" spans="15:31" x14ac:dyDescent="0.25">
      <c r="W42" s="143">
        <v>42403</v>
      </c>
      <c r="X42" s="12">
        <v>26.42</v>
      </c>
      <c r="Y42" s="12">
        <v>28.06</v>
      </c>
      <c r="Z42" s="12">
        <v>25.58</v>
      </c>
      <c r="AA42" s="12">
        <v>28.02</v>
      </c>
      <c r="AB42" s="105">
        <v>1776600</v>
      </c>
      <c r="AC42" s="12">
        <v>27.78</v>
      </c>
      <c r="AD42" s="2">
        <f t="shared" si="1"/>
        <v>2.4800000000000004</v>
      </c>
      <c r="AE42" s="148">
        <f t="shared" si="2"/>
        <v>9.8457888493475698E-2</v>
      </c>
    </row>
    <row r="43" spans="15:31" x14ac:dyDescent="0.25">
      <c r="W43" s="143">
        <v>42402</v>
      </c>
      <c r="X43" s="12">
        <v>25.66</v>
      </c>
      <c r="Y43" s="12">
        <v>25.73</v>
      </c>
      <c r="Z43" s="12">
        <v>25.12</v>
      </c>
      <c r="AA43" s="12">
        <v>25.51</v>
      </c>
      <c r="AB43" s="105">
        <v>1467900</v>
      </c>
      <c r="AC43" s="12">
        <v>25.29</v>
      </c>
      <c r="AD43" s="2">
        <f t="shared" si="1"/>
        <v>0.60999999999999943</v>
      </c>
      <c r="AE43" s="148">
        <f t="shared" si="2"/>
        <v>-2.4681835711531042E-2</v>
      </c>
    </row>
    <row r="44" spans="15:31" x14ac:dyDescent="0.25">
      <c r="W44" s="143">
        <v>42401</v>
      </c>
      <c r="X44" s="12">
        <v>26.08</v>
      </c>
      <c r="Y44" s="12">
        <v>26.31</v>
      </c>
      <c r="Z44" s="12">
        <v>25.58</v>
      </c>
      <c r="AA44" s="12">
        <v>26.15</v>
      </c>
      <c r="AB44" s="105">
        <v>837200</v>
      </c>
      <c r="AC44" s="12">
        <v>25.93</v>
      </c>
      <c r="AD44" s="2">
        <f t="shared" si="1"/>
        <v>0.73000000000000043</v>
      </c>
      <c r="AE44" s="148">
        <f t="shared" si="2"/>
        <v>-1.519179642992774E-2</v>
      </c>
    </row>
    <row r="45" spans="15:31" ht="20.25" thickBot="1" x14ac:dyDescent="0.35">
      <c r="O45" s="420" t="s">
        <v>78</v>
      </c>
      <c r="P45" s="420"/>
      <c r="T45" s="101" t="s">
        <v>116</v>
      </c>
      <c r="W45" s="143">
        <v>42398</v>
      </c>
      <c r="X45" s="12">
        <v>25.49</v>
      </c>
      <c r="Y45" s="12">
        <v>26.56</v>
      </c>
      <c r="Z45" s="12">
        <v>25.49</v>
      </c>
      <c r="AA45" s="12">
        <v>26.55</v>
      </c>
      <c r="AB45" s="105">
        <v>1098700</v>
      </c>
      <c r="AC45" s="12">
        <v>26.33</v>
      </c>
      <c r="AD45" s="2">
        <f t="shared" si="1"/>
        <v>1.0700000000000003</v>
      </c>
      <c r="AE45" s="148">
        <f t="shared" si="2"/>
        <v>4.4841269841269904E-2</v>
      </c>
    </row>
    <row r="46" spans="15:31" ht="15.75" thickTop="1" x14ac:dyDescent="0.25">
      <c r="O46" s="93">
        <v>1.1000000000000001</v>
      </c>
      <c r="P46" s="93">
        <f>O46*$Q$4</f>
        <v>37.037000000000006</v>
      </c>
      <c r="Q46" s="2"/>
      <c r="T46" s="199" t="s">
        <v>101</v>
      </c>
      <c r="U46" s="199">
        <v>33.49</v>
      </c>
      <c r="W46" s="143">
        <v>42397</v>
      </c>
      <c r="X46" s="12">
        <v>25.45</v>
      </c>
      <c r="Y46" s="12">
        <v>25.86</v>
      </c>
      <c r="Z46" s="12">
        <v>24.98</v>
      </c>
      <c r="AA46" s="12">
        <v>25.41</v>
      </c>
      <c r="AB46" s="105">
        <v>885700</v>
      </c>
      <c r="AC46" s="12">
        <v>25.2</v>
      </c>
      <c r="AD46" s="2">
        <f t="shared" si="1"/>
        <v>0.87999999999999901</v>
      </c>
      <c r="AE46" s="148">
        <f t="shared" si="2"/>
        <v>1.0425020048115297E-2</v>
      </c>
    </row>
    <row r="47" spans="15:31" x14ac:dyDescent="0.25">
      <c r="O47" s="93">
        <v>1.0900000000000001</v>
      </c>
      <c r="P47" s="93">
        <f t="shared" ref="P47:P66" si="5">O47*$Q$4</f>
        <v>36.700300000000006</v>
      </c>
      <c r="Q47" s="2"/>
      <c r="T47" s="199" t="s">
        <v>102</v>
      </c>
      <c r="U47" s="199" t="s">
        <v>134</v>
      </c>
      <c r="W47" s="143">
        <v>42396</v>
      </c>
      <c r="X47" s="12">
        <v>24.89</v>
      </c>
      <c r="Y47" s="12">
        <v>25.66</v>
      </c>
      <c r="Z47" s="12">
        <v>24.82</v>
      </c>
      <c r="AA47" s="12">
        <v>25.15</v>
      </c>
      <c r="AB47" s="105">
        <v>766500</v>
      </c>
      <c r="AC47" s="12">
        <v>24.94</v>
      </c>
      <c r="AD47" s="2">
        <f t="shared" si="1"/>
        <v>0.83999999999999986</v>
      </c>
      <c r="AE47" s="148">
        <f t="shared" si="2"/>
        <v>5.6451612903225534E-3</v>
      </c>
    </row>
    <row r="48" spans="15:31" x14ac:dyDescent="0.25">
      <c r="O48" s="93">
        <v>1.08</v>
      </c>
      <c r="P48" s="93">
        <f t="shared" si="5"/>
        <v>36.363600000000005</v>
      </c>
      <c r="Q48" s="2"/>
      <c r="T48" s="199" t="s">
        <v>103</v>
      </c>
      <c r="U48" s="199" t="s">
        <v>368</v>
      </c>
      <c r="W48" s="143">
        <v>42395</v>
      </c>
      <c r="X48" s="12">
        <v>23.83</v>
      </c>
      <c r="Y48" s="12">
        <v>25.1</v>
      </c>
      <c r="Z48" s="12">
        <v>23.59</v>
      </c>
      <c r="AA48" s="12">
        <v>25.01</v>
      </c>
      <c r="AB48" s="105">
        <v>1276500</v>
      </c>
      <c r="AC48" s="12">
        <v>24.8</v>
      </c>
      <c r="AD48" s="2">
        <f t="shared" si="1"/>
        <v>1.5100000000000016</v>
      </c>
      <c r="AE48" s="148">
        <f t="shared" si="2"/>
        <v>5.7569296375266532E-2</v>
      </c>
    </row>
    <row r="49" spans="15:31" x14ac:dyDescent="0.25">
      <c r="O49" s="93">
        <v>1.07</v>
      </c>
      <c r="P49" s="93">
        <f t="shared" si="5"/>
        <v>36.026900000000005</v>
      </c>
      <c r="Q49" s="2"/>
      <c r="T49" s="199" t="s">
        <v>104</v>
      </c>
      <c r="U49" s="199" t="s">
        <v>369</v>
      </c>
      <c r="W49" s="143">
        <v>42394</v>
      </c>
      <c r="X49" s="12">
        <v>24.1</v>
      </c>
      <c r="Y49" s="12">
        <v>24.33</v>
      </c>
      <c r="Z49" s="12">
        <v>23.57</v>
      </c>
      <c r="AA49" s="12">
        <v>23.65</v>
      </c>
      <c r="AB49" s="105">
        <v>543000</v>
      </c>
      <c r="AC49" s="12">
        <v>23.45</v>
      </c>
      <c r="AD49" s="2">
        <f t="shared" si="1"/>
        <v>0.75999999999999801</v>
      </c>
      <c r="AE49" s="148">
        <f t="shared" si="2"/>
        <v>-2.5353283458021569E-2</v>
      </c>
    </row>
    <row r="50" spans="15:31" x14ac:dyDescent="0.25">
      <c r="O50" s="93">
        <v>1.06</v>
      </c>
      <c r="P50" s="93">
        <f t="shared" si="5"/>
        <v>35.690200000000004</v>
      </c>
      <c r="Q50" s="2"/>
      <c r="T50" s="199" t="s">
        <v>105</v>
      </c>
      <c r="U50" s="199">
        <v>30.86</v>
      </c>
      <c r="W50" s="143">
        <v>42391</v>
      </c>
      <c r="X50" s="12">
        <v>24.02</v>
      </c>
      <c r="Y50" s="12">
        <v>24.81</v>
      </c>
      <c r="Z50" s="12">
        <v>23.86</v>
      </c>
      <c r="AA50" s="12">
        <v>24.26</v>
      </c>
      <c r="AB50" s="105">
        <v>789700</v>
      </c>
      <c r="AC50" s="12">
        <v>24.06</v>
      </c>
      <c r="AD50" s="2">
        <f t="shared" si="1"/>
        <v>0.94999999999999929</v>
      </c>
      <c r="AE50" s="148">
        <f t="shared" si="2"/>
        <v>3.040685224839379E-2</v>
      </c>
    </row>
    <row r="51" spans="15:31" x14ac:dyDescent="0.25">
      <c r="O51" s="93">
        <v>1.05</v>
      </c>
      <c r="P51" s="93">
        <f t="shared" si="5"/>
        <v>35.353500000000004</v>
      </c>
      <c r="Q51" s="2"/>
      <c r="T51" s="199" t="s">
        <v>106</v>
      </c>
      <c r="U51" s="199">
        <v>1.28583</v>
      </c>
      <c r="W51" s="143">
        <v>42390</v>
      </c>
      <c r="X51" s="12">
        <v>23.45</v>
      </c>
      <c r="Y51" s="12">
        <v>24.01</v>
      </c>
      <c r="Z51" s="12">
        <v>23.14</v>
      </c>
      <c r="AA51" s="12">
        <v>23.55</v>
      </c>
      <c r="AB51" s="105">
        <v>709400</v>
      </c>
      <c r="AC51" s="12">
        <v>23.35</v>
      </c>
      <c r="AD51" s="2">
        <f t="shared" si="1"/>
        <v>0.87000000000000099</v>
      </c>
      <c r="AE51" s="148">
        <f t="shared" si="2"/>
        <v>6.0318828091339149E-3</v>
      </c>
    </row>
    <row r="52" spans="15:31" x14ac:dyDescent="0.25">
      <c r="O52" s="93">
        <v>1.04</v>
      </c>
      <c r="P52" s="93">
        <f t="shared" si="5"/>
        <v>35.016800000000003</v>
      </c>
      <c r="Q52" s="2"/>
      <c r="T52" s="199" t="s">
        <v>126</v>
      </c>
      <c r="U52" s="199" t="s">
        <v>216</v>
      </c>
      <c r="W52" s="143">
        <v>42389</v>
      </c>
      <c r="X52" s="12">
        <v>22.69</v>
      </c>
      <c r="Y52" s="12">
        <v>23.62</v>
      </c>
      <c r="Z52" s="12">
        <v>22.22</v>
      </c>
      <c r="AA52" s="12">
        <v>23.41</v>
      </c>
      <c r="AB52" s="105">
        <v>1558900</v>
      </c>
      <c r="AC52" s="12">
        <v>23.21</v>
      </c>
      <c r="AD52" s="2">
        <f t="shared" si="1"/>
        <v>1.4000000000000021</v>
      </c>
      <c r="AE52" s="148">
        <f t="shared" si="2"/>
        <v>-3.8626609442059534E-3</v>
      </c>
    </row>
    <row r="53" spans="15:31" x14ac:dyDescent="0.25">
      <c r="O53" s="93">
        <v>1.03</v>
      </c>
      <c r="P53" s="93">
        <f t="shared" si="5"/>
        <v>34.680100000000003</v>
      </c>
      <c r="Q53" s="2"/>
      <c r="T53" s="199"/>
      <c r="U53" s="199"/>
      <c r="W53" s="143">
        <v>42388</v>
      </c>
      <c r="X53" s="12">
        <v>24.37</v>
      </c>
      <c r="Y53" s="12">
        <v>24.7</v>
      </c>
      <c r="Z53" s="12">
        <v>23.22</v>
      </c>
      <c r="AA53" s="12">
        <v>23.5</v>
      </c>
      <c r="AB53" s="105">
        <v>991800</v>
      </c>
      <c r="AC53" s="12">
        <v>23.3</v>
      </c>
      <c r="AD53" s="2">
        <f t="shared" si="1"/>
        <v>1.4800000000000004</v>
      </c>
      <c r="AE53" s="148">
        <f t="shared" si="2"/>
        <v>-4.1546688605512028E-2</v>
      </c>
    </row>
    <row r="54" spans="15:31" x14ac:dyDescent="0.25">
      <c r="O54" s="93">
        <v>1.02</v>
      </c>
      <c r="P54" s="93">
        <f t="shared" si="5"/>
        <v>34.343400000000003</v>
      </c>
      <c r="Q54" s="2"/>
      <c r="T54" s="199" t="s">
        <v>108</v>
      </c>
      <c r="U54" s="199" t="s">
        <v>302</v>
      </c>
      <c r="W54" s="143">
        <v>42384</v>
      </c>
      <c r="X54" s="12">
        <v>24.08</v>
      </c>
      <c r="Y54" s="12">
        <v>24.65</v>
      </c>
      <c r="Z54" s="12">
        <v>23.7</v>
      </c>
      <c r="AA54" s="12">
        <v>24.52</v>
      </c>
      <c r="AB54" s="105">
        <v>646200</v>
      </c>
      <c r="AC54" s="12">
        <v>24.31</v>
      </c>
      <c r="AD54" s="2">
        <f t="shared" si="1"/>
        <v>0.94999999999999929</v>
      </c>
      <c r="AE54" s="148">
        <f t="shared" si="2"/>
        <v>-1.0984540276647636E-2</v>
      </c>
    </row>
    <row r="55" spans="15:31" x14ac:dyDescent="0.25">
      <c r="O55" s="93">
        <v>1.01</v>
      </c>
      <c r="P55" s="93">
        <f t="shared" si="5"/>
        <v>34.006700000000002</v>
      </c>
      <c r="Q55" s="2"/>
      <c r="T55" s="199" t="s">
        <v>109</v>
      </c>
      <c r="U55" s="199" t="s">
        <v>248</v>
      </c>
      <c r="W55" s="143">
        <v>42383</v>
      </c>
      <c r="X55" s="12">
        <v>24.99</v>
      </c>
      <c r="Y55" s="12">
        <v>25.05</v>
      </c>
      <c r="Z55" s="12">
        <v>24.18</v>
      </c>
      <c r="AA55" s="12">
        <v>24.79</v>
      </c>
      <c r="AB55" s="105">
        <v>976200</v>
      </c>
      <c r="AC55" s="12">
        <v>24.58</v>
      </c>
      <c r="AD55" s="2">
        <f t="shared" si="1"/>
        <v>0.87000000000000099</v>
      </c>
      <c r="AE55" s="148">
        <f t="shared" si="2"/>
        <v>0</v>
      </c>
    </row>
    <row r="56" spans="15:31" x14ac:dyDescent="0.25">
      <c r="O56" s="93">
        <v>1</v>
      </c>
      <c r="P56" s="93">
        <f t="shared" si="5"/>
        <v>33.67</v>
      </c>
      <c r="Q56" s="2"/>
      <c r="T56" s="199" t="s">
        <v>110</v>
      </c>
      <c r="U56" s="199">
        <v>0</v>
      </c>
      <c r="W56" s="143">
        <v>42382</v>
      </c>
      <c r="X56" s="12">
        <v>25.66</v>
      </c>
      <c r="Y56" s="12">
        <v>25.81</v>
      </c>
      <c r="Z56" s="12">
        <v>24.76</v>
      </c>
      <c r="AA56" s="12">
        <v>24.79</v>
      </c>
      <c r="AB56" s="105">
        <v>859500</v>
      </c>
      <c r="AC56" s="12">
        <v>24.58</v>
      </c>
      <c r="AD56" s="2">
        <f t="shared" si="1"/>
        <v>1.0499999999999972</v>
      </c>
      <c r="AE56" s="148">
        <f t="shared" si="2"/>
        <v>-2.7689873417721667E-2</v>
      </c>
    </row>
    <row r="57" spans="15:31" x14ac:dyDescent="0.25">
      <c r="O57" s="93">
        <v>0.99</v>
      </c>
      <c r="P57" s="93">
        <f t="shared" si="5"/>
        <v>33.333300000000001</v>
      </c>
      <c r="Q57" s="2"/>
      <c r="T57" s="199" t="s">
        <v>113</v>
      </c>
      <c r="U57" s="200">
        <v>1029640</v>
      </c>
      <c r="W57" s="143">
        <v>42381</v>
      </c>
      <c r="X57" s="12">
        <v>25.6</v>
      </c>
      <c r="Y57" s="12">
        <v>25.73</v>
      </c>
      <c r="Z57" s="12">
        <v>24.76</v>
      </c>
      <c r="AA57" s="12">
        <v>25.5</v>
      </c>
      <c r="AB57" s="105">
        <v>915700</v>
      </c>
      <c r="AC57" s="12">
        <v>25.28</v>
      </c>
      <c r="AD57" s="2">
        <f t="shared" si="1"/>
        <v>0.96999999999999886</v>
      </c>
      <c r="AE57" s="148">
        <f t="shared" si="2"/>
        <v>6.7702110712863917E-3</v>
      </c>
    </row>
    <row r="58" spans="15:31" x14ac:dyDescent="0.25">
      <c r="O58" s="93">
        <v>0.98</v>
      </c>
      <c r="P58" s="93">
        <f t="shared" si="5"/>
        <v>32.996600000000001</v>
      </c>
      <c r="Q58" s="2"/>
      <c r="T58" s="199" t="s">
        <v>111</v>
      </c>
      <c r="U58" s="199" t="s">
        <v>370</v>
      </c>
      <c r="W58" s="143">
        <v>42380</v>
      </c>
      <c r="X58" s="12">
        <v>25.91</v>
      </c>
      <c r="Y58" s="12">
        <v>26</v>
      </c>
      <c r="Z58" s="12">
        <v>25.06</v>
      </c>
      <c r="AA58" s="12">
        <v>25.32</v>
      </c>
      <c r="AB58" s="105">
        <v>1038700</v>
      </c>
      <c r="AC58" s="12">
        <v>25.11</v>
      </c>
      <c r="AD58" s="2">
        <f t="shared" si="1"/>
        <v>0.94000000000000128</v>
      </c>
      <c r="AE58" s="148">
        <f t="shared" si="2"/>
        <v>-1.6065830721003094E-2</v>
      </c>
    </row>
    <row r="59" spans="15:31" x14ac:dyDescent="0.25">
      <c r="O59" s="93">
        <v>0.97</v>
      </c>
      <c r="P59" s="93">
        <f t="shared" si="5"/>
        <v>32.6599</v>
      </c>
      <c r="T59" s="199" t="s">
        <v>114</v>
      </c>
      <c r="U59" s="199" t="s">
        <v>134</v>
      </c>
      <c r="W59" s="143">
        <v>42377</v>
      </c>
      <c r="X59" s="12">
        <v>26.88</v>
      </c>
      <c r="Y59" s="12">
        <v>27.09</v>
      </c>
      <c r="Z59" s="12">
        <v>25.69</v>
      </c>
      <c r="AA59" s="12">
        <v>25.74</v>
      </c>
      <c r="AB59" s="105">
        <v>1321500</v>
      </c>
      <c r="AC59" s="12">
        <v>25.52</v>
      </c>
      <c r="AD59" s="2">
        <f t="shared" si="1"/>
        <v>1.3999999999999986</v>
      </c>
      <c r="AE59" s="148">
        <f t="shared" si="2"/>
        <v>-3.5889686437476365E-2</v>
      </c>
    </row>
    <row r="60" spans="15:31" x14ac:dyDescent="0.25">
      <c r="O60" s="93">
        <v>0.96</v>
      </c>
      <c r="P60" s="93">
        <f t="shared" si="5"/>
        <v>32.3232</v>
      </c>
      <c r="T60" s="199" t="s">
        <v>115</v>
      </c>
      <c r="U60" s="199">
        <v>-0.84</v>
      </c>
      <c r="W60" s="143">
        <v>42376</v>
      </c>
      <c r="X60" s="12">
        <v>27.09</v>
      </c>
      <c r="Y60" s="12">
        <v>27.3</v>
      </c>
      <c r="Z60" s="12">
        <v>26.61</v>
      </c>
      <c r="AA60" s="12">
        <v>26.7</v>
      </c>
      <c r="AB60" s="105">
        <v>1566300</v>
      </c>
      <c r="AC60" s="12">
        <v>26.47</v>
      </c>
      <c r="AD60" s="2">
        <f t="shared" si="1"/>
        <v>0.69000000000000128</v>
      </c>
      <c r="AE60" s="148">
        <f t="shared" si="2"/>
        <v>-2.7910392948953366E-2</v>
      </c>
    </row>
    <row r="61" spans="15:31" x14ac:dyDescent="0.25">
      <c r="O61" s="93">
        <v>0.95</v>
      </c>
      <c r="P61" s="93">
        <f t="shared" si="5"/>
        <v>31.986499999999999</v>
      </c>
      <c r="T61" s="199" t="s">
        <v>112</v>
      </c>
      <c r="U61" s="199" t="s">
        <v>371</v>
      </c>
      <c r="W61" s="143">
        <v>42375</v>
      </c>
      <c r="X61" s="12">
        <v>27.11</v>
      </c>
      <c r="Y61" s="12">
        <v>27.64</v>
      </c>
      <c r="Z61" s="12">
        <v>27.06</v>
      </c>
      <c r="AA61" s="12">
        <v>27.46</v>
      </c>
      <c r="AB61" s="105">
        <v>933700</v>
      </c>
      <c r="AC61" s="12">
        <v>27.23</v>
      </c>
      <c r="AD61" s="2">
        <f t="shared" si="1"/>
        <v>0.58000000000000185</v>
      </c>
      <c r="AE61" s="148">
        <f t="shared" si="2"/>
        <v>-1.3048205871692642E-2</v>
      </c>
    </row>
    <row r="62" spans="15:31" x14ac:dyDescent="0.25">
      <c r="O62" s="93">
        <v>0.94</v>
      </c>
      <c r="P62" s="93">
        <f t="shared" si="5"/>
        <v>31.649799999999999</v>
      </c>
      <c r="W62" s="143">
        <v>42374</v>
      </c>
      <c r="X62" s="12">
        <v>28.33</v>
      </c>
      <c r="Y62" s="12">
        <v>28.43</v>
      </c>
      <c r="Z62" s="12">
        <v>27.51</v>
      </c>
      <c r="AA62" s="12">
        <v>27.82</v>
      </c>
      <c r="AB62" s="105">
        <v>554900</v>
      </c>
      <c r="AC62" s="12">
        <v>27.59</v>
      </c>
      <c r="AD62" s="2">
        <f t="shared" si="1"/>
        <v>0.91999999999999815</v>
      </c>
      <c r="AE62" s="148">
        <f t="shared" si="2"/>
        <v>-1.7799928800284803E-2</v>
      </c>
    </row>
    <row r="63" spans="15:31" x14ac:dyDescent="0.25">
      <c r="O63" s="93">
        <v>0.93</v>
      </c>
      <c r="P63" s="93">
        <f t="shared" si="5"/>
        <v>31.313100000000002</v>
      </c>
      <c r="W63" s="143">
        <v>42373</v>
      </c>
      <c r="X63" s="12">
        <v>27.94</v>
      </c>
      <c r="Y63" s="12">
        <v>28.36</v>
      </c>
      <c r="Z63" s="12">
        <v>27.74</v>
      </c>
      <c r="AA63" s="12">
        <v>28.33</v>
      </c>
      <c r="AB63" s="105">
        <v>691300</v>
      </c>
      <c r="AC63" s="12">
        <v>28.09</v>
      </c>
      <c r="AD63" s="2">
        <f t="shared" si="1"/>
        <v>0.62000000000000099</v>
      </c>
      <c r="AE63" s="148">
        <f t="shared" si="2"/>
        <v>-9.1710758377425705E-3</v>
      </c>
    </row>
    <row r="64" spans="15:31" x14ac:dyDescent="0.25">
      <c r="O64" s="93">
        <v>0.92</v>
      </c>
      <c r="P64" s="93">
        <f t="shared" si="5"/>
        <v>30.976400000000002</v>
      </c>
      <c r="W64" s="143">
        <v>42369</v>
      </c>
      <c r="X64" s="12">
        <v>28.55</v>
      </c>
      <c r="Y64" s="12">
        <v>28.95</v>
      </c>
      <c r="Z64" s="12">
        <v>28.41</v>
      </c>
      <c r="AA64" s="12">
        <v>28.59</v>
      </c>
      <c r="AB64" s="105">
        <v>655500</v>
      </c>
      <c r="AC64" s="12">
        <v>28.35</v>
      </c>
      <c r="AD64" s="2">
        <f t="shared" si="1"/>
        <v>0.53999999999999915</v>
      </c>
      <c r="AE64" s="148">
        <f t="shared" si="2"/>
        <v>-2.4630541871921707E-3</v>
      </c>
    </row>
    <row r="65" spans="15:31" x14ac:dyDescent="0.25">
      <c r="O65" s="93">
        <v>0.91</v>
      </c>
      <c r="P65" s="93">
        <f t="shared" si="5"/>
        <v>30.639700000000001</v>
      </c>
      <c r="W65" s="143">
        <v>42368</v>
      </c>
      <c r="X65" s="12">
        <v>28.5</v>
      </c>
      <c r="Y65" s="12">
        <v>28.9</v>
      </c>
      <c r="Z65" s="12">
        <v>28.47</v>
      </c>
      <c r="AA65" s="12">
        <v>28.66</v>
      </c>
      <c r="AB65" s="105">
        <v>457700</v>
      </c>
      <c r="AC65" s="12">
        <v>28.42</v>
      </c>
      <c r="AD65" s="2">
        <f t="shared" si="1"/>
        <v>0.42999999999999972</v>
      </c>
      <c r="AE65" s="148">
        <f t="shared" si="2"/>
        <v>1.7624250969334732E-3</v>
      </c>
    </row>
    <row r="66" spans="15:31" x14ac:dyDescent="0.25">
      <c r="O66" s="93">
        <v>0.9</v>
      </c>
      <c r="P66" s="93">
        <f t="shared" si="5"/>
        <v>30.303000000000001</v>
      </c>
      <c r="W66" s="143">
        <v>42367</v>
      </c>
      <c r="X66" s="12">
        <v>28.66</v>
      </c>
      <c r="Y66" s="12">
        <v>28.85</v>
      </c>
      <c r="Z66" s="12">
        <v>28.27</v>
      </c>
      <c r="AA66" s="12">
        <v>28.61</v>
      </c>
      <c r="AB66" s="105">
        <v>493600</v>
      </c>
      <c r="AC66" s="12">
        <v>28.37</v>
      </c>
      <c r="AD66" s="2">
        <f t="shared" si="1"/>
        <v>0.58000000000000185</v>
      </c>
      <c r="AE66" s="148">
        <f t="shared" si="2"/>
        <v>5.6717476072314366E-3</v>
      </c>
    </row>
    <row r="67" spans="15:31" x14ac:dyDescent="0.25">
      <c r="W67" s="143">
        <v>42366</v>
      </c>
      <c r="X67" s="12">
        <v>28.81</v>
      </c>
      <c r="Y67" s="12">
        <v>28.94</v>
      </c>
      <c r="Z67" s="12">
        <v>28.29</v>
      </c>
      <c r="AA67" s="12">
        <v>28.45</v>
      </c>
      <c r="AB67" s="105">
        <v>486700</v>
      </c>
      <c r="AC67" s="12">
        <v>28.21</v>
      </c>
      <c r="AD67" s="2">
        <f t="shared" ref="AD67:AD68" si="6">Y67-Z67</f>
        <v>0.65000000000000213</v>
      </c>
      <c r="AE67" s="148">
        <f t="shared" ref="AE67" si="7">AC67/AC68-1</f>
        <v>-1.8441196938065341E-2</v>
      </c>
    </row>
    <row r="68" spans="15:31" x14ac:dyDescent="0.25">
      <c r="W68" s="143">
        <v>42362</v>
      </c>
      <c r="X68" s="12">
        <v>28.77</v>
      </c>
      <c r="Y68" s="12">
        <v>29.19</v>
      </c>
      <c r="Z68" s="12">
        <v>28.77</v>
      </c>
      <c r="AA68" s="12">
        <v>28.98</v>
      </c>
      <c r="AB68" s="105">
        <v>248200</v>
      </c>
      <c r="AC68" s="12">
        <v>28.74</v>
      </c>
      <c r="AD68" s="2">
        <f t="shared" si="6"/>
        <v>0.42000000000000171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1" priority="10">
      <formula>Q7&gt;0</formula>
    </cfRule>
    <cfRule type="expression" dxfId="40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9" priority="3">
      <formula>F14&gt;0</formula>
    </cfRule>
    <cfRule type="expression" dxfId="38" priority="4">
      <formula>F14&lt;0</formula>
    </cfRule>
  </conditionalFormatting>
  <conditionalFormatting sqref="H14:H25">
    <cfRule type="expression" dxfId="37" priority="1">
      <formula>H14&gt;0</formula>
    </cfRule>
    <cfRule type="expression" dxfId="3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160</v>
      </c>
      <c r="W2" s="143">
        <v>42460</v>
      </c>
      <c r="X2" s="12">
        <v>100.08</v>
      </c>
      <c r="Y2" s="12">
        <v>100.42</v>
      </c>
      <c r="Z2" s="12">
        <v>98.99</v>
      </c>
      <c r="AA2" s="12">
        <v>100.1</v>
      </c>
      <c r="AB2" s="105">
        <v>3803400</v>
      </c>
      <c r="AC2" s="12">
        <v>100.1</v>
      </c>
      <c r="AD2" s="2">
        <f>Y2-Z2</f>
        <v>1.4300000000000068</v>
      </c>
      <c r="AE2" s="148">
        <f>AC2/AC3-1</f>
        <v>-1.4962593516210099E-3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99.97</v>
      </c>
      <c r="W3" s="143">
        <v>42459</v>
      </c>
      <c r="X3" s="12">
        <v>100.82</v>
      </c>
      <c r="Y3" s="12">
        <v>101</v>
      </c>
      <c r="Z3" s="12">
        <v>99.9</v>
      </c>
      <c r="AA3" s="12">
        <v>100.25</v>
      </c>
      <c r="AB3" s="105">
        <v>3006900</v>
      </c>
      <c r="AC3" s="12">
        <v>100.25</v>
      </c>
      <c r="AD3" s="2">
        <f t="shared" ref="AD3:AD66" si="0">Y3-Z3</f>
        <v>1.0999999999999943</v>
      </c>
      <c r="AE3" s="148">
        <f t="shared" ref="AE3:AE66" si="1">AC3/AC4-1</f>
        <v>1.2984418697561395E-3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99.97</v>
      </c>
      <c r="W4" s="143">
        <v>42458</v>
      </c>
      <c r="X4" s="12">
        <v>98.41</v>
      </c>
      <c r="Y4" s="12">
        <v>100.32</v>
      </c>
      <c r="Z4" s="12">
        <v>98.08</v>
      </c>
      <c r="AA4" s="12">
        <v>100.12</v>
      </c>
      <c r="AB4" s="105">
        <v>3730000</v>
      </c>
      <c r="AC4" s="12">
        <v>100.12</v>
      </c>
      <c r="AD4" s="2">
        <f t="shared" si="0"/>
        <v>2.2399999999999949</v>
      </c>
      <c r="AE4" s="148">
        <f t="shared" si="1"/>
        <v>1.2233343443534661E-2</v>
      </c>
    </row>
    <row r="5" spans="1:31" x14ac:dyDescent="0.25">
      <c r="O5" s="13" t="s">
        <v>67</v>
      </c>
      <c r="Q5" s="3">
        <f>Q4*Q2</f>
        <v>0</v>
      </c>
      <c r="W5" s="143">
        <v>42457</v>
      </c>
      <c r="X5" s="12">
        <v>98.96</v>
      </c>
      <c r="Y5" s="12">
        <v>99.29</v>
      </c>
      <c r="Z5" s="12">
        <v>98.65</v>
      </c>
      <c r="AA5" s="12">
        <v>98.91</v>
      </c>
      <c r="AB5" s="105">
        <v>2276700</v>
      </c>
      <c r="AC5" s="12">
        <v>98.91</v>
      </c>
      <c r="AD5" s="2">
        <f t="shared" si="0"/>
        <v>0.64000000000000057</v>
      </c>
      <c r="AE5" s="148">
        <f t="shared" si="1"/>
        <v>-1.5142337976984388E-3</v>
      </c>
    </row>
    <row r="6" spans="1:31" x14ac:dyDescent="0.25">
      <c r="O6" s="13" t="s">
        <v>64</v>
      </c>
      <c r="Q6" s="2">
        <f>Q3*Q2</f>
        <v>0</v>
      </c>
      <c r="W6" s="143">
        <v>42453</v>
      </c>
      <c r="X6" s="12">
        <v>98.15</v>
      </c>
      <c r="Y6" s="12">
        <v>99.08</v>
      </c>
      <c r="Z6" s="12">
        <v>98</v>
      </c>
      <c r="AA6" s="12">
        <v>99.06</v>
      </c>
      <c r="AB6" s="105">
        <v>2847000</v>
      </c>
      <c r="AC6" s="12">
        <v>99.06</v>
      </c>
      <c r="AD6" s="2">
        <f t="shared" si="0"/>
        <v>1.0799999999999983</v>
      </c>
      <c r="AE6" s="148">
        <f t="shared" si="1"/>
        <v>-5.044899606497788E-4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42452</v>
      </c>
      <c r="X7" s="12">
        <v>98.77</v>
      </c>
      <c r="Y7" s="12">
        <v>99.47</v>
      </c>
      <c r="Z7" s="12">
        <v>98.28</v>
      </c>
      <c r="AA7" s="12">
        <v>99.11</v>
      </c>
      <c r="AB7" s="105">
        <v>3226900</v>
      </c>
      <c r="AC7" s="12">
        <v>99.11</v>
      </c>
      <c r="AD7" s="2">
        <f t="shared" si="0"/>
        <v>1.1899999999999977</v>
      </c>
      <c r="AE7" s="148">
        <f t="shared" si="1"/>
        <v>4.5611189945267139E-3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42451</v>
      </c>
      <c r="X8" s="12">
        <v>98.68</v>
      </c>
      <c r="Y8" s="12">
        <v>99.27</v>
      </c>
      <c r="Z8" s="12">
        <v>98.31</v>
      </c>
      <c r="AA8" s="12">
        <v>98.66</v>
      </c>
      <c r="AB8" s="105">
        <v>3507900</v>
      </c>
      <c r="AC8" s="12">
        <v>98.66</v>
      </c>
      <c r="AD8" s="2">
        <f t="shared" si="0"/>
        <v>0.95999999999999375</v>
      </c>
      <c r="AE8" s="148">
        <f t="shared" si="1"/>
        <v>-5.1426842795200267E-3</v>
      </c>
    </row>
    <row r="9" spans="1:31" x14ac:dyDescent="0.25">
      <c r="W9" s="143">
        <v>42450</v>
      </c>
      <c r="X9" s="12">
        <v>99.08</v>
      </c>
      <c r="Y9" s="12">
        <v>99.6</v>
      </c>
      <c r="Z9" s="12">
        <v>98.79</v>
      </c>
      <c r="AA9" s="12">
        <v>99.17</v>
      </c>
      <c r="AB9" s="105">
        <v>3926000</v>
      </c>
      <c r="AC9" s="12">
        <v>99.17</v>
      </c>
      <c r="AD9" s="2">
        <f t="shared" si="0"/>
        <v>0.80999999999998806</v>
      </c>
      <c r="AE9" s="148">
        <f t="shared" si="1"/>
        <v>1.2115093387179421E-3</v>
      </c>
    </row>
    <row r="10" spans="1:31" x14ac:dyDescent="0.25">
      <c r="W10" s="143">
        <v>42447</v>
      </c>
      <c r="X10" s="12">
        <v>99.21</v>
      </c>
      <c r="Y10" s="12">
        <v>100.29</v>
      </c>
      <c r="Z10" s="12">
        <v>98.82</v>
      </c>
      <c r="AA10" s="12">
        <v>99.05</v>
      </c>
      <c r="AB10" s="105">
        <v>9422000</v>
      </c>
      <c r="AC10" s="12">
        <v>99.05</v>
      </c>
      <c r="AD10" s="2">
        <f t="shared" si="0"/>
        <v>1.4700000000000131</v>
      </c>
      <c r="AE10" s="148">
        <f t="shared" si="1"/>
        <v>2.1246458923511735E-3</v>
      </c>
    </row>
    <row r="11" spans="1:31" x14ac:dyDescent="0.25">
      <c r="W11" s="143">
        <v>42446</v>
      </c>
      <c r="X11" s="12">
        <v>97.82</v>
      </c>
      <c r="Y11" s="12">
        <v>99.27</v>
      </c>
      <c r="Z11" s="12">
        <v>97.39</v>
      </c>
      <c r="AA11" s="12">
        <v>98.84</v>
      </c>
      <c r="AB11" s="105">
        <v>4159600</v>
      </c>
      <c r="AC11" s="12">
        <v>98.84</v>
      </c>
      <c r="AD11" s="2">
        <f t="shared" si="0"/>
        <v>1.8799999999999955</v>
      </c>
      <c r="AE11" s="148">
        <f t="shared" si="1"/>
        <v>1.3847574110165128E-2</v>
      </c>
    </row>
    <row r="12" spans="1:31" x14ac:dyDescent="0.25">
      <c r="W12" s="143">
        <v>42445</v>
      </c>
      <c r="X12" s="12">
        <v>96.2</v>
      </c>
      <c r="Y12" s="12">
        <v>98</v>
      </c>
      <c r="Z12" s="12">
        <v>96</v>
      </c>
      <c r="AA12" s="12">
        <v>97.49</v>
      </c>
      <c r="AB12" s="105">
        <v>4555000</v>
      </c>
      <c r="AC12" s="12">
        <v>97.49</v>
      </c>
      <c r="AD12" s="2">
        <f t="shared" si="0"/>
        <v>2</v>
      </c>
      <c r="AE12" s="148">
        <f t="shared" si="1"/>
        <v>1.2462353307716167E-2</v>
      </c>
    </row>
    <row r="13" spans="1:31" x14ac:dyDescent="0.25">
      <c r="W13" s="143">
        <v>42444</v>
      </c>
      <c r="X13" s="12">
        <v>96.06</v>
      </c>
      <c r="Y13" s="12">
        <v>96.7</v>
      </c>
      <c r="Z13" s="12">
        <v>95.88</v>
      </c>
      <c r="AA13" s="12">
        <v>96.29</v>
      </c>
      <c r="AB13" s="105">
        <v>2750100</v>
      </c>
      <c r="AC13" s="12">
        <v>96.29</v>
      </c>
      <c r="AD13" s="2">
        <f t="shared" si="0"/>
        <v>0.82000000000000739</v>
      </c>
      <c r="AE13" s="148">
        <f t="shared" si="1"/>
        <v>-5.5767840545284386E-3</v>
      </c>
    </row>
    <row r="14" spans="1:31" x14ac:dyDescent="0.25">
      <c r="W14" s="143">
        <v>42443</v>
      </c>
      <c r="X14" s="12">
        <v>96.3</v>
      </c>
      <c r="Y14" s="12">
        <v>97.37</v>
      </c>
      <c r="Z14" s="12">
        <v>96.29</v>
      </c>
      <c r="AA14" s="12">
        <v>96.83</v>
      </c>
      <c r="AB14" s="105">
        <v>3972100</v>
      </c>
      <c r="AC14" s="12">
        <v>96.83</v>
      </c>
      <c r="AD14" s="2">
        <f t="shared" si="0"/>
        <v>1.0799999999999983</v>
      </c>
      <c r="AE14" s="148">
        <f t="shared" si="1"/>
        <v>8.268733850129717E-4</v>
      </c>
    </row>
    <row r="15" spans="1:31" x14ac:dyDescent="0.25">
      <c r="W15" s="143">
        <v>42440</v>
      </c>
      <c r="X15" s="12">
        <v>97.18</v>
      </c>
      <c r="Y15" s="12">
        <v>97.65</v>
      </c>
      <c r="Z15" s="12">
        <v>96.47</v>
      </c>
      <c r="AA15" s="12">
        <v>96.75</v>
      </c>
      <c r="AB15" s="105">
        <v>4027800</v>
      </c>
      <c r="AC15" s="12">
        <v>96.75</v>
      </c>
      <c r="AD15" s="2">
        <f t="shared" si="0"/>
        <v>1.1800000000000068</v>
      </c>
      <c r="AE15" s="148">
        <f t="shared" si="1"/>
        <v>5.926388022457818E-3</v>
      </c>
    </row>
    <row r="16" spans="1:31" x14ac:dyDescent="0.25">
      <c r="W16" s="143">
        <v>42439</v>
      </c>
      <c r="X16" s="12">
        <v>96.6</v>
      </c>
      <c r="Y16" s="12">
        <v>97.12</v>
      </c>
      <c r="Z16" s="12">
        <v>95.05</v>
      </c>
      <c r="AA16" s="12">
        <v>96.18</v>
      </c>
      <c r="AB16" s="105">
        <v>4798300</v>
      </c>
      <c r="AC16" s="12">
        <v>96.18</v>
      </c>
      <c r="AD16" s="2">
        <f t="shared" si="0"/>
        <v>2.0700000000000074</v>
      </c>
      <c r="AE16" s="148">
        <f t="shared" si="1"/>
        <v>-4.3478260869563856E-3</v>
      </c>
    </row>
    <row r="17" spans="9:31" x14ac:dyDescent="0.25">
      <c r="W17" s="143">
        <v>42438</v>
      </c>
      <c r="X17" s="12">
        <v>97.32</v>
      </c>
      <c r="Y17" s="12">
        <v>97.48</v>
      </c>
      <c r="Z17" s="12">
        <v>96.4</v>
      </c>
      <c r="AA17" s="12">
        <v>96.6</v>
      </c>
      <c r="AB17" s="105">
        <v>4158900</v>
      </c>
      <c r="AC17" s="12">
        <v>96.6</v>
      </c>
      <c r="AD17" s="2">
        <f t="shared" si="0"/>
        <v>1.0799999999999983</v>
      </c>
      <c r="AE17" s="148">
        <f t="shared" si="1"/>
        <v>-3.0959752321982892E-3</v>
      </c>
    </row>
    <row r="18" spans="9:31" x14ac:dyDescent="0.25">
      <c r="W18" s="143">
        <v>42437</v>
      </c>
      <c r="X18" s="12">
        <v>96.14</v>
      </c>
      <c r="Y18" s="12">
        <v>97.49</v>
      </c>
      <c r="Z18" s="12">
        <v>96.13</v>
      </c>
      <c r="AA18" s="12">
        <v>96.9</v>
      </c>
      <c r="AB18" s="105">
        <v>5341900</v>
      </c>
      <c r="AC18" s="12">
        <v>96.9</v>
      </c>
      <c r="AD18" s="2">
        <f t="shared" si="0"/>
        <v>1.3599999999999994</v>
      </c>
      <c r="AE18" s="148">
        <f t="shared" si="1"/>
        <v>-2.0635575732563805E-4</v>
      </c>
    </row>
    <row r="19" spans="9:31" x14ac:dyDescent="0.25">
      <c r="I19" s="2"/>
      <c r="W19" s="143">
        <v>42436</v>
      </c>
      <c r="X19" s="12">
        <v>96.55</v>
      </c>
      <c r="Y19" s="12">
        <v>97.46</v>
      </c>
      <c r="Z19" s="12">
        <v>96.05</v>
      </c>
      <c r="AA19" s="12">
        <v>96.92</v>
      </c>
      <c r="AB19" s="105">
        <v>6296100</v>
      </c>
      <c r="AC19" s="12">
        <v>96.92</v>
      </c>
      <c r="AD19" s="2">
        <f t="shared" si="0"/>
        <v>1.4099999999999966</v>
      </c>
      <c r="AE19" s="148">
        <f t="shared" si="1"/>
        <v>-8.2474226804118977E-4</v>
      </c>
    </row>
    <row r="20" spans="9:31" x14ac:dyDescent="0.25">
      <c r="W20" s="143">
        <v>42433</v>
      </c>
      <c r="X20" s="12">
        <v>96.17</v>
      </c>
      <c r="Y20" s="12">
        <v>97.3</v>
      </c>
      <c r="Z20" s="12">
        <v>95.78</v>
      </c>
      <c r="AA20" s="12">
        <v>97</v>
      </c>
      <c r="AB20" s="105">
        <v>4620600</v>
      </c>
      <c r="AC20" s="12">
        <v>97</v>
      </c>
      <c r="AD20" s="2">
        <f t="shared" si="0"/>
        <v>1.519999999999996</v>
      </c>
      <c r="AE20" s="148">
        <f t="shared" si="1"/>
        <v>9.2602226615337013E-3</v>
      </c>
    </row>
    <row r="21" spans="9:31" x14ac:dyDescent="0.25">
      <c r="W21" s="143">
        <v>42432</v>
      </c>
      <c r="X21" s="12">
        <v>95.2</v>
      </c>
      <c r="Y21" s="12">
        <v>96.15</v>
      </c>
      <c r="Z21" s="12">
        <v>95.07</v>
      </c>
      <c r="AA21" s="12">
        <v>96.11</v>
      </c>
      <c r="AB21" s="105">
        <v>4590100</v>
      </c>
      <c r="AC21" s="12">
        <v>96.11</v>
      </c>
      <c r="AD21" s="2">
        <f t="shared" si="0"/>
        <v>1.0800000000000125</v>
      </c>
      <c r="AE21" s="148">
        <f t="shared" si="1"/>
        <v>6.0713911860148517E-3</v>
      </c>
    </row>
    <row r="22" spans="9:31" x14ac:dyDescent="0.25">
      <c r="W22" s="143">
        <v>42431</v>
      </c>
      <c r="X22" s="12">
        <v>94.76</v>
      </c>
      <c r="Y22" s="12">
        <v>96</v>
      </c>
      <c r="Z22" s="12">
        <v>94.4</v>
      </c>
      <c r="AA22" s="12">
        <v>95.53</v>
      </c>
      <c r="AB22" s="105">
        <v>5419000</v>
      </c>
      <c r="AC22" s="12">
        <v>95.53</v>
      </c>
      <c r="AD22" s="2">
        <f t="shared" si="0"/>
        <v>1.5999999999999943</v>
      </c>
      <c r="AE22" s="148">
        <f t="shared" si="1"/>
        <v>5.0499736980536003E-3</v>
      </c>
    </row>
    <row r="23" spans="9:31" x14ac:dyDescent="0.25">
      <c r="W23" s="143">
        <v>42430</v>
      </c>
      <c r="X23" s="12">
        <v>92.22</v>
      </c>
      <c r="Y23" s="12">
        <v>95.05</v>
      </c>
      <c r="Z23" s="12">
        <v>92.07</v>
      </c>
      <c r="AA23" s="12">
        <v>95.05</v>
      </c>
      <c r="AB23" s="105">
        <v>12339800</v>
      </c>
      <c r="AC23" s="12">
        <v>95.05</v>
      </c>
      <c r="AD23" s="2">
        <f t="shared" si="0"/>
        <v>2.980000000000004</v>
      </c>
      <c r="AE23" s="148">
        <f t="shared" si="1"/>
        <v>-1.6249223763196152E-2</v>
      </c>
    </row>
    <row r="24" spans="9:31" x14ac:dyDescent="0.25">
      <c r="W24" s="143">
        <v>42429</v>
      </c>
      <c r="X24" s="12">
        <v>97.43</v>
      </c>
      <c r="Y24" s="12">
        <v>98.87</v>
      </c>
      <c r="Z24" s="12">
        <v>96.51</v>
      </c>
      <c r="AA24" s="12">
        <v>96.62</v>
      </c>
      <c r="AB24" s="105">
        <v>7911400</v>
      </c>
      <c r="AC24" s="12">
        <v>96.62</v>
      </c>
      <c r="AD24" s="2">
        <f t="shared" si="0"/>
        <v>2.3599999999999994</v>
      </c>
      <c r="AE24" s="148">
        <f t="shared" si="1"/>
        <v>-1.0953014638141023E-2</v>
      </c>
    </row>
    <row r="25" spans="9:31" x14ac:dyDescent="0.25">
      <c r="W25" s="143">
        <v>42426</v>
      </c>
      <c r="X25" s="12">
        <v>100.21</v>
      </c>
      <c r="Y25" s="12">
        <v>100.55</v>
      </c>
      <c r="Z25" s="12">
        <v>96.5</v>
      </c>
      <c r="AA25" s="12">
        <v>97.69</v>
      </c>
      <c r="AB25" s="105">
        <v>14653100</v>
      </c>
      <c r="AC25" s="12">
        <v>97.69</v>
      </c>
      <c r="AD25" s="2">
        <f t="shared" si="0"/>
        <v>4.0499999999999972</v>
      </c>
      <c r="AE25" s="148">
        <f t="shared" si="1"/>
        <v>-3.8747833180381441E-3</v>
      </c>
    </row>
    <row r="26" spans="9:31" x14ac:dyDescent="0.25">
      <c r="W26" s="143">
        <v>42425</v>
      </c>
      <c r="X26" s="12">
        <v>93.91</v>
      </c>
      <c r="Y26" s="12">
        <v>98.73</v>
      </c>
      <c r="Z26" s="12">
        <v>93.68</v>
      </c>
      <c r="AA26" s="12">
        <v>98.07</v>
      </c>
      <c r="AB26" s="105">
        <v>16832200</v>
      </c>
      <c r="AC26" s="12">
        <v>98.07</v>
      </c>
      <c r="AD26" s="2">
        <f t="shared" si="0"/>
        <v>5.0499999999999972</v>
      </c>
      <c r="AE26" s="148">
        <f t="shared" si="1"/>
        <v>4.7644482427090962E-2</v>
      </c>
    </row>
    <row r="27" spans="9:31" x14ac:dyDescent="0.25">
      <c r="W27" s="143">
        <v>42424</v>
      </c>
      <c r="X27" s="12">
        <v>91.11</v>
      </c>
      <c r="Y27" s="12">
        <v>94.15</v>
      </c>
      <c r="Z27" s="12">
        <v>91.11</v>
      </c>
      <c r="AA27" s="12">
        <v>93.61</v>
      </c>
      <c r="AB27" s="105">
        <v>16975100</v>
      </c>
      <c r="AC27" s="12">
        <v>93.61</v>
      </c>
      <c r="AD27" s="2">
        <f t="shared" si="0"/>
        <v>3.0400000000000063</v>
      </c>
      <c r="AE27" s="148">
        <f t="shared" si="1"/>
        <v>2.194323144104815E-2</v>
      </c>
    </row>
    <row r="28" spans="9:31" x14ac:dyDescent="0.25">
      <c r="W28" s="143">
        <v>42423</v>
      </c>
      <c r="X28" s="12">
        <v>92.23</v>
      </c>
      <c r="Y28" s="12">
        <v>92.43</v>
      </c>
      <c r="Z28" s="12">
        <v>90.49</v>
      </c>
      <c r="AA28" s="12">
        <v>91.6</v>
      </c>
      <c r="AB28" s="105">
        <v>11538700</v>
      </c>
      <c r="AC28" s="12">
        <v>91.6</v>
      </c>
      <c r="AD28" s="2">
        <f t="shared" si="0"/>
        <v>1.9400000000000119</v>
      </c>
      <c r="AE28" s="148">
        <f t="shared" si="1"/>
        <v>-8.3360398397749336E-3</v>
      </c>
    </row>
    <row r="29" spans="9:31" x14ac:dyDescent="0.25">
      <c r="W29" s="143">
        <v>42422</v>
      </c>
      <c r="X29" s="12">
        <v>89.19</v>
      </c>
      <c r="Y29" s="12">
        <v>94.91</v>
      </c>
      <c r="Z29" s="12">
        <v>88.87</v>
      </c>
      <c r="AA29" s="12">
        <v>92.37</v>
      </c>
      <c r="AB29" s="105">
        <v>21599700</v>
      </c>
      <c r="AC29" s="12">
        <v>92.37</v>
      </c>
      <c r="AD29" s="2">
        <f t="shared" si="0"/>
        <v>6.039999999999992</v>
      </c>
      <c r="AE29" s="148">
        <f t="shared" si="1"/>
        <v>4.6922815368922066E-2</v>
      </c>
    </row>
    <row r="30" spans="9:31" x14ac:dyDescent="0.25">
      <c r="W30" s="143">
        <v>42419</v>
      </c>
      <c r="X30" s="12">
        <v>88.35</v>
      </c>
      <c r="Y30" s="12">
        <v>88.99</v>
      </c>
      <c r="Z30" s="12">
        <v>87.42</v>
      </c>
      <c r="AA30" s="12">
        <v>88.23</v>
      </c>
      <c r="AB30" s="105">
        <v>10641700</v>
      </c>
      <c r="AC30" s="12">
        <v>88.23</v>
      </c>
      <c r="AD30" s="2">
        <f t="shared" si="0"/>
        <v>1.5699999999999932</v>
      </c>
      <c r="AE30" s="148">
        <f t="shared" si="1"/>
        <v>-1.4712539610682862E-3</v>
      </c>
    </row>
    <row r="31" spans="9:31" x14ac:dyDescent="0.25">
      <c r="W31" s="143">
        <v>42418</v>
      </c>
      <c r="X31" s="12">
        <v>88.55</v>
      </c>
      <c r="Y31" s="12">
        <v>89.04</v>
      </c>
      <c r="Z31" s="12">
        <v>88.16</v>
      </c>
      <c r="AA31" s="12">
        <v>88.36</v>
      </c>
      <c r="AB31" s="105">
        <v>4997700</v>
      </c>
      <c r="AC31" s="12">
        <v>88.36</v>
      </c>
      <c r="AD31" s="2">
        <f t="shared" si="0"/>
        <v>0.88000000000000966</v>
      </c>
      <c r="AE31" s="148">
        <f t="shared" si="1"/>
        <v>2.7235587834770758E-3</v>
      </c>
    </row>
    <row r="32" spans="9:31" x14ac:dyDescent="0.25">
      <c r="W32" s="143">
        <v>42417</v>
      </c>
      <c r="X32" s="12">
        <v>86.71</v>
      </c>
      <c r="Y32" s="12">
        <v>88.49</v>
      </c>
      <c r="Z32" s="12">
        <v>86.64</v>
      </c>
      <c r="AA32" s="12">
        <v>88.12</v>
      </c>
      <c r="AB32" s="105">
        <v>5141100</v>
      </c>
      <c r="AC32" s="12">
        <v>88.12</v>
      </c>
      <c r="AD32" s="2">
        <f t="shared" si="0"/>
        <v>1.8499999999999943</v>
      </c>
      <c r="AE32" s="148" t="e">
        <f t="shared" si="1"/>
        <v>#DIV/0!</v>
      </c>
    </row>
    <row r="33" spans="15:31" x14ac:dyDescent="0.25">
      <c r="W33" s="143">
        <v>42417</v>
      </c>
      <c r="X33" s="12" t="s">
        <v>153</v>
      </c>
      <c r="Y33" s="12"/>
      <c r="Z33" s="12"/>
      <c r="AA33" s="12"/>
      <c r="AB33" s="105"/>
      <c r="AC33" s="12"/>
      <c r="AD33" s="2">
        <f t="shared" si="0"/>
        <v>0</v>
      </c>
      <c r="AE33" s="148">
        <f t="shared" si="1"/>
        <v>-1</v>
      </c>
    </row>
    <row r="34" spans="15:31" x14ac:dyDescent="0.25">
      <c r="W34" s="143">
        <v>42416</v>
      </c>
      <c r="X34" s="12">
        <v>87.34</v>
      </c>
      <c r="Y34" s="12">
        <v>87.5</v>
      </c>
      <c r="Z34" s="12">
        <v>85.56</v>
      </c>
      <c r="AA34" s="12">
        <v>86.48</v>
      </c>
      <c r="AB34" s="105">
        <v>6960400</v>
      </c>
      <c r="AC34" s="12">
        <v>85.84</v>
      </c>
      <c r="AD34" s="2">
        <f t="shared" si="0"/>
        <v>1.9399999999999977</v>
      </c>
      <c r="AE34" s="148">
        <f t="shared" si="1"/>
        <v>6.2126362677294988E-3</v>
      </c>
    </row>
    <row r="35" spans="15:31" x14ac:dyDescent="0.25">
      <c r="W35" s="143">
        <v>42412</v>
      </c>
      <c r="X35" s="12">
        <v>84.99</v>
      </c>
      <c r="Y35" s="12">
        <v>86.13</v>
      </c>
      <c r="Z35" s="12">
        <v>84.9</v>
      </c>
      <c r="AA35" s="12">
        <v>85.95</v>
      </c>
      <c r="AB35" s="105">
        <v>5886300</v>
      </c>
      <c r="AC35" s="12">
        <v>85.31</v>
      </c>
      <c r="AD35" s="2">
        <f t="shared" si="0"/>
        <v>1.2299999999999898</v>
      </c>
      <c r="AE35" s="148">
        <f t="shared" si="1"/>
        <v>1.5232655004165263E-2</v>
      </c>
    </row>
    <row r="36" spans="15:31" x14ac:dyDescent="0.25">
      <c r="W36" s="143">
        <v>42411</v>
      </c>
      <c r="X36" s="12">
        <v>85.39</v>
      </c>
      <c r="Y36" s="12">
        <v>86.55</v>
      </c>
      <c r="Z36" s="12">
        <v>83.85</v>
      </c>
      <c r="AA36" s="12">
        <v>84.66</v>
      </c>
      <c r="AB36" s="105">
        <v>7711800</v>
      </c>
      <c r="AC36" s="12">
        <v>84.03</v>
      </c>
      <c r="AD36" s="2">
        <f t="shared" si="0"/>
        <v>2.7000000000000028</v>
      </c>
      <c r="AE36" s="148">
        <f t="shared" si="1"/>
        <v>-2.6529193697868325E-2</v>
      </c>
    </row>
    <row r="37" spans="15:31" x14ac:dyDescent="0.25">
      <c r="W37" s="143">
        <v>42410</v>
      </c>
      <c r="X37" s="12">
        <v>87.36</v>
      </c>
      <c r="Y37" s="12">
        <v>88.45</v>
      </c>
      <c r="Z37" s="12">
        <v>86.74</v>
      </c>
      <c r="AA37" s="12">
        <v>86.96</v>
      </c>
      <c r="AB37" s="105">
        <v>3618800</v>
      </c>
      <c r="AC37" s="12">
        <v>86.32</v>
      </c>
      <c r="AD37" s="2">
        <f t="shared" si="0"/>
        <v>1.710000000000008</v>
      </c>
      <c r="AE37" s="148">
        <f t="shared" si="1"/>
        <v>-3.1181429726298004E-3</v>
      </c>
    </row>
    <row r="38" spans="15:31" x14ac:dyDescent="0.25">
      <c r="W38" s="143">
        <v>42409</v>
      </c>
      <c r="X38" s="12">
        <v>86.26</v>
      </c>
      <c r="Y38" s="12">
        <v>87.77</v>
      </c>
      <c r="Z38" s="12">
        <v>85.93</v>
      </c>
      <c r="AA38" s="12">
        <v>87.24</v>
      </c>
      <c r="AB38" s="105">
        <v>7360900</v>
      </c>
      <c r="AC38" s="12">
        <v>86.59</v>
      </c>
      <c r="AD38" s="2">
        <f t="shared" si="0"/>
        <v>1.8399999999999892</v>
      </c>
      <c r="AE38" s="148">
        <f t="shared" si="1"/>
        <v>5.224053865799938E-3</v>
      </c>
    </row>
    <row r="39" spans="15:31" ht="20.25" thickBot="1" x14ac:dyDescent="0.35">
      <c r="P39" s="420" t="s">
        <v>78</v>
      </c>
      <c r="Q39" s="420"/>
      <c r="T39" s="101" t="s">
        <v>116</v>
      </c>
      <c r="W39" s="143">
        <v>42408</v>
      </c>
      <c r="X39" s="12">
        <v>87.34</v>
      </c>
      <c r="Y39" s="12">
        <v>87.4</v>
      </c>
      <c r="Z39" s="12">
        <v>85.82</v>
      </c>
      <c r="AA39" s="12">
        <v>86.78</v>
      </c>
      <c r="AB39" s="105">
        <v>6858400</v>
      </c>
      <c r="AC39" s="12">
        <v>86.14</v>
      </c>
      <c r="AD39" s="2">
        <f t="shared" si="0"/>
        <v>1.5800000000000125</v>
      </c>
      <c r="AE39" s="148">
        <f t="shared" si="1"/>
        <v>-1.2042665443284695E-2</v>
      </c>
    </row>
    <row r="40" spans="15:31" ht="15.75" thickTop="1" x14ac:dyDescent="0.25">
      <c r="O40" s="2"/>
      <c r="P40" s="93">
        <v>1.1000000000000001</v>
      </c>
      <c r="Q40" s="93">
        <f>P40*$Q$4</f>
        <v>109.96700000000001</v>
      </c>
      <c r="T40" s="138" t="s">
        <v>101</v>
      </c>
      <c r="U40" s="108">
        <v>100.1</v>
      </c>
      <c r="W40" s="143">
        <v>42405</v>
      </c>
      <c r="X40" s="12">
        <v>88.04</v>
      </c>
      <c r="Y40" s="12">
        <v>88.51</v>
      </c>
      <c r="Z40" s="12">
        <v>87.44</v>
      </c>
      <c r="AA40" s="12">
        <v>87.84</v>
      </c>
      <c r="AB40" s="105">
        <v>5216800</v>
      </c>
      <c r="AC40" s="12">
        <v>87.19</v>
      </c>
      <c r="AD40" s="2">
        <f t="shared" si="0"/>
        <v>1.0700000000000074</v>
      </c>
      <c r="AE40" s="148">
        <f t="shared" si="1"/>
        <v>-3.2010975191494317E-3</v>
      </c>
    </row>
    <row r="41" spans="15:31" x14ac:dyDescent="0.25">
      <c r="O41" s="2"/>
      <c r="P41" s="93">
        <v>1.0900000000000001</v>
      </c>
      <c r="Q41" s="93">
        <f t="shared" ref="Q41:Q60" si="2">P41*$Q$4</f>
        <v>108.96730000000001</v>
      </c>
      <c r="T41" s="103" t="s">
        <v>102</v>
      </c>
      <c r="U41" s="98" t="s">
        <v>134</v>
      </c>
      <c r="W41" s="143">
        <v>42404</v>
      </c>
      <c r="X41" s="12">
        <v>86.09</v>
      </c>
      <c r="Y41" s="12">
        <v>88.71</v>
      </c>
      <c r="Z41" s="12">
        <v>86.03</v>
      </c>
      <c r="AA41" s="12">
        <v>88.12</v>
      </c>
      <c r="AB41" s="105">
        <v>5921700</v>
      </c>
      <c r="AC41" s="12">
        <v>87.47</v>
      </c>
      <c r="AD41" s="2">
        <f t="shared" si="0"/>
        <v>2.6799999999999926</v>
      </c>
      <c r="AE41" s="148">
        <f t="shared" si="1"/>
        <v>2.5199249882794206E-2</v>
      </c>
    </row>
    <row r="42" spans="15:31" x14ac:dyDescent="0.25">
      <c r="O42" s="2"/>
      <c r="P42" s="93">
        <v>1.08</v>
      </c>
      <c r="Q42" s="93">
        <f t="shared" si="2"/>
        <v>107.9676</v>
      </c>
      <c r="T42" s="103" t="s">
        <v>103</v>
      </c>
      <c r="U42" s="98" t="s">
        <v>372</v>
      </c>
      <c r="W42" s="143">
        <v>42403</v>
      </c>
      <c r="X42" s="12">
        <v>85.99</v>
      </c>
      <c r="Y42" s="12">
        <v>86.37</v>
      </c>
      <c r="Z42" s="12">
        <v>84.29</v>
      </c>
      <c r="AA42" s="12">
        <v>85.96</v>
      </c>
      <c r="AB42" s="105">
        <v>8305500</v>
      </c>
      <c r="AC42" s="12">
        <v>85.32</v>
      </c>
      <c r="AD42" s="2">
        <f t="shared" si="0"/>
        <v>2.0799999999999983</v>
      </c>
      <c r="AE42" s="148">
        <f t="shared" si="1"/>
        <v>6.250737115225613E-3</v>
      </c>
    </row>
    <row r="43" spans="15:31" x14ac:dyDescent="0.25">
      <c r="O43" s="2"/>
      <c r="P43" s="93">
        <v>1.07</v>
      </c>
      <c r="Q43" s="93">
        <f t="shared" si="2"/>
        <v>106.9679</v>
      </c>
      <c r="T43" s="103" t="s">
        <v>104</v>
      </c>
      <c r="U43" s="98" t="s">
        <v>373</v>
      </c>
      <c r="W43" s="143">
        <v>42402</v>
      </c>
      <c r="X43" s="12">
        <v>86.17</v>
      </c>
      <c r="Y43" s="12">
        <v>86.73</v>
      </c>
      <c r="Z43" s="12">
        <v>85.08</v>
      </c>
      <c r="AA43" s="12">
        <v>85.42</v>
      </c>
      <c r="AB43" s="105">
        <v>7397700</v>
      </c>
      <c r="AC43" s="12">
        <v>84.79</v>
      </c>
      <c r="AD43" s="2">
        <f t="shared" si="0"/>
        <v>1.6500000000000057</v>
      </c>
      <c r="AE43" s="148">
        <f t="shared" si="1"/>
        <v>-2.4393050281900752E-2</v>
      </c>
    </row>
    <row r="44" spans="15:31" x14ac:dyDescent="0.25">
      <c r="O44" s="2"/>
      <c r="P44" s="93">
        <v>1.06</v>
      </c>
      <c r="Q44" s="93">
        <f t="shared" si="2"/>
        <v>105.96820000000001</v>
      </c>
      <c r="T44" s="103" t="s">
        <v>105</v>
      </c>
      <c r="U44" s="98">
        <v>104.79</v>
      </c>
      <c r="W44" s="143">
        <v>42401</v>
      </c>
      <c r="X44" s="12">
        <v>87.06</v>
      </c>
      <c r="Y44" s="12">
        <v>87.84</v>
      </c>
      <c r="Z44" s="12">
        <v>86.45</v>
      </c>
      <c r="AA44" s="12">
        <v>87.56</v>
      </c>
      <c r="AB44" s="105">
        <v>5036900</v>
      </c>
      <c r="AC44" s="12">
        <v>86.91</v>
      </c>
      <c r="AD44" s="2">
        <f t="shared" si="0"/>
        <v>1.3900000000000006</v>
      </c>
      <c r="AE44" s="148">
        <f t="shared" si="1"/>
        <v>-1.4935661764706731E-3</v>
      </c>
    </row>
    <row r="45" spans="15:31" x14ac:dyDescent="0.25">
      <c r="O45" s="2"/>
      <c r="P45" s="93">
        <v>1.05</v>
      </c>
      <c r="Q45" s="93">
        <f t="shared" si="2"/>
        <v>104.96850000000001</v>
      </c>
      <c r="T45" s="103" t="s">
        <v>106</v>
      </c>
      <c r="U45" s="98">
        <v>1.1395900000000001</v>
      </c>
      <c r="W45" s="143">
        <v>42398</v>
      </c>
      <c r="X45" s="12">
        <v>86.87</v>
      </c>
      <c r="Y45" s="12">
        <v>87.69</v>
      </c>
      <c r="Z45" s="12">
        <v>86.76</v>
      </c>
      <c r="AA45" s="12">
        <v>87.69</v>
      </c>
      <c r="AB45" s="105">
        <v>7887500</v>
      </c>
      <c r="AC45" s="12">
        <v>87.04</v>
      </c>
      <c r="AD45" s="2">
        <f t="shared" si="0"/>
        <v>0.92999999999999261</v>
      </c>
      <c r="AE45" s="148">
        <f t="shared" si="1"/>
        <v>1.4333993707027259E-2</v>
      </c>
    </row>
    <row r="46" spans="15:31" x14ac:dyDescent="0.25">
      <c r="O46" s="2"/>
      <c r="P46" s="93">
        <v>1.04</v>
      </c>
      <c r="Q46" s="93">
        <f t="shared" si="2"/>
        <v>103.9688</v>
      </c>
      <c r="T46" s="103" t="s">
        <v>126</v>
      </c>
      <c r="U46" s="98" t="s">
        <v>215</v>
      </c>
      <c r="W46" s="143">
        <v>42397</v>
      </c>
      <c r="X46" s="12">
        <v>86.3</v>
      </c>
      <c r="Y46" s="12">
        <v>87.2</v>
      </c>
      <c r="Z46" s="12">
        <v>85.92</v>
      </c>
      <c r="AA46" s="12">
        <v>86.45</v>
      </c>
      <c r="AB46" s="105">
        <v>5757200</v>
      </c>
      <c r="AC46" s="12">
        <v>85.81</v>
      </c>
      <c r="AD46" s="2">
        <f t="shared" si="0"/>
        <v>1.2800000000000011</v>
      </c>
      <c r="AE46" s="148">
        <f t="shared" si="1"/>
        <v>7.5143829987085464E-3</v>
      </c>
    </row>
    <row r="47" spans="15:31" x14ac:dyDescent="0.25">
      <c r="O47" s="2"/>
      <c r="P47" s="93">
        <v>1.03</v>
      </c>
      <c r="Q47" s="93">
        <f t="shared" si="2"/>
        <v>102.9691</v>
      </c>
      <c r="T47" s="103"/>
      <c r="U47" s="98"/>
      <c r="W47" s="143">
        <v>42396</v>
      </c>
      <c r="X47" s="12">
        <v>85.7</v>
      </c>
      <c r="Y47" s="12">
        <v>87.57</v>
      </c>
      <c r="Z47" s="12">
        <v>84.75</v>
      </c>
      <c r="AA47" s="12">
        <v>85.81</v>
      </c>
      <c r="AB47" s="105">
        <v>8083900</v>
      </c>
      <c r="AC47" s="12">
        <v>85.17</v>
      </c>
      <c r="AD47" s="2">
        <f t="shared" si="0"/>
        <v>2.8199999999999932</v>
      </c>
      <c r="AE47" s="148">
        <f t="shared" si="1"/>
        <v>1.7642907551165266E-3</v>
      </c>
    </row>
    <row r="48" spans="15:31" x14ac:dyDescent="0.25">
      <c r="O48" s="2"/>
      <c r="P48" s="93">
        <v>1.02</v>
      </c>
      <c r="Q48" s="93">
        <f t="shared" si="2"/>
        <v>101.96940000000001</v>
      </c>
      <c r="T48" s="103" t="s">
        <v>108</v>
      </c>
      <c r="U48" s="98" t="s">
        <v>302</v>
      </c>
      <c r="W48" s="143">
        <v>42395</v>
      </c>
      <c r="X48" s="12">
        <v>85.29</v>
      </c>
      <c r="Y48" s="12">
        <v>86.47</v>
      </c>
      <c r="Z48" s="12">
        <v>85.21</v>
      </c>
      <c r="AA48" s="12">
        <v>85.65</v>
      </c>
      <c r="AB48" s="105">
        <v>7393800</v>
      </c>
      <c r="AC48" s="12">
        <v>85.02</v>
      </c>
      <c r="AD48" s="2">
        <f t="shared" si="0"/>
        <v>1.2600000000000051</v>
      </c>
      <c r="AE48" s="148">
        <f t="shared" si="1"/>
        <v>8.8999644001424016E-3</v>
      </c>
    </row>
    <row r="49" spans="15:31" x14ac:dyDescent="0.25">
      <c r="O49" s="2"/>
      <c r="P49" s="93">
        <v>1.01</v>
      </c>
      <c r="Q49" s="93">
        <f t="shared" si="2"/>
        <v>100.9697</v>
      </c>
      <c r="T49" s="103" t="s">
        <v>109</v>
      </c>
      <c r="U49" s="98" t="s">
        <v>277</v>
      </c>
      <c r="W49" s="143">
        <v>42394</v>
      </c>
      <c r="X49" s="12">
        <v>85.98</v>
      </c>
      <c r="Y49" s="12">
        <v>86.15</v>
      </c>
      <c r="Z49" s="12">
        <v>84.69</v>
      </c>
      <c r="AA49" s="12">
        <v>84.9</v>
      </c>
      <c r="AB49" s="105">
        <v>10444000</v>
      </c>
      <c r="AC49" s="12">
        <v>84.27</v>
      </c>
      <c r="AD49" s="2">
        <f t="shared" si="0"/>
        <v>1.460000000000008</v>
      </c>
      <c r="AE49" s="148">
        <f t="shared" si="1"/>
        <v>-1.6800840042002108E-2</v>
      </c>
    </row>
    <row r="50" spans="15:31" x14ac:dyDescent="0.25">
      <c r="O50" s="2"/>
      <c r="P50" s="93">
        <v>1</v>
      </c>
      <c r="Q50" s="93">
        <f t="shared" si="2"/>
        <v>99.97</v>
      </c>
      <c r="T50" s="103" t="s">
        <v>110</v>
      </c>
      <c r="U50" s="100">
        <v>0</v>
      </c>
      <c r="W50" s="143">
        <v>42391</v>
      </c>
      <c r="X50" s="12">
        <v>86.95</v>
      </c>
      <c r="Y50" s="12">
        <v>87.38</v>
      </c>
      <c r="Z50" s="12">
        <v>85.88</v>
      </c>
      <c r="AA50" s="12">
        <v>86.35</v>
      </c>
      <c r="AB50" s="105">
        <v>4647400</v>
      </c>
      <c r="AC50" s="12">
        <v>85.71</v>
      </c>
      <c r="AD50" s="2">
        <f t="shared" si="0"/>
        <v>1.5</v>
      </c>
      <c r="AE50" s="148">
        <f t="shared" si="1"/>
        <v>9.065222510006965E-3</v>
      </c>
    </row>
    <row r="51" spans="15:31" x14ac:dyDescent="0.25">
      <c r="O51" s="2"/>
      <c r="P51" s="93">
        <v>0.99</v>
      </c>
      <c r="Q51" s="93">
        <f t="shared" si="2"/>
        <v>98.970299999999995</v>
      </c>
      <c r="T51" s="103" t="s">
        <v>113</v>
      </c>
      <c r="U51" s="100">
        <v>6999580</v>
      </c>
      <c r="W51" s="143">
        <v>42390</v>
      </c>
      <c r="X51" s="12">
        <v>84.83</v>
      </c>
      <c r="Y51" s="12">
        <v>86.79</v>
      </c>
      <c r="Z51" s="12">
        <v>84.54</v>
      </c>
      <c r="AA51" s="12">
        <v>85.57</v>
      </c>
      <c r="AB51" s="105">
        <v>5742900</v>
      </c>
      <c r="AC51" s="12">
        <v>84.94</v>
      </c>
      <c r="AD51" s="2">
        <f t="shared" si="0"/>
        <v>2.25</v>
      </c>
      <c r="AE51" s="148">
        <f t="shared" si="1"/>
        <v>8.7885985748217266E-3</v>
      </c>
    </row>
    <row r="52" spans="15:31" x14ac:dyDescent="0.25">
      <c r="O52" s="2"/>
      <c r="P52" s="93">
        <v>0.98</v>
      </c>
      <c r="Q52" s="93">
        <f t="shared" si="2"/>
        <v>97.97059999999999</v>
      </c>
      <c r="T52" s="103" t="s">
        <v>111</v>
      </c>
      <c r="U52" s="98" t="s">
        <v>374</v>
      </c>
      <c r="W52" s="143">
        <v>42389</v>
      </c>
      <c r="X52" s="12">
        <v>84.44</v>
      </c>
      <c r="Y52" s="12">
        <v>85.58</v>
      </c>
      <c r="Z52" s="12">
        <v>83.39</v>
      </c>
      <c r="AA52" s="12">
        <v>84.83</v>
      </c>
      <c r="AB52" s="105">
        <v>9601200</v>
      </c>
      <c r="AC52" s="12">
        <v>84.2</v>
      </c>
      <c r="AD52" s="2">
        <f t="shared" si="0"/>
        <v>2.1899999999999977</v>
      </c>
      <c r="AE52" s="148">
        <f t="shared" si="1"/>
        <v>-4.845762912185303E-3</v>
      </c>
    </row>
    <row r="53" spans="15:31" x14ac:dyDescent="0.25">
      <c r="P53" s="93">
        <v>0.97</v>
      </c>
      <c r="Q53" s="93">
        <f t="shared" si="2"/>
        <v>96.9709</v>
      </c>
      <c r="T53" s="103" t="s">
        <v>114</v>
      </c>
      <c r="U53" s="98">
        <v>11.61</v>
      </c>
      <c r="W53" s="143">
        <v>42388</v>
      </c>
      <c r="X53" s="12">
        <v>86.35</v>
      </c>
      <c r="Y53" s="12">
        <v>86.35</v>
      </c>
      <c r="Z53" s="12">
        <v>84.47</v>
      </c>
      <c r="AA53" s="12">
        <v>85.24</v>
      </c>
      <c r="AB53" s="105">
        <v>7470000</v>
      </c>
      <c r="AC53" s="12">
        <v>84.61</v>
      </c>
      <c r="AD53" s="2">
        <f t="shared" si="0"/>
        <v>1.8799999999999955</v>
      </c>
      <c r="AE53" s="148">
        <f t="shared" si="1"/>
        <v>-4.5882352941176707E-3</v>
      </c>
    </row>
    <row r="54" spans="15:31" x14ac:dyDescent="0.25">
      <c r="P54" s="93">
        <v>0.96</v>
      </c>
      <c r="Q54" s="93">
        <f t="shared" si="2"/>
        <v>95.971199999999996</v>
      </c>
      <c r="T54" s="103" t="s">
        <v>115</v>
      </c>
      <c r="U54" s="98">
        <v>8.6199999999999992</v>
      </c>
      <c r="W54" s="143">
        <v>42384</v>
      </c>
      <c r="X54" s="12">
        <v>86.99</v>
      </c>
      <c r="Y54" s="12">
        <v>88.06</v>
      </c>
      <c r="Z54" s="12">
        <v>85.47</v>
      </c>
      <c r="AA54" s="12">
        <v>85.63</v>
      </c>
      <c r="AB54" s="105">
        <v>10485600</v>
      </c>
      <c r="AC54" s="12">
        <v>85</v>
      </c>
      <c r="AD54" s="2">
        <f t="shared" si="0"/>
        <v>2.5900000000000034</v>
      </c>
      <c r="AE54" s="148">
        <f t="shared" si="1"/>
        <v>-3.791737408036211E-2</v>
      </c>
    </row>
    <row r="55" spans="15:31" x14ac:dyDescent="0.25">
      <c r="P55" s="93">
        <v>0.95</v>
      </c>
      <c r="Q55" s="93">
        <f t="shared" si="2"/>
        <v>94.971499999999992</v>
      </c>
      <c r="T55" s="103" t="s">
        <v>112</v>
      </c>
      <c r="U55" s="98" t="s">
        <v>375</v>
      </c>
      <c r="W55" s="143">
        <v>42383</v>
      </c>
      <c r="X55" s="12">
        <v>89.08</v>
      </c>
      <c r="Y55" s="12">
        <v>89.58</v>
      </c>
      <c r="Z55" s="12">
        <v>87.86</v>
      </c>
      <c r="AA55" s="12">
        <v>89.01</v>
      </c>
      <c r="AB55" s="105">
        <v>7395900</v>
      </c>
      <c r="AC55" s="12">
        <v>88.35</v>
      </c>
      <c r="AD55" s="2">
        <f t="shared" si="0"/>
        <v>1.7199999999999989</v>
      </c>
      <c r="AE55" s="148">
        <f t="shared" si="1"/>
        <v>2.0415107179312386E-3</v>
      </c>
    </row>
    <row r="56" spans="15:31" x14ac:dyDescent="0.25">
      <c r="P56" s="93">
        <v>0.94</v>
      </c>
      <c r="Q56" s="93">
        <f t="shared" si="2"/>
        <v>93.971799999999988</v>
      </c>
      <c r="W56" s="143">
        <v>42382</v>
      </c>
      <c r="X56" s="12">
        <v>90.67</v>
      </c>
      <c r="Y56" s="12">
        <v>90.67</v>
      </c>
      <c r="Z56" s="12">
        <v>88.41</v>
      </c>
      <c r="AA56" s="12">
        <v>88.83</v>
      </c>
      <c r="AB56" s="105">
        <v>8588800</v>
      </c>
      <c r="AC56" s="12">
        <v>88.17</v>
      </c>
      <c r="AD56" s="2">
        <f t="shared" si="0"/>
        <v>2.2600000000000051</v>
      </c>
      <c r="AE56" s="148">
        <f t="shared" si="1"/>
        <v>-1.8479349883112506E-2</v>
      </c>
    </row>
    <row r="57" spans="15:31" x14ac:dyDescent="0.25">
      <c r="P57" s="93">
        <v>0.93</v>
      </c>
      <c r="Q57" s="93">
        <f t="shared" si="2"/>
        <v>92.972099999999998</v>
      </c>
      <c r="W57" s="143">
        <v>42381</v>
      </c>
      <c r="X57" s="12">
        <v>90.99</v>
      </c>
      <c r="Y57" s="12">
        <v>91.15</v>
      </c>
      <c r="Z57" s="12">
        <v>89.67</v>
      </c>
      <c r="AA57" s="12">
        <v>90.5</v>
      </c>
      <c r="AB57" s="105">
        <v>7697300</v>
      </c>
      <c r="AC57" s="12">
        <v>89.83</v>
      </c>
      <c r="AD57" s="2">
        <f t="shared" si="0"/>
        <v>1.480000000000004</v>
      </c>
      <c r="AE57" s="148">
        <f t="shared" si="1"/>
        <v>0</v>
      </c>
    </row>
    <row r="58" spans="15:31" x14ac:dyDescent="0.25">
      <c r="P58" s="93">
        <v>0.92</v>
      </c>
      <c r="Q58" s="93">
        <f t="shared" si="2"/>
        <v>91.972400000000007</v>
      </c>
      <c r="W58" s="143">
        <v>42380</v>
      </c>
      <c r="X58" s="12">
        <v>91.09</v>
      </c>
      <c r="Y58" s="12">
        <v>91.4</v>
      </c>
      <c r="Z58" s="12">
        <v>89.92</v>
      </c>
      <c r="AA58" s="12">
        <v>90.5</v>
      </c>
      <c r="AB58" s="105">
        <v>7185200</v>
      </c>
      <c r="AC58" s="12">
        <v>89.83</v>
      </c>
      <c r="AD58" s="2">
        <f t="shared" si="0"/>
        <v>1.480000000000004</v>
      </c>
      <c r="AE58" s="148">
        <f t="shared" si="1"/>
        <v>1.1144544745347318E-3</v>
      </c>
    </row>
    <row r="59" spans="15:31" x14ac:dyDescent="0.25">
      <c r="P59" s="93">
        <v>0.91</v>
      </c>
      <c r="Q59" s="93">
        <f t="shared" si="2"/>
        <v>90.972700000000003</v>
      </c>
      <c r="W59" s="143">
        <v>42377</v>
      </c>
      <c r="X59" s="12">
        <v>91.57</v>
      </c>
      <c r="Y59" s="12">
        <v>91.88</v>
      </c>
      <c r="Z59" s="12">
        <v>90.22</v>
      </c>
      <c r="AA59" s="12">
        <v>90.4</v>
      </c>
      <c r="AB59" s="105">
        <v>7501300</v>
      </c>
      <c r="AC59" s="12">
        <v>89.73</v>
      </c>
      <c r="AD59" s="2">
        <f t="shared" si="0"/>
        <v>1.6599999999999966</v>
      </c>
      <c r="AE59" s="148">
        <f t="shared" si="1"/>
        <v>-1.6334137250602843E-2</v>
      </c>
    </row>
    <row r="60" spans="15:31" x14ac:dyDescent="0.25">
      <c r="P60" s="93">
        <v>0.9</v>
      </c>
      <c r="Q60" s="93">
        <f t="shared" si="2"/>
        <v>89.972999999999999</v>
      </c>
      <c r="W60" s="143">
        <v>42376</v>
      </c>
      <c r="X60" s="12">
        <v>91.47</v>
      </c>
      <c r="Y60" s="12">
        <v>93.35</v>
      </c>
      <c r="Z60" s="12">
        <v>91.43</v>
      </c>
      <c r="AA60" s="12">
        <v>91.9</v>
      </c>
      <c r="AB60" s="105">
        <v>6984800</v>
      </c>
      <c r="AC60" s="12">
        <v>91.22</v>
      </c>
      <c r="AD60" s="2">
        <f t="shared" si="0"/>
        <v>1.9199999999999875</v>
      </c>
      <c r="AE60" s="148">
        <f t="shared" si="1"/>
        <v>-1.3090987774532215E-2</v>
      </c>
    </row>
    <row r="61" spans="15:31" x14ac:dyDescent="0.25">
      <c r="W61" s="143">
        <v>42375</v>
      </c>
      <c r="X61" s="12">
        <v>93.9</v>
      </c>
      <c r="Y61" s="12">
        <v>94.64</v>
      </c>
      <c r="Z61" s="12">
        <v>92.54</v>
      </c>
      <c r="AA61" s="12">
        <v>93.12</v>
      </c>
      <c r="AB61" s="105">
        <v>8300600</v>
      </c>
      <c r="AC61" s="12">
        <v>92.43</v>
      </c>
      <c r="AD61" s="2">
        <f t="shared" si="0"/>
        <v>2.0999999999999943</v>
      </c>
      <c r="AE61" s="148">
        <f t="shared" si="1"/>
        <v>-2.715503631196714E-2</v>
      </c>
    </row>
    <row r="62" spans="15:31" x14ac:dyDescent="0.25">
      <c r="W62" s="143">
        <v>42374</v>
      </c>
      <c r="X62" s="12">
        <v>95.14</v>
      </c>
      <c r="Y62" s="12">
        <v>96</v>
      </c>
      <c r="Z62" s="12">
        <v>94.8</v>
      </c>
      <c r="AA62" s="12">
        <v>95.72</v>
      </c>
      <c r="AB62" s="105">
        <v>4253100</v>
      </c>
      <c r="AC62" s="12">
        <v>95.01</v>
      </c>
      <c r="AD62" s="2">
        <f t="shared" si="0"/>
        <v>1.2000000000000028</v>
      </c>
      <c r="AE62" s="148">
        <f t="shared" si="1"/>
        <v>1.5812776723593824E-3</v>
      </c>
    </row>
    <row r="63" spans="15:31" x14ac:dyDescent="0.25">
      <c r="W63" s="143">
        <v>42373</v>
      </c>
      <c r="X63" s="12">
        <v>94.45</v>
      </c>
      <c r="Y63" s="12">
        <v>95.64</v>
      </c>
      <c r="Z63" s="12">
        <v>93.96</v>
      </c>
      <c r="AA63" s="12">
        <v>95.57</v>
      </c>
      <c r="AB63" s="105">
        <v>5382200</v>
      </c>
      <c r="AC63" s="12">
        <v>94.86</v>
      </c>
      <c r="AD63" s="2">
        <f t="shared" si="0"/>
        <v>1.6800000000000068</v>
      </c>
      <c r="AE63" s="148">
        <f t="shared" si="1"/>
        <v>-5.2432885906040783E-3</v>
      </c>
    </row>
    <row r="64" spans="15:31" x14ac:dyDescent="0.25">
      <c r="W64" s="143">
        <v>42369</v>
      </c>
      <c r="X64" s="12">
        <v>96.41</v>
      </c>
      <c r="Y64" s="12">
        <v>96.68</v>
      </c>
      <c r="Z64" s="12">
        <v>95.71</v>
      </c>
      <c r="AA64" s="12">
        <v>96.07</v>
      </c>
      <c r="AB64" s="105">
        <v>2951000</v>
      </c>
      <c r="AC64" s="12">
        <v>95.36</v>
      </c>
      <c r="AD64" s="2">
        <f t="shared" si="0"/>
        <v>0.97000000000001307</v>
      </c>
      <c r="AE64" s="148">
        <f t="shared" si="1"/>
        <v>-8.5256810147640305E-3</v>
      </c>
    </row>
    <row r="65" spans="23:31" x14ac:dyDescent="0.25">
      <c r="W65" s="143">
        <v>42368</v>
      </c>
      <c r="X65" s="12">
        <v>96.92</v>
      </c>
      <c r="Y65" s="12">
        <v>97.5</v>
      </c>
      <c r="Z65" s="12">
        <v>96.52</v>
      </c>
      <c r="AA65" s="12">
        <v>96.9</v>
      </c>
      <c r="AB65" s="105">
        <v>3161600</v>
      </c>
      <c r="AC65" s="12">
        <v>96.18</v>
      </c>
      <c r="AD65" s="2">
        <f t="shared" si="0"/>
        <v>0.98000000000000398</v>
      </c>
      <c r="AE65" s="148">
        <f t="shared" si="1"/>
        <v>-3.8322112894871863E-3</v>
      </c>
    </row>
    <row r="66" spans="23:31" x14ac:dyDescent="0.25">
      <c r="W66" s="143">
        <v>42367</v>
      </c>
      <c r="X66" s="12">
        <v>96.67</v>
      </c>
      <c r="Y66" s="12">
        <v>97.77</v>
      </c>
      <c r="Z66" s="12">
        <v>96.35</v>
      </c>
      <c r="AA66" s="12">
        <v>97.27</v>
      </c>
      <c r="AB66" s="105">
        <v>3291400</v>
      </c>
      <c r="AC66" s="12">
        <v>96.55</v>
      </c>
      <c r="AD66" s="2">
        <f t="shared" si="0"/>
        <v>1.4200000000000017</v>
      </c>
      <c r="AE66" s="148">
        <f t="shared" si="1"/>
        <v>1.226672258335082E-2</v>
      </c>
    </row>
    <row r="67" spans="23:31" x14ac:dyDescent="0.25">
      <c r="W67" s="143">
        <v>42366</v>
      </c>
      <c r="X67" s="12">
        <v>95.98</v>
      </c>
      <c r="Y67" s="12">
        <v>96.31</v>
      </c>
      <c r="Z67" s="12">
        <v>95.7</v>
      </c>
      <c r="AA67" s="12">
        <v>96.09</v>
      </c>
      <c r="AB67" s="105">
        <v>3606800</v>
      </c>
      <c r="AC67" s="12">
        <v>95.38</v>
      </c>
      <c r="AD67" s="2">
        <f t="shared" ref="AD67:AD68" si="3">Y67-Z67</f>
        <v>0.60999999999999943</v>
      </c>
      <c r="AE67" s="148">
        <f t="shared" ref="AE67" si="4">AC67/AC68-1</f>
        <v>-2.1968825190920027E-3</v>
      </c>
    </row>
    <row r="68" spans="23:31" x14ac:dyDescent="0.25">
      <c r="W68" s="143">
        <v>42362</v>
      </c>
      <c r="X68" s="12">
        <v>95.89</v>
      </c>
      <c r="Y68" s="12">
        <v>96.52</v>
      </c>
      <c r="Z68" s="12">
        <v>95.87</v>
      </c>
      <c r="AA68" s="12">
        <v>96.3</v>
      </c>
      <c r="AB68" s="105">
        <v>1382700</v>
      </c>
      <c r="AC68" s="12">
        <v>95.59</v>
      </c>
      <c r="AD68" s="2">
        <f t="shared" si="3"/>
        <v>0.64999999999999147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5" priority="6">
      <formula>Q7&gt;0</formula>
    </cfRule>
    <cfRule type="expression" dxfId="34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42460</v>
      </c>
      <c r="X2" s="12">
        <v>129.63999999999999</v>
      </c>
      <c r="Y2" s="12">
        <v>129.97</v>
      </c>
      <c r="Z2" s="12">
        <v>128.29</v>
      </c>
      <c r="AA2" s="12">
        <v>128.9</v>
      </c>
      <c r="AB2" s="105">
        <v>3139900</v>
      </c>
      <c r="AC2" s="12">
        <v>128.9</v>
      </c>
      <c r="AD2" s="2">
        <f>Y2-Z2</f>
        <v>1.6800000000000068</v>
      </c>
      <c r="AE2" s="148">
        <f>AC2/AC3-1</f>
        <v>-6.0148056755089385E-3</v>
      </c>
      <c r="AP2" t="s">
        <v>185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129.91999999999999</v>
      </c>
      <c r="W3" s="143">
        <v>42459</v>
      </c>
      <c r="X3" s="12">
        <v>130.09</v>
      </c>
      <c r="Y3" s="12">
        <v>131.1</v>
      </c>
      <c r="Z3" s="12">
        <v>129.38999999999999</v>
      </c>
      <c r="AA3" s="12">
        <v>129.68</v>
      </c>
      <c r="AB3" s="105">
        <v>2570000</v>
      </c>
      <c r="AC3" s="12">
        <v>129.68</v>
      </c>
      <c r="AD3" s="2">
        <f t="shared" ref="AD3:AD66" si="1">Y3-Z3</f>
        <v>1.710000000000008</v>
      </c>
      <c r="AE3" s="148">
        <f t="shared" ref="AE3:AE66" si="2">AC3/AC4-1</f>
        <v>-1.1553570053146611E-3</v>
      </c>
      <c r="AI3" t="s">
        <v>193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129.91999999999999</v>
      </c>
      <c r="W4" s="143">
        <v>42458</v>
      </c>
      <c r="X4" s="12">
        <v>129.27000000000001</v>
      </c>
      <c r="Y4" s="12">
        <v>130.09</v>
      </c>
      <c r="Z4" s="12">
        <v>128.54</v>
      </c>
      <c r="AA4" s="12">
        <v>129.83000000000001</v>
      </c>
      <c r="AB4" s="105">
        <v>2419300</v>
      </c>
      <c r="AC4" s="12">
        <v>129.83000000000001</v>
      </c>
      <c r="AD4" s="2">
        <f t="shared" si="1"/>
        <v>1.5500000000000114</v>
      </c>
      <c r="AE4" s="148">
        <f t="shared" si="2"/>
        <v>7.0586410176856074E-3</v>
      </c>
      <c r="AI4" t="s">
        <v>194</v>
      </c>
      <c r="AJ4">
        <v>-10</v>
      </c>
      <c r="AK4" t="s">
        <v>189</v>
      </c>
      <c r="AL4" t="s">
        <v>189</v>
      </c>
      <c r="AO4" s="263">
        <v>-1153.98</v>
      </c>
      <c r="AP4" t="s">
        <v>189</v>
      </c>
      <c r="AQ4" t="s">
        <v>189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42457</v>
      </c>
      <c r="X5" s="12">
        <v>128.82</v>
      </c>
      <c r="Y5" s="12">
        <v>129.5</v>
      </c>
      <c r="Z5" s="12">
        <v>128.01</v>
      </c>
      <c r="AA5" s="12">
        <v>128.91999999999999</v>
      </c>
      <c r="AB5" s="105">
        <v>1955100</v>
      </c>
      <c r="AC5" s="12">
        <v>128.91999999999999</v>
      </c>
      <c r="AD5" s="2">
        <f t="shared" si="1"/>
        <v>1.4900000000000091</v>
      </c>
      <c r="AE5" s="148">
        <f t="shared" si="2"/>
        <v>2.5662959794694462E-3</v>
      </c>
      <c r="AI5" t="s">
        <v>192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42453</v>
      </c>
      <c r="X6" s="12">
        <v>128.97</v>
      </c>
      <c r="Y6" s="12">
        <v>130.32</v>
      </c>
      <c r="Z6" s="12">
        <v>127.17</v>
      </c>
      <c r="AA6" s="12">
        <v>128.59</v>
      </c>
      <c r="AB6" s="105">
        <v>4153900</v>
      </c>
      <c r="AC6" s="12">
        <v>128.59</v>
      </c>
      <c r="AD6" s="2">
        <f t="shared" si="1"/>
        <v>3.1499999999999915</v>
      </c>
      <c r="AE6" s="148">
        <f t="shared" si="2"/>
        <v>-9.2457045997379472E-3</v>
      </c>
      <c r="AI6" t="s">
        <v>188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42452</v>
      </c>
      <c r="X7" s="12">
        <v>128.15</v>
      </c>
      <c r="Y7" s="12">
        <v>130.35</v>
      </c>
      <c r="Z7" s="12">
        <v>128.02000000000001</v>
      </c>
      <c r="AA7" s="12">
        <v>129.79</v>
      </c>
      <c r="AB7" s="105">
        <v>6086400</v>
      </c>
      <c r="AC7" s="12">
        <v>129.79</v>
      </c>
      <c r="AD7" s="2">
        <f t="shared" si="1"/>
        <v>2.3299999999999841</v>
      </c>
      <c r="AE7" s="148">
        <f t="shared" si="2"/>
        <v>1.3825964693016557E-2</v>
      </c>
    </row>
    <row r="8" spans="1:43" x14ac:dyDescent="0.25">
      <c r="O8" s="13" t="s">
        <v>90</v>
      </c>
      <c r="Q8" s="148">
        <f>(Q4-Q3)/Q3</f>
        <v>0</v>
      </c>
      <c r="W8" s="143">
        <v>42451</v>
      </c>
      <c r="X8" s="12">
        <v>126.65</v>
      </c>
      <c r="Y8" s="12">
        <v>128.82</v>
      </c>
      <c r="Z8" s="12">
        <v>126.02</v>
      </c>
      <c r="AA8" s="12">
        <v>128.02000000000001</v>
      </c>
      <c r="AB8" s="105">
        <v>3819500</v>
      </c>
      <c r="AC8" s="12">
        <v>128.02000000000001</v>
      </c>
      <c r="AD8" s="2">
        <f t="shared" si="1"/>
        <v>2.7999999999999972</v>
      </c>
      <c r="AE8" s="148">
        <f t="shared" si="2"/>
        <v>1.0099416127505201E-2</v>
      </c>
    </row>
    <row r="9" spans="1:43" x14ac:dyDescent="0.25">
      <c r="W9" s="143">
        <v>42450</v>
      </c>
      <c r="X9" s="12">
        <v>126.24</v>
      </c>
      <c r="Y9" s="12">
        <v>127</v>
      </c>
      <c r="Z9" s="12">
        <v>125.68</v>
      </c>
      <c r="AA9" s="12">
        <v>126.74</v>
      </c>
      <c r="AB9" s="105">
        <v>2651800</v>
      </c>
      <c r="AC9" s="12">
        <v>126.74</v>
      </c>
      <c r="AD9" s="2">
        <f t="shared" si="1"/>
        <v>1.3199999999999932</v>
      </c>
      <c r="AE9" s="148">
        <f t="shared" si="2"/>
        <v>1.5782828282828731E-4</v>
      </c>
    </row>
    <row r="10" spans="1:43" x14ac:dyDescent="0.25">
      <c r="W10" s="143">
        <v>42447</v>
      </c>
      <c r="X10" s="12">
        <v>124.86</v>
      </c>
      <c r="Y10" s="12">
        <v>127.08</v>
      </c>
      <c r="Z10" s="12">
        <v>124.53</v>
      </c>
      <c r="AA10" s="12">
        <v>126.72</v>
      </c>
      <c r="AB10" s="105">
        <v>6908600</v>
      </c>
      <c r="AC10" s="12">
        <v>126.72</v>
      </c>
      <c r="AD10" s="2">
        <f t="shared" si="1"/>
        <v>2.5499999999999972</v>
      </c>
      <c r="AE10" s="148">
        <f t="shared" si="2"/>
        <v>1.758612382558411E-2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42446</v>
      </c>
      <c r="X11" s="12">
        <v>124.61</v>
      </c>
      <c r="Y11" s="12">
        <v>124.96</v>
      </c>
      <c r="Z11" s="12">
        <v>122.22</v>
      </c>
      <c r="AA11" s="12">
        <v>124.53</v>
      </c>
      <c r="AB11" s="105">
        <v>3906300</v>
      </c>
      <c r="AC11" s="12">
        <v>124.53</v>
      </c>
      <c r="AD11" s="2">
        <f t="shared" si="1"/>
        <v>2.7399999999999949</v>
      </c>
      <c r="AE11" s="148">
        <f t="shared" si="2"/>
        <v>-2.9623698959168054E-3</v>
      </c>
    </row>
    <row r="12" spans="1:43" x14ac:dyDescent="0.25">
      <c r="W12" s="143">
        <v>42445</v>
      </c>
      <c r="X12" s="12">
        <v>124.39</v>
      </c>
      <c r="Y12" s="12">
        <v>125.55</v>
      </c>
      <c r="Z12" s="12">
        <v>124.1</v>
      </c>
      <c r="AA12" s="12">
        <v>124.9</v>
      </c>
      <c r="AB12" s="105">
        <v>2136300</v>
      </c>
      <c r="AC12" s="12">
        <v>124.9</v>
      </c>
      <c r="AD12" s="2">
        <f t="shared" si="1"/>
        <v>1.4500000000000028</v>
      </c>
      <c r="AE12" s="148">
        <f t="shared" si="2"/>
        <v>4.0048057669217485E-4</v>
      </c>
    </row>
    <row r="13" spans="1:43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3" t="s">
        <v>65</v>
      </c>
      <c r="G13" s="253" t="s">
        <v>172</v>
      </c>
      <c r="H13" s="213" t="s">
        <v>90</v>
      </c>
      <c r="W13" s="143">
        <v>42444</v>
      </c>
      <c r="X13" s="12">
        <v>124.54</v>
      </c>
      <c r="Y13" s="12">
        <v>125.47</v>
      </c>
      <c r="Z13" s="12">
        <v>124.08</v>
      </c>
      <c r="AA13" s="12">
        <v>124.85</v>
      </c>
      <c r="AB13" s="105">
        <v>2601300</v>
      </c>
      <c r="AC13" s="12">
        <v>124.85</v>
      </c>
      <c r="AD13" s="2">
        <f t="shared" si="1"/>
        <v>1.3900000000000006</v>
      </c>
      <c r="AE13" s="148">
        <f t="shared" si="2"/>
        <v>-2.9547995527871018E-3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42443</v>
      </c>
      <c r="X14" s="12">
        <v>124.8</v>
      </c>
      <c r="Y14" s="12">
        <v>126.02</v>
      </c>
      <c r="Z14" s="12">
        <v>124.36</v>
      </c>
      <c r="AA14" s="12">
        <v>125.22</v>
      </c>
      <c r="AB14" s="105">
        <v>2853200</v>
      </c>
      <c r="AC14" s="12">
        <v>125.22</v>
      </c>
      <c r="AD14" s="2">
        <f t="shared" si="1"/>
        <v>1.6599999999999966</v>
      </c>
      <c r="AE14" s="148">
        <f t="shared" si="2"/>
        <v>9.5923261390895576E-4</v>
      </c>
    </row>
    <row r="15" spans="1:43" x14ac:dyDescent="0.25">
      <c r="B15" s="211">
        <v>42328</v>
      </c>
      <c r="C15" s="12">
        <v>0</v>
      </c>
      <c r="D15" s="222" t="s">
        <v>134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42440</v>
      </c>
      <c r="X15" s="12">
        <v>122.47</v>
      </c>
      <c r="Y15" s="12">
        <v>125.32</v>
      </c>
      <c r="Z15" s="12">
        <v>122.25</v>
      </c>
      <c r="AA15" s="12">
        <v>125.1</v>
      </c>
      <c r="AB15" s="105">
        <v>3707700</v>
      </c>
      <c r="AC15" s="12">
        <v>125.1</v>
      </c>
      <c r="AD15" s="2">
        <f t="shared" si="1"/>
        <v>3.0699999999999932</v>
      </c>
      <c r="AE15" s="148">
        <f t="shared" si="2"/>
        <v>2.465394381194197E-2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42439</v>
      </c>
      <c r="X16" s="12">
        <v>121.2</v>
      </c>
      <c r="Y16" s="12">
        <v>122.76</v>
      </c>
      <c r="Z16" s="12">
        <v>120.41</v>
      </c>
      <c r="AA16" s="12">
        <v>122.09</v>
      </c>
      <c r="AB16" s="105">
        <v>2638200</v>
      </c>
      <c r="AC16" s="12">
        <v>122.09</v>
      </c>
      <c r="AD16" s="2">
        <f t="shared" si="1"/>
        <v>2.3500000000000085</v>
      </c>
      <c r="AE16" s="148">
        <f t="shared" si="2"/>
        <v>8.1750619322873419E-3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42438</v>
      </c>
      <c r="X17" s="12">
        <v>121.88</v>
      </c>
      <c r="Y17" s="12">
        <v>122.12</v>
      </c>
      <c r="Z17" s="12">
        <v>120.45</v>
      </c>
      <c r="AA17" s="12">
        <v>121.1</v>
      </c>
      <c r="AB17" s="105">
        <v>2094000</v>
      </c>
      <c r="AC17" s="12">
        <v>121.1</v>
      </c>
      <c r="AD17" s="2">
        <f t="shared" si="1"/>
        <v>1.6700000000000017</v>
      </c>
      <c r="AE17" s="148" t="e">
        <f t="shared" si="2"/>
        <v>#DIV/0!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42438</v>
      </c>
      <c r="X18" s="12" t="s">
        <v>152</v>
      </c>
      <c r="Y18" s="12"/>
      <c r="Z18" s="12"/>
      <c r="AA18" s="12"/>
      <c r="AB18" s="105"/>
      <c r="AC18" s="12"/>
      <c r="AD18" s="2">
        <f t="shared" si="1"/>
        <v>0</v>
      </c>
      <c r="AE18" s="148">
        <f t="shared" si="2"/>
        <v>-1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42437</v>
      </c>
      <c r="X19" s="12">
        <v>121.28</v>
      </c>
      <c r="Y19" s="12">
        <v>122.32</v>
      </c>
      <c r="Z19" s="12">
        <v>120.73</v>
      </c>
      <c r="AA19" s="12">
        <v>121.66</v>
      </c>
      <c r="AB19" s="105">
        <v>2522000</v>
      </c>
      <c r="AC19" s="12">
        <v>121.16</v>
      </c>
      <c r="AD19" s="2">
        <f t="shared" si="1"/>
        <v>1.5899999999999892</v>
      </c>
      <c r="AE19" s="148">
        <f t="shared" si="2"/>
        <v>-8.246742536698326E-4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42436</v>
      </c>
      <c r="X20" s="12">
        <v>121.08</v>
      </c>
      <c r="Y20" s="12">
        <v>122.74</v>
      </c>
      <c r="Z20" s="12">
        <v>120.9</v>
      </c>
      <c r="AA20" s="12">
        <v>121.76</v>
      </c>
      <c r="AB20" s="105">
        <v>2315400</v>
      </c>
      <c r="AC20" s="12">
        <v>121.26</v>
      </c>
      <c r="AD20" s="2">
        <f t="shared" si="1"/>
        <v>1.8399999999999892</v>
      </c>
      <c r="AE20" s="148">
        <f t="shared" si="2"/>
        <v>-3.297609233304799E-4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42433</v>
      </c>
      <c r="X21" s="12">
        <v>121.32</v>
      </c>
      <c r="Y21" s="12">
        <v>122.19</v>
      </c>
      <c r="Z21" s="12">
        <v>120.74</v>
      </c>
      <c r="AA21" s="12">
        <v>121.8</v>
      </c>
      <c r="AB21" s="105">
        <v>2873900</v>
      </c>
      <c r="AC21" s="12">
        <v>121.3</v>
      </c>
      <c r="AD21" s="2">
        <f t="shared" si="1"/>
        <v>1.4500000000000028</v>
      </c>
      <c r="AE21" s="148">
        <f t="shared" si="2"/>
        <v>-1.6485328058024606E-4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42432</v>
      </c>
      <c r="X22" s="12">
        <v>120.86</v>
      </c>
      <c r="Y22" s="12">
        <v>121.86</v>
      </c>
      <c r="Z22" s="12">
        <v>120.09</v>
      </c>
      <c r="AA22" s="12">
        <v>121.82</v>
      </c>
      <c r="AB22" s="105">
        <v>3064100</v>
      </c>
      <c r="AC22" s="12">
        <v>121.32</v>
      </c>
      <c r="AD22" s="2">
        <f t="shared" si="1"/>
        <v>1.769999999999996</v>
      </c>
      <c r="AE22" s="148">
        <f t="shared" si="2"/>
        <v>4.5541111203113438E-3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42431</v>
      </c>
      <c r="X23" s="12">
        <v>121.23</v>
      </c>
      <c r="Y23" s="12">
        <v>121.84</v>
      </c>
      <c r="Z23" s="12">
        <v>120.37</v>
      </c>
      <c r="AA23" s="12">
        <v>121.27</v>
      </c>
      <c r="AB23" s="105">
        <v>2670900</v>
      </c>
      <c r="AC23" s="12">
        <v>120.77</v>
      </c>
      <c r="AD23" s="2">
        <f t="shared" si="1"/>
        <v>1.4699999999999989</v>
      </c>
      <c r="AE23" s="148">
        <f t="shared" si="2"/>
        <v>-3.3011471486341648E-3</v>
      </c>
    </row>
    <row r="24" spans="2:31" x14ac:dyDescent="0.25">
      <c r="G24" s="3"/>
      <c r="H24" s="262"/>
      <c r="W24" s="143">
        <v>42430</v>
      </c>
      <c r="X24" s="12">
        <v>119.49</v>
      </c>
      <c r="Y24" s="12">
        <v>122.22</v>
      </c>
      <c r="Z24" s="12">
        <v>119.37</v>
      </c>
      <c r="AA24" s="12">
        <v>121.67</v>
      </c>
      <c r="AB24" s="105">
        <v>3295600</v>
      </c>
      <c r="AC24" s="12">
        <v>121.17</v>
      </c>
      <c r="AD24" s="2">
        <f t="shared" si="1"/>
        <v>2.8499999999999943</v>
      </c>
      <c r="AE24" s="148">
        <f t="shared" si="2"/>
        <v>2.1583340359160319E-2</v>
      </c>
    </row>
    <row r="25" spans="2:31" x14ac:dyDescent="0.25">
      <c r="W25" s="143">
        <v>42429</v>
      </c>
      <c r="X25" s="12">
        <v>121.1</v>
      </c>
      <c r="Y25" s="12">
        <v>121.82</v>
      </c>
      <c r="Z25" s="12">
        <v>118.97</v>
      </c>
      <c r="AA25" s="12">
        <v>119.1</v>
      </c>
      <c r="AB25" s="105">
        <v>4526300</v>
      </c>
      <c r="AC25" s="12">
        <v>118.61</v>
      </c>
      <c r="AD25" s="2">
        <f t="shared" si="1"/>
        <v>2.8499999999999943</v>
      </c>
      <c r="AE25" s="148">
        <f t="shared" si="2"/>
        <v>-1.8372920632293344E-2</v>
      </c>
    </row>
    <row r="26" spans="2:31" x14ac:dyDescent="0.25">
      <c r="W26" s="143">
        <v>42426</v>
      </c>
      <c r="X26" s="12">
        <v>121.48</v>
      </c>
      <c r="Y26" s="12">
        <v>122.26</v>
      </c>
      <c r="Z26" s="12">
        <v>120.89</v>
      </c>
      <c r="AA26" s="12">
        <v>121.33</v>
      </c>
      <c r="AB26" s="105">
        <v>2877500</v>
      </c>
      <c r="AC26" s="12">
        <v>120.83</v>
      </c>
      <c r="AD26" s="2">
        <f t="shared" si="1"/>
        <v>1.3700000000000045</v>
      </c>
      <c r="AE26" s="148">
        <f t="shared" si="2"/>
        <v>1.0770505385251372E-3</v>
      </c>
    </row>
    <row r="27" spans="2:31" x14ac:dyDescent="0.25">
      <c r="W27" s="143">
        <v>42425</v>
      </c>
      <c r="X27" s="12">
        <v>120.2</v>
      </c>
      <c r="Y27" s="12">
        <v>121.23</v>
      </c>
      <c r="Z27" s="12">
        <v>119.82</v>
      </c>
      <c r="AA27" s="12">
        <v>121.2</v>
      </c>
      <c r="AB27" s="105">
        <v>2281700</v>
      </c>
      <c r="AC27" s="12">
        <v>120.7</v>
      </c>
      <c r="AD27" s="2">
        <f t="shared" si="1"/>
        <v>1.4100000000000108</v>
      </c>
      <c r="AE27" s="148">
        <f t="shared" si="2"/>
        <v>8.2699857990142789E-3</v>
      </c>
    </row>
    <row r="28" spans="2:31" x14ac:dyDescent="0.25">
      <c r="W28" s="143">
        <v>42424</v>
      </c>
      <c r="X28" s="12">
        <v>119.93</v>
      </c>
      <c r="Y28" s="12">
        <v>120.32</v>
      </c>
      <c r="Z28" s="12">
        <v>117.83</v>
      </c>
      <c r="AA28" s="12">
        <v>120.2</v>
      </c>
      <c r="AB28" s="105">
        <v>2559700</v>
      </c>
      <c r="AC28" s="12">
        <v>119.71</v>
      </c>
      <c r="AD28" s="2">
        <f t="shared" si="1"/>
        <v>2.4899999999999949</v>
      </c>
      <c r="AE28" s="148">
        <f t="shared" si="2"/>
        <v>-7.7911313717364816E-3</v>
      </c>
    </row>
    <row r="29" spans="2:31" x14ac:dyDescent="0.25">
      <c r="W29" s="143">
        <v>42423</v>
      </c>
      <c r="X29" s="12">
        <v>120.64</v>
      </c>
      <c r="Y29" s="12">
        <v>121.8</v>
      </c>
      <c r="Z29" s="12">
        <v>120.27</v>
      </c>
      <c r="AA29" s="12">
        <v>121.15</v>
      </c>
      <c r="AB29" s="105">
        <v>2804400</v>
      </c>
      <c r="AC29" s="12">
        <v>120.65</v>
      </c>
      <c r="AD29" s="2">
        <f t="shared" si="1"/>
        <v>1.5300000000000011</v>
      </c>
      <c r="AE29" s="148">
        <f t="shared" si="2"/>
        <v>-9.9362424443150132E-4</v>
      </c>
    </row>
    <row r="30" spans="2:31" x14ac:dyDescent="0.25">
      <c r="W30" s="143">
        <v>42422</v>
      </c>
      <c r="X30" s="12">
        <v>119.1</v>
      </c>
      <c r="Y30" s="12">
        <v>122.14</v>
      </c>
      <c r="Z30" s="12">
        <v>118.96</v>
      </c>
      <c r="AA30" s="12">
        <v>121.27</v>
      </c>
      <c r="AB30" s="105">
        <v>5054800</v>
      </c>
      <c r="AC30" s="12">
        <v>120.77</v>
      </c>
      <c r="AD30" s="2">
        <f t="shared" si="1"/>
        <v>3.1800000000000068</v>
      </c>
      <c r="AE30" s="148">
        <f t="shared" si="2"/>
        <v>3.046075085324218E-2</v>
      </c>
    </row>
    <row r="31" spans="2:31" x14ac:dyDescent="0.25">
      <c r="W31" s="143">
        <v>42419</v>
      </c>
      <c r="X31" s="12">
        <v>117.5</v>
      </c>
      <c r="Y31" s="12">
        <v>118.55</v>
      </c>
      <c r="Z31" s="12">
        <v>116.02</v>
      </c>
      <c r="AA31" s="12">
        <v>117.68</v>
      </c>
      <c r="AB31" s="105">
        <v>4481400</v>
      </c>
      <c r="AC31" s="12">
        <v>117.2</v>
      </c>
      <c r="AD31" s="2">
        <f t="shared" si="1"/>
        <v>2.5300000000000011</v>
      </c>
      <c r="AE31" s="148">
        <f t="shared" si="2"/>
        <v>1.9663161494400949E-3</v>
      </c>
    </row>
    <row r="32" spans="2:31" x14ac:dyDescent="0.25">
      <c r="W32" s="143">
        <v>42418</v>
      </c>
      <c r="X32" s="12">
        <v>118.5</v>
      </c>
      <c r="Y32" s="12">
        <v>120</v>
      </c>
      <c r="Z32" s="12">
        <v>117.06</v>
      </c>
      <c r="AA32" s="12">
        <v>117.45</v>
      </c>
      <c r="AB32" s="105">
        <v>3847100</v>
      </c>
      <c r="AC32" s="12">
        <v>116.97</v>
      </c>
      <c r="AD32" s="2">
        <f t="shared" si="1"/>
        <v>2.9399999999999977</v>
      </c>
      <c r="AE32" s="148">
        <f t="shared" si="2"/>
        <v>-7.1301247771836662E-3</v>
      </c>
    </row>
    <row r="33" spans="15:31" x14ac:dyDescent="0.25">
      <c r="W33" s="143">
        <v>42417</v>
      </c>
      <c r="X33" s="12">
        <v>115.5</v>
      </c>
      <c r="Y33" s="12">
        <v>118.39</v>
      </c>
      <c r="Z33" s="12">
        <v>115.2</v>
      </c>
      <c r="AA33" s="12">
        <v>118.3</v>
      </c>
      <c r="AB33" s="105">
        <v>4466000</v>
      </c>
      <c r="AC33" s="12">
        <v>117.81</v>
      </c>
      <c r="AD33" s="2">
        <f t="shared" si="1"/>
        <v>3.1899999999999977</v>
      </c>
      <c r="AE33" s="148">
        <f t="shared" si="2"/>
        <v>2.7293337983955279E-2</v>
      </c>
    </row>
    <row r="34" spans="15:31" x14ac:dyDescent="0.25">
      <c r="W34" s="143">
        <v>42416</v>
      </c>
      <c r="X34" s="12">
        <v>112.63</v>
      </c>
      <c r="Y34" s="12">
        <v>115.27</v>
      </c>
      <c r="Z34" s="12">
        <v>112.53</v>
      </c>
      <c r="AA34" s="12">
        <v>115.15</v>
      </c>
      <c r="AB34" s="105">
        <v>3445700</v>
      </c>
      <c r="AC34" s="12">
        <v>114.68</v>
      </c>
      <c r="AD34" s="2">
        <f t="shared" si="1"/>
        <v>2.7399999999999949</v>
      </c>
      <c r="AE34" s="148">
        <f t="shared" si="2"/>
        <v>2.9813218390804641E-2</v>
      </c>
    </row>
    <row r="35" spans="15:31" x14ac:dyDescent="0.25">
      <c r="W35" s="143">
        <v>42412</v>
      </c>
      <c r="X35" s="12">
        <v>111.2</v>
      </c>
      <c r="Y35" s="12">
        <v>111.91</v>
      </c>
      <c r="Z35" s="12">
        <v>110.21</v>
      </c>
      <c r="AA35" s="12">
        <v>111.82</v>
      </c>
      <c r="AB35" s="105">
        <v>2552100</v>
      </c>
      <c r="AC35" s="12">
        <v>111.36</v>
      </c>
      <c r="AD35" s="2">
        <f t="shared" si="1"/>
        <v>1.7000000000000028</v>
      </c>
      <c r="AE35" s="148">
        <f t="shared" si="2"/>
        <v>1.0801488608514154E-2</v>
      </c>
    </row>
    <row r="36" spans="15:31" x14ac:dyDescent="0.25">
      <c r="W36" s="143">
        <v>42411</v>
      </c>
      <c r="X36" s="12">
        <v>111.32</v>
      </c>
      <c r="Y36" s="12">
        <v>111.69</v>
      </c>
      <c r="Z36" s="12">
        <v>110.09</v>
      </c>
      <c r="AA36" s="12">
        <v>110.62</v>
      </c>
      <c r="AB36" s="105">
        <v>3955000</v>
      </c>
      <c r="AC36" s="12">
        <v>110.17</v>
      </c>
      <c r="AD36" s="2">
        <f t="shared" si="1"/>
        <v>1.5999999999999943</v>
      </c>
      <c r="AE36" s="148">
        <f t="shared" si="2"/>
        <v>-1.879230495190598E-2</v>
      </c>
    </row>
    <row r="37" spans="15:31" x14ac:dyDescent="0.25">
      <c r="W37" s="143">
        <v>42410</v>
      </c>
      <c r="X37" s="12">
        <v>111.33</v>
      </c>
      <c r="Y37" s="12">
        <v>114.48</v>
      </c>
      <c r="Z37" s="12">
        <v>111.33</v>
      </c>
      <c r="AA37" s="12">
        <v>112.74</v>
      </c>
      <c r="AB37" s="105">
        <v>3023200</v>
      </c>
      <c r="AC37" s="12">
        <v>112.28</v>
      </c>
      <c r="AD37" s="2">
        <f t="shared" si="1"/>
        <v>3.1500000000000057</v>
      </c>
      <c r="AE37" s="148">
        <f t="shared" si="2"/>
        <v>1.4272809394760611E-2</v>
      </c>
    </row>
    <row r="38" spans="15:31" x14ac:dyDescent="0.25">
      <c r="W38" s="143">
        <v>42409</v>
      </c>
      <c r="X38" s="12">
        <v>109.37</v>
      </c>
      <c r="Y38" s="12">
        <v>112.28</v>
      </c>
      <c r="Z38" s="12">
        <v>109.14</v>
      </c>
      <c r="AA38" s="12">
        <v>111.16</v>
      </c>
      <c r="AB38" s="105">
        <v>3680200</v>
      </c>
      <c r="AC38" s="12">
        <v>110.7</v>
      </c>
      <c r="AD38" s="2">
        <f t="shared" si="1"/>
        <v>3.1400000000000006</v>
      </c>
      <c r="AE38" s="148">
        <f t="shared" si="2"/>
        <v>1.0313041891028663E-2</v>
      </c>
    </row>
    <row r="39" spans="15:31" x14ac:dyDescent="0.25">
      <c r="W39" s="143">
        <v>42408</v>
      </c>
      <c r="X39" s="12">
        <v>110.5</v>
      </c>
      <c r="Y39" s="12">
        <v>111.12</v>
      </c>
      <c r="Z39" s="12">
        <v>108.83</v>
      </c>
      <c r="AA39" s="12">
        <v>110.02</v>
      </c>
      <c r="AB39" s="105">
        <v>5050200</v>
      </c>
      <c r="AC39" s="12">
        <v>109.57</v>
      </c>
      <c r="AD39" s="2">
        <f t="shared" si="1"/>
        <v>2.2900000000000063</v>
      </c>
      <c r="AE39" s="148">
        <f t="shared" si="2"/>
        <v>-1.5189645874528201E-2</v>
      </c>
    </row>
    <row r="40" spans="15:31" x14ac:dyDescent="0.25">
      <c r="O40" s="37"/>
      <c r="W40" s="143">
        <v>42405</v>
      </c>
      <c r="X40" s="12">
        <v>114.07</v>
      </c>
      <c r="Y40" s="12">
        <v>114.21</v>
      </c>
      <c r="Z40" s="12">
        <v>110.9</v>
      </c>
      <c r="AA40" s="12">
        <v>111.72</v>
      </c>
      <c r="AB40" s="105">
        <v>3330800</v>
      </c>
      <c r="AC40" s="12">
        <v>111.26</v>
      </c>
      <c r="AD40" s="2">
        <f t="shared" si="1"/>
        <v>3.3099999999999881</v>
      </c>
      <c r="AE40" s="148">
        <f t="shared" si="2"/>
        <v>-2.1718104282071549E-2</v>
      </c>
    </row>
    <row r="41" spans="15:31" ht="20.25" thickBot="1" x14ac:dyDescent="0.35">
      <c r="O41" s="420" t="s">
        <v>78</v>
      </c>
      <c r="P41" s="420"/>
      <c r="Q41" s="37"/>
      <c r="T41" s="101" t="s">
        <v>116</v>
      </c>
      <c r="W41" s="143">
        <v>42404</v>
      </c>
      <c r="X41" s="12">
        <v>112.67</v>
      </c>
      <c r="Y41" s="12">
        <v>114.55</v>
      </c>
      <c r="Z41" s="12">
        <v>112.04</v>
      </c>
      <c r="AA41" s="12">
        <v>114.2</v>
      </c>
      <c r="AB41" s="105">
        <v>3608300</v>
      </c>
      <c r="AC41" s="12">
        <v>113.73</v>
      </c>
      <c r="AD41" s="2">
        <f t="shared" si="1"/>
        <v>2.5099999999999909</v>
      </c>
      <c r="AE41" s="148">
        <f t="shared" si="2"/>
        <v>1.282393801763293E-2</v>
      </c>
    </row>
    <row r="42" spans="15:31" ht="15.75" thickTop="1" x14ac:dyDescent="0.25">
      <c r="O42" s="93">
        <v>1.1000000000000001</v>
      </c>
      <c r="P42" s="93">
        <f>O42*$Q$4</f>
        <v>142.91200000000001</v>
      </c>
      <c r="Q42" s="37"/>
      <c r="T42" s="138" t="s">
        <v>101</v>
      </c>
      <c r="U42" s="108">
        <v>128.9</v>
      </c>
      <c r="W42" s="143">
        <v>42403</v>
      </c>
      <c r="X42" s="12">
        <v>114.37</v>
      </c>
      <c r="Y42" s="12">
        <v>114.37</v>
      </c>
      <c r="Z42" s="12">
        <v>110.3</v>
      </c>
      <c r="AA42" s="12">
        <v>112.75</v>
      </c>
      <c r="AB42" s="105">
        <v>3462300</v>
      </c>
      <c r="AC42" s="12">
        <v>112.29</v>
      </c>
      <c r="AD42" s="2">
        <f t="shared" si="1"/>
        <v>4.0700000000000074</v>
      </c>
      <c r="AE42" s="148">
        <f t="shared" si="2"/>
        <v>-9.875672339299757E-3</v>
      </c>
    </row>
    <row r="43" spans="15:31" x14ac:dyDescent="0.25">
      <c r="O43" s="93">
        <v>1.0900000000000001</v>
      </c>
      <c r="P43" s="93">
        <f t="shared" ref="P43:P62" si="5">O43*$Q$4</f>
        <v>141.61279999999999</v>
      </c>
      <c r="Q43" s="37"/>
      <c r="T43" s="103" t="s">
        <v>102</v>
      </c>
      <c r="U43" s="98" t="s">
        <v>134</v>
      </c>
      <c r="W43" s="143">
        <v>42402</v>
      </c>
      <c r="X43" s="12">
        <v>114.95</v>
      </c>
      <c r="Y43" s="12">
        <v>115.39</v>
      </c>
      <c r="Z43" s="12">
        <v>113.27</v>
      </c>
      <c r="AA43" s="12">
        <v>113.88</v>
      </c>
      <c r="AB43" s="105">
        <v>2997700</v>
      </c>
      <c r="AC43" s="12">
        <v>113.41</v>
      </c>
      <c r="AD43" s="2">
        <f t="shared" si="1"/>
        <v>2.1200000000000045</v>
      </c>
      <c r="AE43" s="148">
        <f t="shared" si="2"/>
        <v>-1.7329520838748835E-2</v>
      </c>
    </row>
    <row r="44" spans="15:31" x14ac:dyDescent="0.25">
      <c r="O44" s="93">
        <v>1.08</v>
      </c>
      <c r="P44" s="93">
        <f t="shared" si="5"/>
        <v>140.31360000000001</v>
      </c>
      <c r="Q44" s="37"/>
      <c r="T44" s="103" t="s">
        <v>103</v>
      </c>
      <c r="U44" s="98" t="s">
        <v>134</v>
      </c>
      <c r="W44" s="143">
        <v>42401</v>
      </c>
      <c r="X44" s="12">
        <v>114.83</v>
      </c>
      <c r="Y44" s="12">
        <v>116.15</v>
      </c>
      <c r="Z44" s="12">
        <v>114.11</v>
      </c>
      <c r="AA44" s="12">
        <v>115.89</v>
      </c>
      <c r="AB44" s="105">
        <v>4333500</v>
      </c>
      <c r="AC44" s="12">
        <v>115.41</v>
      </c>
      <c r="AD44" s="2">
        <f t="shared" si="1"/>
        <v>2.0400000000000063</v>
      </c>
      <c r="AE44" s="148">
        <f t="shared" si="2"/>
        <v>6.2777923097043775E-3</v>
      </c>
    </row>
    <row r="45" spans="15:31" x14ac:dyDescent="0.25">
      <c r="O45" s="93">
        <v>1.07</v>
      </c>
      <c r="P45" s="93">
        <f t="shared" si="5"/>
        <v>139.01439999999999</v>
      </c>
      <c r="Q45" s="93"/>
      <c r="T45" s="103" t="s">
        <v>104</v>
      </c>
      <c r="U45" s="98" t="s">
        <v>134</v>
      </c>
      <c r="W45" s="143">
        <v>42398</v>
      </c>
      <c r="X45" s="12">
        <v>111.93</v>
      </c>
      <c r="Y45" s="12">
        <v>115.16</v>
      </c>
      <c r="Z45" s="12">
        <v>110.62</v>
      </c>
      <c r="AA45" s="12">
        <v>115.16</v>
      </c>
      <c r="AB45" s="105">
        <v>5280800</v>
      </c>
      <c r="AC45" s="12">
        <v>114.69</v>
      </c>
      <c r="AD45" s="2">
        <f t="shared" si="1"/>
        <v>4.539999999999992</v>
      </c>
      <c r="AE45" s="148">
        <f t="shared" si="2"/>
        <v>3.3988460151460398E-2</v>
      </c>
    </row>
    <row r="46" spans="15:31" x14ac:dyDescent="0.25">
      <c r="O46" s="93">
        <v>1.06</v>
      </c>
      <c r="P46" s="93">
        <f t="shared" si="5"/>
        <v>137.71519999999998</v>
      </c>
      <c r="Q46" s="93"/>
      <c r="T46" s="103" t="s">
        <v>105</v>
      </c>
      <c r="U46" s="98">
        <v>141.58000000000001</v>
      </c>
      <c r="W46" s="143">
        <v>42397</v>
      </c>
      <c r="X46" s="12">
        <v>112.29</v>
      </c>
      <c r="Y46" s="12">
        <v>113.25</v>
      </c>
      <c r="Z46" s="12">
        <v>110.61</v>
      </c>
      <c r="AA46" s="12">
        <v>111.38</v>
      </c>
      <c r="AB46" s="105">
        <v>3525600</v>
      </c>
      <c r="AC46" s="12">
        <v>110.92</v>
      </c>
      <c r="AD46" s="2">
        <f t="shared" si="1"/>
        <v>2.6400000000000006</v>
      </c>
      <c r="AE46" s="148">
        <f t="shared" si="2"/>
        <v>-8.4919996424421829E-3</v>
      </c>
    </row>
    <row r="47" spans="15:31" x14ac:dyDescent="0.25">
      <c r="O47" s="93">
        <v>1.05</v>
      </c>
      <c r="P47" s="93">
        <f t="shared" si="5"/>
        <v>136.416</v>
      </c>
      <c r="Q47" s="93"/>
      <c r="T47" s="103" t="s">
        <v>106</v>
      </c>
      <c r="U47" s="98">
        <v>0.62180000000000002</v>
      </c>
      <c r="W47" s="143">
        <v>42396</v>
      </c>
      <c r="X47" s="12">
        <v>114.43</v>
      </c>
      <c r="Y47" s="12">
        <v>114.81</v>
      </c>
      <c r="Z47" s="12">
        <v>111.84</v>
      </c>
      <c r="AA47" s="12">
        <v>112.33</v>
      </c>
      <c r="AB47" s="105">
        <v>4720300</v>
      </c>
      <c r="AC47" s="12">
        <v>111.87</v>
      </c>
      <c r="AD47" s="2">
        <f t="shared" si="1"/>
        <v>2.9699999999999989</v>
      </c>
      <c r="AE47" s="148">
        <f t="shared" si="2"/>
        <v>-1.4274385408405976E-2</v>
      </c>
    </row>
    <row r="48" spans="15:31" x14ac:dyDescent="0.25">
      <c r="O48" s="93">
        <v>1.04</v>
      </c>
      <c r="P48" s="93">
        <f t="shared" si="5"/>
        <v>135.11679999999998</v>
      </c>
      <c r="Q48" s="93"/>
      <c r="T48" s="103" t="s">
        <v>107</v>
      </c>
      <c r="U48" s="98" t="s">
        <v>278</v>
      </c>
      <c r="W48" s="143">
        <v>42395</v>
      </c>
      <c r="X48" s="12">
        <v>112.91</v>
      </c>
      <c r="Y48" s="12">
        <v>114.18</v>
      </c>
      <c r="Z48" s="12">
        <v>111.76</v>
      </c>
      <c r="AA48" s="12">
        <v>113.96</v>
      </c>
      <c r="AB48" s="105">
        <v>4592500</v>
      </c>
      <c r="AC48" s="12">
        <v>113.49</v>
      </c>
      <c r="AD48" s="2">
        <f t="shared" si="1"/>
        <v>2.4200000000000017</v>
      </c>
      <c r="AE48" s="148">
        <f t="shared" si="2"/>
        <v>5.136834647063937E-3</v>
      </c>
    </row>
    <row r="49" spans="15:31" x14ac:dyDescent="0.25">
      <c r="O49" s="93">
        <v>1.03</v>
      </c>
      <c r="P49" s="93">
        <f t="shared" si="5"/>
        <v>133.8176</v>
      </c>
      <c r="Q49" s="93"/>
      <c r="T49" s="103"/>
      <c r="U49" s="98"/>
      <c r="W49" s="143">
        <v>42394</v>
      </c>
      <c r="X49" s="12">
        <v>114.52</v>
      </c>
      <c r="Y49" s="12">
        <v>115.31</v>
      </c>
      <c r="Z49" s="12">
        <v>112.85</v>
      </c>
      <c r="AA49" s="12">
        <v>113.38</v>
      </c>
      <c r="AB49" s="105">
        <v>2908500</v>
      </c>
      <c r="AC49" s="12">
        <v>112.91</v>
      </c>
      <c r="AD49" s="2">
        <f t="shared" si="1"/>
        <v>2.460000000000008</v>
      </c>
      <c r="AE49" s="148">
        <f t="shared" si="2"/>
        <v>-8.3435798348849843E-3</v>
      </c>
    </row>
    <row r="50" spans="15:31" x14ac:dyDescent="0.25">
      <c r="O50" s="93">
        <v>1.02</v>
      </c>
      <c r="P50" s="93">
        <f t="shared" si="5"/>
        <v>132.51839999999999</v>
      </c>
      <c r="Q50" s="93"/>
      <c r="T50" s="103" t="s">
        <v>108</v>
      </c>
      <c r="U50" s="98" t="s">
        <v>302</v>
      </c>
      <c r="W50" s="143">
        <v>42391</v>
      </c>
      <c r="X50" s="12">
        <v>114.67</v>
      </c>
      <c r="Y50" s="12">
        <v>115.15</v>
      </c>
      <c r="Z50" s="12">
        <v>113.89</v>
      </c>
      <c r="AA50" s="12">
        <v>114.33</v>
      </c>
      <c r="AB50" s="105">
        <v>3622200</v>
      </c>
      <c r="AC50" s="12">
        <v>113.86</v>
      </c>
      <c r="AD50" s="2">
        <f t="shared" si="1"/>
        <v>1.2600000000000051</v>
      </c>
      <c r="AE50" s="148">
        <f t="shared" si="2"/>
        <v>7.3431832256922736E-3</v>
      </c>
    </row>
    <row r="51" spans="15:31" x14ac:dyDescent="0.25">
      <c r="O51" s="93">
        <v>1.01</v>
      </c>
      <c r="P51" s="93">
        <f t="shared" si="5"/>
        <v>131.2192</v>
      </c>
      <c r="Q51" s="93"/>
      <c r="T51" s="103" t="s">
        <v>109</v>
      </c>
      <c r="U51" s="98" t="s">
        <v>291</v>
      </c>
      <c r="W51" s="143">
        <v>42390</v>
      </c>
      <c r="X51" s="12">
        <v>114.67</v>
      </c>
      <c r="Y51" s="12">
        <v>115.48</v>
      </c>
      <c r="Z51" s="12">
        <v>112.26</v>
      </c>
      <c r="AA51" s="12">
        <v>113.5</v>
      </c>
      <c r="AB51" s="105">
        <v>5413900</v>
      </c>
      <c r="AC51" s="12">
        <v>113.03</v>
      </c>
      <c r="AD51" s="2">
        <f t="shared" si="1"/>
        <v>3.2199999999999989</v>
      </c>
      <c r="AE51" s="148">
        <f t="shared" si="2"/>
        <v>-1.128411476557023E-2</v>
      </c>
    </row>
    <row r="52" spans="15:31" x14ac:dyDescent="0.25">
      <c r="O52" s="93">
        <v>1</v>
      </c>
      <c r="P52" s="93">
        <f t="shared" si="5"/>
        <v>129.91999999999999</v>
      </c>
      <c r="Q52" s="93"/>
      <c r="T52" s="103" t="s">
        <v>110</v>
      </c>
      <c r="U52" s="100">
        <v>0</v>
      </c>
      <c r="W52" s="143">
        <v>42389</v>
      </c>
      <c r="X52" s="12">
        <v>112.09</v>
      </c>
      <c r="Y52" s="12">
        <v>115.74</v>
      </c>
      <c r="Z52" s="12">
        <v>110.15</v>
      </c>
      <c r="AA52" s="12">
        <v>114.79</v>
      </c>
      <c r="AB52" s="105">
        <v>8380700</v>
      </c>
      <c r="AC52" s="12">
        <v>114.32</v>
      </c>
      <c r="AD52" s="2">
        <f t="shared" si="1"/>
        <v>5.5899999999999892</v>
      </c>
      <c r="AE52" s="148">
        <f t="shared" si="2"/>
        <v>1.9621833749553952E-2</v>
      </c>
    </row>
    <row r="53" spans="15:31" x14ac:dyDescent="0.25">
      <c r="O53" s="93">
        <v>0.99</v>
      </c>
      <c r="P53" s="93">
        <f t="shared" si="5"/>
        <v>128.62079999999997</v>
      </c>
      <c r="Q53" s="93"/>
      <c r="T53" s="103" t="s">
        <v>113</v>
      </c>
      <c r="U53" s="100">
        <v>3795060</v>
      </c>
      <c r="W53" s="143">
        <v>42388</v>
      </c>
      <c r="X53" s="12">
        <v>111.49</v>
      </c>
      <c r="Y53" s="12">
        <v>114.16</v>
      </c>
      <c r="Z53" s="12">
        <v>109.6</v>
      </c>
      <c r="AA53" s="12">
        <v>112.58</v>
      </c>
      <c r="AB53" s="105">
        <v>7122800</v>
      </c>
      <c r="AC53" s="12">
        <v>112.12</v>
      </c>
      <c r="AD53" s="2">
        <f t="shared" si="1"/>
        <v>4.5600000000000023</v>
      </c>
      <c r="AE53" s="148">
        <f t="shared" si="2"/>
        <v>3.032530784782228E-2</v>
      </c>
    </row>
    <row r="54" spans="15:31" x14ac:dyDescent="0.25">
      <c r="O54" s="93">
        <v>0.98</v>
      </c>
      <c r="P54" s="93">
        <f t="shared" si="5"/>
        <v>127.32159999999999</v>
      </c>
      <c r="Q54" s="93"/>
      <c r="T54" s="103" t="s">
        <v>111</v>
      </c>
      <c r="U54" s="98" t="s">
        <v>376</v>
      </c>
      <c r="W54" s="143">
        <v>42384</v>
      </c>
      <c r="X54" s="12">
        <v>109.08</v>
      </c>
      <c r="Y54" s="12">
        <v>110.65</v>
      </c>
      <c r="Z54" s="12">
        <v>107.79</v>
      </c>
      <c r="AA54" s="12">
        <v>109.27</v>
      </c>
      <c r="AB54" s="105">
        <v>6357000</v>
      </c>
      <c r="AC54" s="12">
        <v>108.82</v>
      </c>
      <c r="AD54" s="2">
        <f t="shared" si="1"/>
        <v>2.8599999999999994</v>
      </c>
      <c r="AE54" s="148">
        <f t="shared" si="2"/>
        <v>-1.341795104261112E-2</v>
      </c>
    </row>
    <row r="55" spans="15:31" x14ac:dyDescent="0.25">
      <c r="O55" s="93">
        <v>0.97</v>
      </c>
      <c r="P55" s="93">
        <f t="shared" si="5"/>
        <v>126.02239999999999</v>
      </c>
      <c r="Q55" s="93"/>
      <c r="T55" s="103" t="s">
        <v>114</v>
      </c>
      <c r="U55" s="98">
        <v>21.45</v>
      </c>
      <c r="W55" s="143">
        <v>42383</v>
      </c>
      <c r="X55" s="12">
        <v>108.74</v>
      </c>
      <c r="Y55" s="12">
        <v>111.8</v>
      </c>
      <c r="Z55" s="12">
        <v>107.51</v>
      </c>
      <c r="AA55" s="12">
        <v>110.76</v>
      </c>
      <c r="AB55" s="105">
        <v>4238200</v>
      </c>
      <c r="AC55" s="12">
        <v>110.3</v>
      </c>
      <c r="AD55" s="2">
        <f t="shared" si="1"/>
        <v>4.289999999999992</v>
      </c>
      <c r="AE55" s="148">
        <f t="shared" si="2"/>
        <v>1.3973156830299649E-2</v>
      </c>
    </row>
    <row r="56" spans="15:31" x14ac:dyDescent="0.25">
      <c r="O56" s="93">
        <v>0.96</v>
      </c>
      <c r="P56" s="93">
        <f t="shared" si="5"/>
        <v>124.72319999999998</v>
      </c>
      <c r="Q56" s="93"/>
      <c r="T56" s="103" t="s">
        <v>115</v>
      </c>
      <c r="U56" s="98">
        <v>6.01</v>
      </c>
      <c r="W56" s="143">
        <v>42382</v>
      </c>
      <c r="X56" s="12">
        <v>112.41</v>
      </c>
      <c r="Y56" s="12">
        <v>113.04</v>
      </c>
      <c r="Z56" s="12">
        <v>108.93</v>
      </c>
      <c r="AA56" s="12">
        <v>109.23</v>
      </c>
      <c r="AB56" s="105">
        <v>3434300</v>
      </c>
      <c r="AC56" s="12">
        <v>108.78</v>
      </c>
      <c r="AD56" s="2">
        <f t="shared" si="1"/>
        <v>4.1099999999999994</v>
      </c>
      <c r="AE56" s="148">
        <f t="shared" si="2"/>
        <v>-2.7012522361359537E-2</v>
      </c>
    </row>
    <row r="57" spans="15:31" x14ac:dyDescent="0.25">
      <c r="O57" s="93">
        <v>0.95</v>
      </c>
      <c r="P57" s="93">
        <f t="shared" si="5"/>
        <v>123.42399999999998</v>
      </c>
      <c r="Q57" s="93"/>
      <c r="T57" s="103" t="s">
        <v>112</v>
      </c>
      <c r="U57" s="98" t="s">
        <v>377</v>
      </c>
      <c r="W57" s="143">
        <v>42381</v>
      </c>
      <c r="X57" s="12">
        <v>110.36</v>
      </c>
      <c r="Y57" s="12">
        <v>113.13</v>
      </c>
      <c r="Z57" s="12">
        <v>110.05</v>
      </c>
      <c r="AA57" s="12">
        <v>112.26</v>
      </c>
      <c r="AB57" s="105">
        <v>4037800</v>
      </c>
      <c r="AC57" s="12">
        <v>111.8</v>
      </c>
      <c r="AD57" s="2">
        <f t="shared" si="1"/>
        <v>3.0799999999999983</v>
      </c>
      <c r="AE57" s="148">
        <f t="shared" si="2"/>
        <v>2.446623293319905E-2</v>
      </c>
    </row>
    <row r="58" spans="15:31" x14ac:dyDescent="0.25">
      <c r="O58" s="93">
        <v>0.94</v>
      </c>
      <c r="P58" s="93">
        <f t="shared" si="5"/>
        <v>122.12479999999998</v>
      </c>
      <c r="Q58" s="93"/>
      <c r="W58" s="143">
        <v>42380</v>
      </c>
      <c r="X58" s="12">
        <v>110.51</v>
      </c>
      <c r="Y58" s="12">
        <v>110.62</v>
      </c>
      <c r="Z58" s="12">
        <v>108.19</v>
      </c>
      <c r="AA58" s="12">
        <v>109.58</v>
      </c>
      <c r="AB58" s="105">
        <v>4525800</v>
      </c>
      <c r="AC58" s="12">
        <v>109.13</v>
      </c>
      <c r="AD58" s="2">
        <f t="shared" si="1"/>
        <v>2.4300000000000068</v>
      </c>
      <c r="AE58" s="148">
        <f t="shared" si="2"/>
        <v>-5.28666484367879E-3</v>
      </c>
    </row>
    <row r="59" spans="15:31" x14ac:dyDescent="0.25">
      <c r="O59" s="93">
        <v>0.93</v>
      </c>
      <c r="P59" s="93">
        <f t="shared" si="5"/>
        <v>120.82559999999999</v>
      </c>
      <c r="Q59" s="93"/>
      <c r="W59" s="143">
        <v>42377</v>
      </c>
      <c r="X59" s="12">
        <v>112.35</v>
      </c>
      <c r="Y59" s="12">
        <v>113</v>
      </c>
      <c r="Z59" s="12">
        <v>109.76</v>
      </c>
      <c r="AA59" s="12">
        <v>110.16</v>
      </c>
      <c r="AB59" s="105">
        <v>4422400</v>
      </c>
      <c r="AC59" s="12">
        <v>109.71</v>
      </c>
      <c r="AD59" s="2">
        <f t="shared" si="1"/>
        <v>3.2399999999999949</v>
      </c>
      <c r="AE59" s="148">
        <f t="shared" si="2"/>
        <v>-1.7199677506046784E-2</v>
      </c>
    </row>
    <row r="60" spans="15:31" x14ac:dyDescent="0.25">
      <c r="O60" s="93">
        <v>0.92</v>
      </c>
      <c r="P60" s="93">
        <f t="shared" si="5"/>
        <v>119.5264</v>
      </c>
      <c r="Q60" s="93"/>
      <c r="W60" s="143">
        <v>42376</v>
      </c>
      <c r="X60" s="12">
        <v>113.63</v>
      </c>
      <c r="Y60" s="12">
        <v>114.09</v>
      </c>
      <c r="Z60" s="12">
        <v>111.42</v>
      </c>
      <c r="AA60" s="12">
        <v>112.09</v>
      </c>
      <c r="AB60" s="105">
        <v>5277200</v>
      </c>
      <c r="AC60" s="12">
        <v>111.63</v>
      </c>
      <c r="AD60" s="2">
        <f t="shared" si="1"/>
        <v>2.6700000000000017</v>
      </c>
      <c r="AE60" s="148">
        <f t="shared" si="2"/>
        <v>-2.9473135106937942E-2</v>
      </c>
    </row>
    <row r="61" spans="15:31" x14ac:dyDescent="0.25">
      <c r="O61" s="93">
        <v>0.91</v>
      </c>
      <c r="P61" s="93">
        <f t="shared" si="5"/>
        <v>118.2272</v>
      </c>
      <c r="Q61" s="93"/>
      <c r="W61" s="143">
        <v>42375</v>
      </c>
      <c r="X61" s="12">
        <v>115.78</v>
      </c>
      <c r="Y61" s="12">
        <v>116.65</v>
      </c>
      <c r="Z61" s="12">
        <v>114.5</v>
      </c>
      <c r="AA61" s="12">
        <v>115.49</v>
      </c>
      <c r="AB61" s="105">
        <v>2677300</v>
      </c>
      <c r="AC61" s="12">
        <v>115.02</v>
      </c>
      <c r="AD61" s="2">
        <f t="shared" si="1"/>
        <v>2.1500000000000057</v>
      </c>
      <c r="AE61" s="148">
        <f t="shared" si="2"/>
        <v>-1.0154905335628239E-2</v>
      </c>
    </row>
    <row r="62" spans="15:31" x14ac:dyDescent="0.25">
      <c r="O62" s="93">
        <v>0.9</v>
      </c>
      <c r="P62" s="93">
        <f t="shared" si="5"/>
        <v>116.928</v>
      </c>
      <c r="Q62" s="93"/>
      <c r="W62" s="143">
        <v>42374</v>
      </c>
      <c r="X62" s="12">
        <v>116.72</v>
      </c>
      <c r="Y62" s="12">
        <v>117.89</v>
      </c>
      <c r="Z62" s="12">
        <v>116.21</v>
      </c>
      <c r="AA62" s="12">
        <v>116.68</v>
      </c>
      <c r="AB62" s="105">
        <v>2816800</v>
      </c>
      <c r="AC62" s="12">
        <v>116.2</v>
      </c>
      <c r="AD62" s="2">
        <f t="shared" si="1"/>
        <v>1.6800000000000068</v>
      </c>
      <c r="AE62" s="148">
        <f t="shared" si="2"/>
        <v>1.8968787722020153E-3</v>
      </c>
    </row>
    <row r="63" spans="15:31" x14ac:dyDescent="0.25">
      <c r="O63" s="37"/>
      <c r="W63" s="143">
        <v>42373</v>
      </c>
      <c r="X63" s="12">
        <v>116.91</v>
      </c>
      <c r="Y63" s="12">
        <v>116.91</v>
      </c>
      <c r="Z63" s="12">
        <v>114.53</v>
      </c>
      <c r="AA63" s="12">
        <v>116.46</v>
      </c>
      <c r="AB63" s="105">
        <v>4991000</v>
      </c>
      <c r="AC63" s="12">
        <v>115.98</v>
      </c>
      <c r="AD63" s="2">
        <f t="shared" si="1"/>
        <v>2.3799999999999955</v>
      </c>
      <c r="AE63" s="148">
        <f t="shared" si="2"/>
        <v>-1.007169682485487E-2</v>
      </c>
    </row>
    <row r="64" spans="15:31" x14ac:dyDescent="0.25">
      <c r="O64" s="37"/>
      <c r="W64" s="143">
        <v>42369</v>
      </c>
      <c r="X64" s="12">
        <v>118.64</v>
      </c>
      <c r="Y64" s="12">
        <v>119.37</v>
      </c>
      <c r="Z64" s="12">
        <v>117.36</v>
      </c>
      <c r="AA64" s="12">
        <v>117.64</v>
      </c>
      <c r="AB64" s="105">
        <v>2372500</v>
      </c>
      <c r="AC64" s="12">
        <v>117.16</v>
      </c>
      <c r="AD64" s="2">
        <f t="shared" si="1"/>
        <v>2.0100000000000051</v>
      </c>
      <c r="AE64" s="148">
        <f t="shared" si="2"/>
        <v>-1.072363421430389E-2</v>
      </c>
    </row>
    <row r="65" spans="23:31" x14ac:dyDescent="0.25">
      <c r="W65" s="143">
        <v>42368</v>
      </c>
      <c r="X65" s="12">
        <v>120.03</v>
      </c>
      <c r="Y65" s="12">
        <v>120.11</v>
      </c>
      <c r="Z65" s="12">
        <v>118.66</v>
      </c>
      <c r="AA65" s="12">
        <v>118.92</v>
      </c>
      <c r="AB65" s="105">
        <v>1747700</v>
      </c>
      <c r="AC65" s="12">
        <v>118.43</v>
      </c>
      <c r="AD65" s="2">
        <f t="shared" si="1"/>
        <v>1.4500000000000028</v>
      </c>
      <c r="AE65" s="148">
        <f t="shared" si="2"/>
        <v>-7.5421101148076541E-3</v>
      </c>
    </row>
    <row r="66" spans="23:31" x14ac:dyDescent="0.25">
      <c r="W66" s="143">
        <v>42367</v>
      </c>
      <c r="X66" s="12">
        <v>118.87</v>
      </c>
      <c r="Y66" s="12">
        <v>120.41</v>
      </c>
      <c r="Z66" s="12">
        <v>118.7</v>
      </c>
      <c r="AA66" s="12">
        <v>119.82</v>
      </c>
      <c r="AB66" s="105">
        <v>2027600</v>
      </c>
      <c r="AC66" s="12">
        <v>119.33</v>
      </c>
      <c r="AD66" s="2">
        <f t="shared" si="1"/>
        <v>1.7099999999999937</v>
      </c>
      <c r="AE66" s="148">
        <f t="shared" si="2"/>
        <v>1.2644263408010836E-2</v>
      </c>
    </row>
    <row r="67" spans="23:31" x14ac:dyDescent="0.25">
      <c r="W67" s="143">
        <v>42366</v>
      </c>
      <c r="X67" s="12">
        <v>118.26</v>
      </c>
      <c r="Y67" s="12">
        <v>118.61</v>
      </c>
      <c r="Z67" s="12">
        <v>117.38</v>
      </c>
      <c r="AA67" s="12">
        <v>118.33</v>
      </c>
      <c r="AB67" s="105">
        <v>1582600</v>
      </c>
      <c r="AC67" s="12">
        <v>117.84</v>
      </c>
      <c r="AD67" s="2">
        <f t="shared" ref="AD67:AD68" si="6">Y67-Z67</f>
        <v>1.230000000000004</v>
      </c>
      <c r="AE67" s="148">
        <f t="shared" ref="AE67" si="7">AC67/AC68-1</f>
        <v>-8.485362749244274E-5</v>
      </c>
    </row>
    <row r="68" spans="23:31" x14ac:dyDescent="0.25">
      <c r="W68" s="143">
        <v>42362</v>
      </c>
      <c r="X68" s="12">
        <v>118.53</v>
      </c>
      <c r="Y68" s="12">
        <v>119.18</v>
      </c>
      <c r="Z68" s="12">
        <v>118.29</v>
      </c>
      <c r="AA68" s="12">
        <v>118.34</v>
      </c>
      <c r="AB68" s="105">
        <v>900100</v>
      </c>
      <c r="AC68" s="12">
        <v>117.85</v>
      </c>
      <c r="AD68" s="2">
        <f t="shared" si="6"/>
        <v>0.89000000000000057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3" priority="17">
      <formula>Q7&gt;0</formula>
    </cfRule>
    <cfRule type="expression" dxfId="32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1" priority="9">
      <formula>F14&gt;0</formula>
    </cfRule>
    <cfRule type="expression" dxfId="30" priority="10">
      <formula>F14&lt;0</formula>
    </cfRule>
  </conditionalFormatting>
  <conditionalFormatting sqref="F15">
    <cfRule type="expression" dxfId="29" priority="7">
      <formula>F15&gt;0</formula>
    </cfRule>
    <cfRule type="expression" dxfId="28" priority="8">
      <formula>F15&lt;0</formula>
    </cfRule>
  </conditionalFormatting>
  <conditionalFormatting sqref="F16:F23">
    <cfRule type="expression" dxfId="27" priority="5">
      <formula>F16&gt;0</formula>
    </cfRule>
    <cfRule type="expression" dxfId="26" priority="6">
      <formula>F16&lt;0</formula>
    </cfRule>
  </conditionalFormatting>
  <conditionalFormatting sqref="H14:H24">
    <cfRule type="expression" dxfId="25" priority="3">
      <formula>H14&gt;0</formula>
    </cfRule>
    <cfRule type="expression" dxfId="24" priority="4">
      <formula>H14&lt;0</formula>
    </cfRule>
  </conditionalFormatting>
  <conditionalFormatting sqref="F17">
    <cfRule type="expression" dxfId="23" priority="1">
      <formula>F17&gt;0</formula>
    </cfRule>
    <cfRule type="expression" dxfId="22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8.5703125" customWidth="1"/>
    <col min="21" max="21" width="35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5</v>
      </c>
      <c r="W2" s="143">
        <v>42460</v>
      </c>
      <c r="X2" s="12">
        <v>255.07</v>
      </c>
      <c r="Y2" s="12">
        <v>261.39999999999998</v>
      </c>
      <c r="Z2" s="12">
        <v>254.19</v>
      </c>
      <c r="AA2" s="12">
        <v>260.32</v>
      </c>
      <c r="AB2" s="105">
        <v>1542000</v>
      </c>
      <c r="AC2" s="12">
        <v>260.32</v>
      </c>
      <c r="AD2" s="2">
        <f>Y2-Z2</f>
        <v>7.2099999999999795</v>
      </c>
      <c r="AE2" s="148">
        <f>AC2/AC3-1</f>
        <v>2.4156109843417983E-2</v>
      </c>
    </row>
    <row r="3" spans="1:40" x14ac:dyDescent="0.25">
      <c r="A3" s="26" t="s">
        <v>71</v>
      </c>
      <c r="B3" s="426">
        <v>42446</v>
      </c>
      <c r="C3" s="4">
        <v>5</v>
      </c>
      <c r="D3" s="3">
        <v>242.55</v>
      </c>
      <c r="E3" s="3">
        <v>0</v>
      </c>
      <c r="F3" s="3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5">
        <f>IF(Q2=0, Q4, (F18-K18-M18)/Q2)</f>
        <v>225.80199999999996</v>
      </c>
      <c r="W3" s="143">
        <v>42459</v>
      </c>
      <c r="X3" s="12">
        <v>256.04000000000002</v>
      </c>
      <c r="Y3" s="12">
        <v>257.92</v>
      </c>
      <c r="Z3" s="12">
        <v>252.63</v>
      </c>
      <c r="AA3" s="12">
        <v>254.18</v>
      </c>
      <c r="AB3" s="105">
        <v>1161600</v>
      </c>
      <c r="AC3" s="12">
        <v>254.18</v>
      </c>
      <c r="AD3" s="2">
        <f t="shared" ref="AD3:AD66" si="0">Y3-Z3</f>
        <v>5.2900000000000205</v>
      </c>
      <c r="AE3" s="148">
        <f t="shared" ref="AE3:AE66" si="1">AC3/AC4-1</f>
        <v>-1.9632479974870387E-3</v>
      </c>
      <c r="AG3" s="1"/>
      <c r="AK3" s="263"/>
      <c r="AN3" s="263"/>
    </row>
    <row r="4" spans="1:40" x14ac:dyDescent="0.25">
      <c r="B4" s="426"/>
      <c r="C4" s="7">
        <v>5</v>
      </c>
      <c r="D4" s="47">
        <v>242.55</v>
      </c>
      <c r="E4" s="47">
        <v>0</v>
      </c>
      <c r="F4" s="47">
        <f>C4*D4 + E4</f>
        <v>1212.75</v>
      </c>
      <c r="G4" s="84"/>
      <c r="H4" s="198"/>
      <c r="I4" s="3"/>
      <c r="J4" s="3"/>
      <c r="K4" s="3"/>
      <c r="L4" s="4"/>
      <c r="O4" s="13" t="s">
        <v>66</v>
      </c>
      <c r="Q4" s="59">
        <v>260.54000000000002</v>
      </c>
      <c r="T4" s="1"/>
      <c r="W4" s="143">
        <v>42458</v>
      </c>
      <c r="X4" s="12">
        <v>251.68</v>
      </c>
      <c r="Y4" s="12">
        <v>254.97</v>
      </c>
      <c r="Z4" s="12">
        <v>246.74</v>
      </c>
      <c r="AA4" s="12">
        <v>254.68</v>
      </c>
      <c r="AB4" s="105">
        <v>1266500</v>
      </c>
      <c r="AC4" s="12">
        <v>254.68</v>
      </c>
      <c r="AD4" s="2">
        <f t="shared" si="0"/>
        <v>8.2299999999999898</v>
      </c>
      <c r="AE4" s="148">
        <f t="shared" si="1"/>
        <v>1.1598347632665984E-2</v>
      </c>
      <c r="AK4" s="263"/>
      <c r="AN4" s="263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1302.7</v>
      </c>
      <c r="T5" s="1"/>
      <c r="W5" s="143">
        <v>42457</v>
      </c>
      <c r="X5" s="12">
        <v>255.05</v>
      </c>
      <c r="Y5" s="12">
        <v>256.70999999999998</v>
      </c>
      <c r="Z5" s="12">
        <v>251.45</v>
      </c>
      <c r="AA5" s="12">
        <v>251.76</v>
      </c>
      <c r="AB5" s="105">
        <v>1017400</v>
      </c>
      <c r="AC5" s="12">
        <v>251.76</v>
      </c>
      <c r="AD5" s="2">
        <f t="shared" si="0"/>
        <v>5.2599999999999909</v>
      </c>
      <c r="AE5" s="148">
        <f t="shared" si="1"/>
        <v>-1.1504181554046089E-2</v>
      </c>
      <c r="AK5" s="263"/>
      <c r="AN5" s="263"/>
    </row>
    <row r="6" spans="1:40" x14ac:dyDescent="0.25">
      <c r="B6" s="422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1129.0099999999998</v>
      </c>
      <c r="W6" s="143">
        <v>42453</v>
      </c>
      <c r="X6" s="12">
        <v>253.79</v>
      </c>
      <c r="Y6" s="12">
        <v>257.54000000000002</v>
      </c>
      <c r="Z6" s="12">
        <v>251.13</v>
      </c>
      <c r="AA6" s="12">
        <v>254.69</v>
      </c>
      <c r="AB6" s="105">
        <v>1056700</v>
      </c>
      <c r="AC6" s="12">
        <v>254.69</v>
      </c>
      <c r="AD6" s="2">
        <f t="shared" si="0"/>
        <v>6.410000000000025</v>
      </c>
      <c r="AE6" s="148">
        <f t="shared" si="1"/>
        <v>-2.1548346654129968E-3</v>
      </c>
      <c r="AK6" s="263"/>
      <c r="AN6" s="263"/>
    </row>
    <row r="7" spans="1:40" ht="15.75" x14ac:dyDescent="0.25">
      <c r="B7" s="422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236</v>
      </c>
      <c r="Q7" s="2">
        <f>IF(Q2=0, K18-F18,Q5-Q6) + M39</f>
        <v>1547.340000000009</v>
      </c>
      <c r="R7" s="254"/>
      <c r="W7" s="143">
        <v>42452</v>
      </c>
      <c r="X7" s="12">
        <v>257</v>
      </c>
      <c r="Y7" s="12">
        <v>258.35000000000002</v>
      </c>
      <c r="Z7" s="12">
        <v>253.59</v>
      </c>
      <c r="AA7" s="12">
        <v>255.24</v>
      </c>
      <c r="AB7" s="105">
        <v>1518500</v>
      </c>
      <c r="AC7" s="12">
        <v>255.24</v>
      </c>
      <c r="AD7" s="2">
        <f t="shared" si="0"/>
        <v>4.7600000000000193</v>
      </c>
      <c r="AE7" s="148">
        <f t="shared" si="1"/>
        <v>-1.6112867165214761E-2</v>
      </c>
      <c r="AK7" s="263"/>
      <c r="AN7" s="263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42451</v>
      </c>
      <c r="X8" s="12">
        <v>252.7</v>
      </c>
      <c r="Y8" s="12">
        <v>261.38</v>
      </c>
      <c r="Z8" s="12">
        <v>252.2</v>
      </c>
      <c r="AA8" s="12">
        <v>259.42</v>
      </c>
      <c r="AB8" s="105">
        <v>1544000</v>
      </c>
      <c r="AC8" s="12">
        <v>259.42</v>
      </c>
      <c r="AD8" s="2">
        <f t="shared" si="0"/>
        <v>9.1800000000000068</v>
      </c>
      <c r="AE8" s="148">
        <f t="shared" si="1"/>
        <v>1.3161491896114041E-2</v>
      </c>
      <c r="AK8" s="263"/>
      <c r="AN8" s="263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42450</v>
      </c>
      <c r="X9" s="12">
        <v>249.52</v>
      </c>
      <c r="Y9" s="12">
        <v>257.41000000000003</v>
      </c>
      <c r="Z9" s="12">
        <v>247.01</v>
      </c>
      <c r="AA9" s="12">
        <v>256.05</v>
      </c>
      <c r="AB9" s="105">
        <v>1451300</v>
      </c>
      <c r="AC9" s="12">
        <v>256.05</v>
      </c>
      <c r="AD9" s="2">
        <f t="shared" si="0"/>
        <v>10.400000000000034</v>
      </c>
      <c r="AE9" s="148">
        <f t="shared" si="1"/>
        <v>2.1014434962915773E-2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243</v>
      </c>
      <c r="Q10" s="2">
        <f>IF(Q2=0,K18-F18,Q5-Q6)</f>
        <v>173.69000000000028</v>
      </c>
      <c r="W10" s="143">
        <v>42447</v>
      </c>
      <c r="X10" s="12">
        <v>247.83</v>
      </c>
      <c r="Y10" s="12">
        <v>251.16</v>
      </c>
      <c r="Z10" s="12">
        <v>243.21</v>
      </c>
      <c r="AA10" s="12">
        <v>250.78</v>
      </c>
      <c r="AB10" s="105">
        <v>3341600</v>
      </c>
      <c r="AC10" s="12">
        <v>250.78</v>
      </c>
      <c r="AD10" s="2">
        <f t="shared" si="0"/>
        <v>7.9499999999999886</v>
      </c>
      <c r="AE10" s="148">
        <f t="shared" si="1"/>
        <v>1.8147862449758412E-2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42446</v>
      </c>
      <c r="X11" s="12">
        <v>250</v>
      </c>
      <c r="Y11" s="12">
        <v>250.03</v>
      </c>
      <c r="Z11" s="12">
        <v>242.25</v>
      </c>
      <c r="AA11" s="12">
        <v>246.31</v>
      </c>
      <c r="AB11" s="105">
        <v>1892100</v>
      </c>
      <c r="AC11" s="12">
        <v>246.31</v>
      </c>
      <c r="AD11" s="2">
        <f t="shared" si="0"/>
        <v>7.7800000000000011</v>
      </c>
      <c r="AE11" s="148">
        <f t="shared" si="1"/>
        <v>-1.8059320682506819E-2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42445</v>
      </c>
      <c r="X12" s="12">
        <v>250.42</v>
      </c>
      <c r="Y12" s="12">
        <v>256.19</v>
      </c>
      <c r="Z12" s="12">
        <v>247.61</v>
      </c>
      <c r="AA12" s="12">
        <v>250.84</v>
      </c>
      <c r="AB12" s="105">
        <v>1734900</v>
      </c>
      <c r="AC12" s="12">
        <v>250.84</v>
      </c>
      <c r="AD12" s="2">
        <f t="shared" si="0"/>
        <v>8.5799999999999841</v>
      </c>
      <c r="AE12" s="148">
        <f t="shared" si="1"/>
        <v>2.0373107498101728E-3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42444</v>
      </c>
      <c r="X13" s="12">
        <v>257.47000000000003</v>
      </c>
      <c r="Y13" s="12">
        <v>257.92</v>
      </c>
      <c r="Z13" s="12">
        <v>248.54</v>
      </c>
      <c r="AA13" s="12">
        <v>250.33</v>
      </c>
      <c r="AB13" s="105">
        <v>1944300</v>
      </c>
      <c r="AC13" s="12">
        <v>250.33</v>
      </c>
      <c r="AD13" s="2">
        <f t="shared" si="0"/>
        <v>9.3800000000000239</v>
      </c>
      <c r="AE13" s="148">
        <f t="shared" si="1"/>
        <v>-2.8862939830080925E-2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42443</v>
      </c>
      <c r="X14" s="12">
        <v>258.91000000000003</v>
      </c>
      <c r="Y14" s="12">
        <v>259.89</v>
      </c>
      <c r="Z14" s="12">
        <v>256.89999999999998</v>
      </c>
      <c r="AA14" s="12">
        <v>257.77</v>
      </c>
      <c r="AB14" s="105">
        <v>1241700</v>
      </c>
      <c r="AC14" s="12">
        <v>257.77</v>
      </c>
      <c r="AD14" s="2">
        <f t="shared" si="0"/>
        <v>2.9900000000000091</v>
      </c>
      <c r="AE14" s="148">
        <f t="shared" si="1"/>
        <v>-7.5845075845076826E-3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42440</v>
      </c>
      <c r="X15" s="12">
        <v>255.98</v>
      </c>
      <c r="Y15" s="12">
        <v>260.04000000000002</v>
      </c>
      <c r="Z15" s="12">
        <v>255.1</v>
      </c>
      <c r="AA15" s="12">
        <v>259.74</v>
      </c>
      <c r="AB15" s="105">
        <v>1749900</v>
      </c>
      <c r="AC15" s="12">
        <v>259.74</v>
      </c>
      <c r="AD15" s="2">
        <f t="shared" si="0"/>
        <v>4.9400000000000261</v>
      </c>
      <c r="AE15" s="148">
        <f t="shared" si="1"/>
        <v>3.0837004405286361E-2</v>
      </c>
    </row>
    <row r="16" spans="1:40" x14ac:dyDescent="0.25">
      <c r="G16" s="1"/>
      <c r="W16" s="143">
        <v>42439</v>
      </c>
      <c r="X16" s="12">
        <v>257</v>
      </c>
      <c r="Y16" s="12">
        <v>260.57</v>
      </c>
      <c r="Z16" s="12">
        <v>251</v>
      </c>
      <c r="AA16" s="12">
        <v>251.97</v>
      </c>
      <c r="AB16" s="105">
        <v>1962100</v>
      </c>
      <c r="AC16" s="12">
        <v>251.97</v>
      </c>
      <c r="AD16" s="2">
        <f t="shared" si="0"/>
        <v>9.5699999999999932</v>
      </c>
      <c r="AE16" s="148">
        <f t="shared" si="1"/>
        <v>-1.4433231635766264E-2</v>
      </c>
    </row>
    <row r="17" spans="1:31" x14ac:dyDescent="0.25">
      <c r="G17" s="1"/>
      <c r="W17" s="143">
        <v>42438</v>
      </c>
      <c r="X17" s="12">
        <v>261.26</v>
      </c>
      <c r="Y17" s="12">
        <v>263.27999999999997</v>
      </c>
      <c r="Z17" s="12">
        <v>252.38</v>
      </c>
      <c r="AA17" s="12">
        <v>255.66</v>
      </c>
      <c r="AB17" s="105">
        <v>1888300</v>
      </c>
      <c r="AC17" s="12">
        <v>255.66</v>
      </c>
      <c r="AD17" s="2">
        <f t="shared" si="0"/>
        <v>10.899999999999977</v>
      </c>
      <c r="AE17" s="148">
        <f t="shared" si="1"/>
        <v>-2.1509491733006647E-2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10</v>
      </c>
      <c r="I18" s="16"/>
      <c r="J18" s="16"/>
      <c r="K18" s="16">
        <f t="shared" si="2"/>
        <v>2553.9900000000002</v>
      </c>
      <c r="L18" s="16">
        <f t="shared" si="2"/>
        <v>0</v>
      </c>
      <c r="M18" s="16">
        <f t="shared" si="2"/>
        <v>0</v>
      </c>
      <c r="W18" s="143">
        <v>42437</v>
      </c>
      <c r="X18" s="12">
        <v>267.24</v>
      </c>
      <c r="Y18" s="12">
        <v>269.02</v>
      </c>
      <c r="Z18" s="12">
        <v>260.77999999999997</v>
      </c>
      <c r="AA18" s="12">
        <v>261.27999999999997</v>
      </c>
      <c r="AB18" s="105">
        <v>1492300</v>
      </c>
      <c r="AC18" s="12">
        <v>261.27999999999997</v>
      </c>
      <c r="AD18" s="2">
        <f t="shared" si="0"/>
        <v>8.2400000000000091</v>
      </c>
      <c r="AE18" s="148">
        <f t="shared" si="1"/>
        <v>-3.0572870287919329E-2</v>
      </c>
    </row>
    <row r="19" spans="1:31" x14ac:dyDescent="0.25">
      <c r="N19" s="2"/>
      <c r="W19" s="143">
        <v>42436</v>
      </c>
      <c r="X19" s="12">
        <v>262.14</v>
      </c>
      <c r="Y19" s="12">
        <v>272.44</v>
      </c>
      <c r="Z19" s="12">
        <v>261.2</v>
      </c>
      <c r="AA19" s="12">
        <v>269.52</v>
      </c>
      <c r="AB19" s="105">
        <v>1678700</v>
      </c>
      <c r="AC19" s="12">
        <v>269.52</v>
      </c>
      <c r="AD19" s="2">
        <f t="shared" si="0"/>
        <v>11.240000000000009</v>
      </c>
      <c r="AE19" s="148">
        <f t="shared" si="1"/>
        <v>2.1141168447374348E-2</v>
      </c>
    </row>
    <row r="20" spans="1:31" x14ac:dyDescent="0.25">
      <c r="B20" s="209" t="s">
        <v>117</v>
      </c>
      <c r="C20" s="209" t="s">
        <v>167</v>
      </c>
      <c r="D20" s="210" t="s">
        <v>166</v>
      </c>
      <c r="E20" s="212" t="s">
        <v>168</v>
      </c>
      <c r="F20" s="213" t="s">
        <v>65</v>
      </c>
      <c r="G20" s="253" t="s">
        <v>172</v>
      </c>
      <c r="H20" s="213" t="s">
        <v>90</v>
      </c>
      <c r="I20" s="213" t="s">
        <v>179</v>
      </c>
      <c r="W20" s="143">
        <v>42433</v>
      </c>
      <c r="X20" s="12">
        <v>269.64</v>
      </c>
      <c r="Y20" s="12">
        <v>269.68</v>
      </c>
      <c r="Z20" s="12">
        <v>263.13</v>
      </c>
      <c r="AA20" s="12">
        <v>263.94</v>
      </c>
      <c r="AB20" s="105">
        <v>1635400</v>
      </c>
      <c r="AC20" s="12">
        <v>263.94</v>
      </c>
      <c r="AD20" s="2">
        <f t="shared" si="0"/>
        <v>6.5500000000000114</v>
      </c>
      <c r="AE20" s="148">
        <f t="shared" si="1"/>
        <v>-1.7495533055390089E-2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I21" s="260"/>
      <c r="W21" s="143">
        <v>42432</v>
      </c>
      <c r="X21" s="12">
        <v>272.22000000000003</v>
      </c>
      <c r="Y21" s="12">
        <v>272.82</v>
      </c>
      <c r="Z21" s="12">
        <v>266.14</v>
      </c>
      <c r="AA21" s="12">
        <v>268.64</v>
      </c>
      <c r="AB21" s="105">
        <v>1430900</v>
      </c>
      <c r="AC21" s="12">
        <v>268.64</v>
      </c>
      <c r="AD21" s="2">
        <f t="shared" si="0"/>
        <v>6.6800000000000068</v>
      </c>
      <c r="AE21" s="148">
        <f t="shared" si="1"/>
        <v>-1.8343930424614574E-2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60">
        <f t="shared" ref="H22:H23" si="5">(E22-D22)/D22</f>
        <v>5.6978131212723597E-2</v>
      </c>
      <c r="I22" s="260"/>
      <c r="W22" s="143">
        <v>42431</v>
      </c>
      <c r="X22" s="12">
        <v>270.17</v>
      </c>
      <c r="Y22" s="12">
        <v>274.57</v>
      </c>
      <c r="Z22" s="12">
        <v>268.66000000000003</v>
      </c>
      <c r="AA22" s="12">
        <v>273.66000000000003</v>
      </c>
      <c r="AB22" s="105">
        <v>1651000</v>
      </c>
      <c r="AC22" s="12">
        <v>273.66000000000003</v>
      </c>
      <c r="AD22" s="2">
        <f t="shared" si="0"/>
        <v>5.9099999999999682</v>
      </c>
      <c r="AE22" s="148">
        <f t="shared" si="1"/>
        <v>1.0188261351052219E-2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60">
        <f t="shared" si="5"/>
        <v>8.8111332007952389E-2</v>
      </c>
      <c r="I23" s="260"/>
      <c r="W23" s="143">
        <v>42430</v>
      </c>
      <c r="X23" s="12">
        <v>261.37</v>
      </c>
      <c r="Y23" s="12">
        <v>271.01</v>
      </c>
      <c r="Z23" s="12">
        <v>259.25</v>
      </c>
      <c r="AA23" s="12">
        <v>270.89999999999998</v>
      </c>
      <c r="AB23" s="105">
        <v>1924300</v>
      </c>
      <c r="AC23" s="12">
        <v>270.89999999999998</v>
      </c>
      <c r="AD23" s="2">
        <f t="shared" si="0"/>
        <v>11.759999999999991</v>
      </c>
      <c r="AE23" s="148">
        <f t="shared" si="1"/>
        <v>4.4252563410685175E-2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0" si="6">C24*(E24-D24)</f>
        <v>62.199999999999989</v>
      </c>
      <c r="G24" s="43">
        <f t="shared" ref="G24:G30" si="7">D24*C24</f>
        <v>1257.5</v>
      </c>
      <c r="H24" s="260">
        <f t="shared" ref="H24:H30" si="8">(E24-D24)/D24</f>
        <v>4.9463220675944324E-2</v>
      </c>
      <c r="I24" s="260"/>
      <c r="W24" s="143">
        <v>42429</v>
      </c>
      <c r="X24" s="12">
        <v>262.68</v>
      </c>
      <c r="Y24" s="12">
        <v>265.60000000000002</v>
      </c>
      <c r="Z24" s="12">
        <v>259.18</v>
      </c>
      <c r="AA24" s="12">
        <v>259.42</v>
      </c>
      <c r="AB24" s="105">
        <v>1766500</v>
      </c>
      <c r="AC24" s="12">
        <v>259.42</v>
      </c>
      <c r="AD24" s="2">
        <f t="shared" si="0"/>
        <v>6.4200000000000159</v>
      </c>
      <c r="AE24" s="148">
        <f t="shared" si="1"/>
        <v>-1.9168966690612077E-2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61">
        <f t="shared" si="8"/>
        <v>1.8687872763419437E-3</v>
      </c>
      <c r="I25" s="261"/>
      <c r="W25" s="143">
        <v>42426</v>
      </c>
      <c r="X25" s="12">
        <v>264.06</v>
      </c>
      <c r="Y25" s="12">
        <v>266.47000000000003</v>
      </c>
      <c r="Z25" s="12">
        <v>260.88</v>
      </c>
      <c r="AA25" s="12">
        <v>264.49</v>
      </c>
      <c r="AB25" s="105">
        <v>1603200</v>
      </c>
      <c r="AC25" s="12">
        <v>264.49</v>
      </c>
      <c r="AD25" s="2">
        <f t="shared" si="0"/>
        <v>5.5900000000000318</v>
      </c>
      <c r="AE25" s="148">
        <f t="shared" si="1"/>
        <v>8.1570421193062348E-3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61">
        <f t="shared" si="8"/>
        <v>-4.6520874751490556E-3</v>
      </c>
      <c r="I26" s="261"/>
      <c r="W26" s="143">
        <v>42425</v>
      </c>
      <c r="X26" s="12">
        <v>261.89999999999998</v>
      </c>
      <c r="Y26" s="12">
        <v>262.83999999999997</v>
      </c>
      <c r="Z26" s="12">
        <v>259.16000000000003</v>
      </c>
      <c r="AA26" s="12">
        <v>262.35000000000002</v>
      </c>
      <c r="AB26" s="105">
        <v>1516000</v>
      </c>
      <c r="AC26" s="12">
        <v>262.35000000000002</v>
      </c>
      <c r="AD26" s="2">
        <f t="shared" si="0"/>
        <v>3.67999999999995</v>
      </c>
      <c r="AE26" s="148">
        <f t="shared" si="1"/>
        <v>1.9944016794961383E-2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61">
        <f t="shared" si="8"/>
        <v>3.1633183767741701E-3</v>
      </c>
      <c r="I27" s="261"/>
      <c r="W27" s="143">
        <v>42424</v>
      </c>
      <c r="X27" s="12">
        <v>256.35000000000002</v>
      </c>
      <c r="Y27" s="12">
        <v>257.68</v>
      </c>
      <c r="Z27" s="12">
        <v>249.01</v>
      </c>
      <c r="AA27" s="12">
        <v>257.22000000000003</v>
      </c>
      <c r="AB27" s="105">
        <v>1427700</v>
      </c>
      <c r="AC27" s="12">
        <v>257.22000000000003</v>
      </c>
      <c r="AD27" s="2">
        <f t="shared" si="0"/>
        <v>8.6700000000000159</v>
      </c>
      <c r="AE27" s="148">
        <f t="shared" si="1"/>
        <v>-6.834240704274186E-3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61">
        <f t="shared" si="8"/>
        <v>2.9863495244509385E-2</v>
      </c>
      <c r="I28" s="261" t="s">
        <v>266</v>
      </c>
      <c r="W28" s="143">
        <v>42423</v>
      </c>
      <c r="X28" s="12">
        <v>264.81</v>
      </c>
      <c r="Y28" s="12">
        <v>265.86</v>
      </c>
      <c r="Z28" s="12">
        <v>257.89999999999998</v>
      </c>
      <c r="AA28" s="12">
        <v>258.99</v>
      </c>
      <c r="AB28" s="105">
        <v>1530200</v>
      </c>
      <c r="AC28" s="12">
        <v>258.99</v>
      </c>
      <c r="AD28" s="2">
        <f t="shared" si="0"/>
        <v>7.9600000000000364</v>
      </c>
      <c r="AE28" s="148">
        <f t="shared" si="1"/>
        <v>-2.5730730165895443E-2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61">
        <f t="shared" si="8"/>
        <v>4.587939615946908E-2</v>
      </c>
      <c r="I29" s="261"/>
      <c r="W29" s="143">
        <v>42422</v>
      </c>
      <c r="X29" s="12">
        <v>265.26</v>
      </c>
      <c r="Y29" s="12">
        <v>266</v>
      </c>
      <c r="Z29" s="12">
        <v>261.33999999999997</v>
      </c>
      <c r="AA29" s="12">
        <v>265.83</v>
      </c>
      <c r="AB29" s="105">
        <v>1217000</v>
      </c>
      <c r="AC29" s="12">
        <v>265.83</v>
      </c>
      <c r="AD29" s="2">
        <f t="shared" si="0"/>
        <v>4.660000000000025</v>
      </c>
      <c r="AE29" s="148">
        <f t="shared" si="1"/>
        <v>1.6947207345065163E-2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61">
        <f t="shared" si="8"/>
        <v>0.15286844226357607</v>
      </c>
      <c r="I30" s="261"/>
      <c r="W30" s="143">
        <v>42419</v>
      </c>
      <c r="X30" s="12">
        <v>257.36</v>
      </c>
      <c r="Y30" s="12">
        <v>263</v>
      </c>
      <c r="Z30" s="12">
        <v>255.12</v>
      </c>
      <c r="AA30" s="12">
        <v>261.39999999999998</v>
      </c>
      <c r="AB30" s="105">
        <v>1448000</v>
      </c>
      <c r="AC30" s="12">
        <v>261.39999999999998</v>
      </c>
      <c r="AD30" s="2">
        <f t="shared" si="0"/>
        <v>7.8799999999999955</v>
      </c>
      <c r="AE30" s="148">
        <f t="shared" si="1"/>
        <v>9.0716077977224252E-3</v>
      </c>
    </row>
    <row r="31" spans="1:31" x14ac:dyDescent="0.25">
      <c r="B31" s="12"/>
      <c r="C31" s="12"/>
      <c r="D31" s="43"/>
      <c r="E31" s="43"/>
      <c r="F31" s="43"/>
      <c r="G31" s="43"/>
      <c r="H31" s="261"/>
      <c r="I31" s="261"/>
      <c r="W31" s="143">
        <v>42418</v>
      </c>
      <c r="X31" s="12">
        <v>266.60000000000002</v>
      </c>
      <c r="Y31" s="12">
        <v>266.95999999999998</v>
      </c>
      <c r="Z31" s="12">
        <v>258.51</v>
      </c>
      <c r="AA31" s="12">
        <v>259.05</v>
      </c>
      <c r="AB31" s="105">
        <v>1522400</v>
      </c>
      <c r="AC31" s="12">
        <v>259.05</v>
      </c>
      <c r="AD31" s="2">
        <f t="shared" si="0"/>
        <v>8.4499999999999886</v>
      </c>
      <c r="AE31" s="148">
        <f t="shared" si="1"/>
        <v>-2.4771298422617827E-2</v>
      </c>
    </row>
    <row r="32" spans="1:31" x14ac:dyDescent="0.25">
      <c r="B32" s="12"/>
      <c r="C32" s="12"/>
      <c r="D32" s="43"/>
      <c r="E32" s="43"/>
      <c r="F32" s="43"/>
      <c r="G32" s="43"/>
      <c r="H32" s="261"/>
      <c r="I32" s="261"/>
      <c r="W32" s="143">
        <v>42417</v>
      </c>
      <c r="X32" s="12">
        <v>256.29000000000002</v>
      </c>
      <c r="Y32" s="12">
        <v>265.86</v>
      </c>
      <c r="Z32" s="12">
        <v>256.08</v>
      </c>
      <c r="AA32" s="12">
        <v>265.63</v>
      </c>
      <c r="AB32" s="105">
        <v>1908900</v>
      </c>
      <c r="AC32" s="12">
        <v>265.63</v>
      </c>
      <c r="AD32" s="2">
        <f t="shared" si="0"/>
        <v>9.7800000000000296</v>
      </c>
      <c r="AE32" s="148">
        <f t="shared" si="1"/>
        <v>3.5513800093559977E-2</v>
      </c>
    </row>
    <row r="33" spans="1:31" x14ac:dyDescent="0.25">
      <c r="B33" s="12"/>
      <c r="C33" s="12"/>
      <c r="D33" s="43"/>
      <c r="E33" s="43"/>
      <c r="F33" s="43"/>
      <c r="G33" s="43"/>
      <c r="H33" s="261"/>
      <c r="I33" s="261"/>
      <c r="W33" s="143">
        <v>42416</v>
      </c>
      <c r="X33" s="12">
        <v>249</v>
      </c>
      <c r="Y33" s="12">
        <v>257.42</v>
      </c>
      <c r="Z33" s="12">
        <v>249</v>
      </c>
      <c r="AA33" s="12">
        <v>256.52</v>
      </c>
      <c r="AB33" s="105">
        <v>2069700</v>
      </c>
      <c r="AC33" s="12">
        <v>256.52</v>
      </c>
      <c r="AD33" s="2">
        <f t="shared" si="0"/>
        <v>8.4200000000000159</v>
      </c>
      <c r="AE33" s="148">
        <f t="shared" si="1"/>
        <v>3.76183156702532E-2</v>
      </c>
    </row>
    <row r="34" spans="1:31" x14ac:dyDescent="0.25">
      <c r="B34" s="12"/>
      <c r="C34" s="12"/>
      <c r="D34" s="43"/>
      <c r="E34" s="43"/>
      <c r="F34" s="43"/>
      <c r="G34" s="43"/>
      <c r="H34" s="261"/>
      <c r="I34" s="261"/>
      <c r="W34" s="143">
        <v>42412</v>
      </c>
      <c r="X34" s="12">
        <v>248.78</v>
      </c>
      <c r="Y34" s="12">
        <v>249.2</v>
      </c>
      <c r="Z34" s="12">
        <v>242.07</v>
      </c>
      <c r="AA34" s="12">
        <v>247.22</v>
      </c>
      <c r="AB34" s="105">
        <v>2110700</v>
      </c>
      <c r="AC34" s="12">
        <v>247.22</v>
      </c>
      <c r="AD34" s="2">
        <f t="shared" si="0"/>
        <v>7.1299999999999955</v>
      </c>
      <c r="AE34" s="148">
        <f t="shared" si="1"/>
        <v>8.6083799110603376E-3</v>
      </c>
    </row>
    <row r="35" spans="1:31" x14ac:dyDescent="0.25">
      <c r="B35" s="12"/>
      <c r="C35" s="12"/>
      <c r="D35" s="43"/>
      <c r="E35" s="43"/>
      <c r="F35" s="43"/>
      <c r="G35" s="43"/>
      <c r="H35" s="261"/>
      <c r="I35" s="261"/>
      <c r="W35" s="143">
        <v>42411</v>
      </c>
      <c r="X35" s="12">
        <v>246.31</v>
      </c>
      <c r="Y35" s="12">
        <v>250.02</v>
      </c>
      <c r="Z35" s="12">
        <v>243.03</v>
      </c>
      <c r="AA35" s="12">
        <v>245.11</v>
      </c>
      <c r="AB35" s="105">
        <v>2162100</v>
      </c>
      <c r="AC35" s="12">
        <v>245.11</v>
      </c>
      <c r="AD35" s="2">
        <f t="shared" si="0"/>
        <v>6.9900000000000091</v>
      </c>
      <c r="AE35" s="148">
        <f t="shared" si="1"/>
        <v>-2.8112609040443992E-2</v>
      </c>
    </row>
    <row r="36" spans="1:31" x14ac:dyDescent="0.25">
      <c r="W36" s="143">
        <v>42410</v>
      </c>
      <c r="X36" s="12">
        <v>253.35</v>
      </c>
      <c r="Y36" s="12">
        <v>257.37</v>
      </c>
      <c r="Z36" s="12">
        <v>249.28</v>
      </c>
      <c r="AA36" s="12">
        <v>252.2</v>
      </c>
      <c r="AB36" s="105">
        <v>1745100</v>
      </c>
      <c r="AC36" s="12">
        <v>252.2</v>
      </c>
      <c r="AD36" s="2">
        <f t="shared" si="0"/>
        <v>8.0900000000000034</v>
      </c>
      <c r="AE36" s="148">
        <f t="shared" si="1"/>
        <v>8.8403536141445915E-3</v>
      </c>
    </row>
    <row r="37" spans="1:31" x14ac:dyDescent="0.25">
      <c r="W37" s="143">
        <v>42409</v>
      </c>
      <c r="X37" s="12">
        <v>246.54</v>
      </c>
      <c r="Y37" s="12">
        <v>255</v>
      </c>
      <c r="Z37" s="12">
        <v>243.85</v>
      </c>
      <c r="AA37" s="12">
        <v>249.99</v>
      </c>
      <c r="AB37" s="105">
        <v>2362600</v>
      </c>
      <c r="AC37" s="12">
        <v>249.99</v>
      </c>
      <c r="AD37" s="2">
        <f t="shared" si="0"/>
        <v>11.150000000000006</v>
      </c>
      <c r="AE37" s="148">
        <f t="shared" si="1"/>
        <v>-3.1104199066873672E-3</v>
      </c>
    </row>
    <row r="38" spans="1:31" x14ac:dyDescent="0.25">
      <c r="W38" s="143">
        <v>42408</v>
      </c>
      <c r="X38" s="12">
        <v>260.45</v>
      </c>
      <c r="Y38" s="12">
        <v>260.45</v>
      </c>
      <c r="Z38" s="12">
        <v>248.16</v>
      </c>
      <c r="AA38" s="12">
        <v>250.77</v>
      </c>
      <c r="AB38" s="105">
        <v>2741600</v>
      </c>
      <c r="AC38" s="12">
        <v>250.77</v>
      </c>
      <c r="AD38" s="2">
        <f t="shared" si="0"/>
        <v>12.289999999999992</v>
      </c>
      <c r="AE38" s="148">
        <f t="shared" si="1"/>
        <v>-4.9609641476540567E-2</v>
      </c>
    </row>
    <row r="39" spans="1:31" x14ac:dyDescent="0.25">
      <c r="A39" s="299"/>
      <c r="B39" s="299"/>
      <c r="C39" s="299"/>
      <c r="D39" s="300"/>
      <c r="E39" s="300"/>
      <c r="F39" s="300"/>
      <c r="G39" s="299"/>
      <c r="H39" s="299"/>
      <c r="I39" s="299"/>
      <c r="J39" s="299"/>
      <c r="K39" s="301" t="s">
        <v>137</v>
      </c>
      <c r="L39" s="299"/>
      <c r="M39" s="300">
        <f>K57+M57-F57</f>
        <v>1373.6500000000087</v>
      </c>
      <c r="W39" s="143">
        <v>42405</v>
      </c>
      <c r="X39" s="12">
        <v>271.10000000000002</v>
      </c>
      <c r="Y39" s="12">
        <v>272.67</v>
      </c>
      <c r="Z39" s="12">
        <v>258.45999999999998</v>
      </c>
      <c r="AA39" s="12">
        <v>263.86</v>
      </c>
      <c r="AB39" s="105">
        <v>2836800</v>
      </c>
      <c r="AC39" s="12">
        <v>263.86</v>
      </c>
      <c r="AD39" s="2">
        <f t="shared" si="0"/>
        <v>14.210000000000036</v>
      </c>
      <c r="AE39" s="148">
        <f t="shared" si="1"/>
        <v>-3.4434808065283318E-2</v>
      </c>
    </row>
    <row r="40" spans="1:31" x14ac:dyDescent="0.25">
      <c r="A40" s="301" t="s">
        <v>1</v>
      </c>
      <c r="B40" s="301" t="s">
        <v>2</v>
      </c>
      <c r="C40" s="301" t="s">
        <v>4</v>
      </c>
      <c r="D40" s="302" t="s">
        <v>5</v>
      </c>
      <c r="E40" s="302" t="s">
        <v>96</v>
      </c>
      <c r="F40" s="302" t="s">
        <v>60</v>
      </c>
      <c r="G40" s="301" t="s">
        <v>3</v>
      </c>
      <c r="H40" s="301" t="s">
        <v>6</v>
      </c>
      <c r="I40" s="301" t="s">
        <v>7</v>
      </c>
      <c r="J40" s="301" t="s">
        <v>97</v>
      </c>
      <c r="K40" s="302" t="s">
        <v>61</v>
      </c>
      <c r="L40" s="301" t="s">
        <v>77</v>
      </c>
      <c r="M40" s="301" t="s">
        <v>38</v>
      </c>
      <c r="W40" s="143">
        <v>42404</v>
      </c>
      <c r="X40" s="12">
        <v>270.16000000000003</v>
      </c>
      <c r="Y40" s="12">
        <v>279.38</v>
      </c>
      <c r="Z40" s="12">
        <v>269.11</v>
      </c>
      <c r="AA40" s="12">
        <v>273.27</v>
      </c>
      <c r="AB40" s="105">
        <v>2067500</v>
      </c>
      <c r="AC40" s="12">
        <v>273.27</v>
      </c>
      <c r="AD40" s="2">
        <f t="shared" si="0"/>
        <v>10.269999999999982</v>
      </c>
      <c r="AE40" s="148">
        <f t="shared" si="1"/>
        <v>1.0501793440076845E-2</v>
      </c>
    </row>
    <row r="41" spans="1:31" x14ac:dyDescent="0.25">
      <c r="A41" s="303" t="s">
        <v>62</v>
      </c>
      <c r="B41" s="304">
        <v>42222</v>
      </c>
      <c r="C41" s="299">
        <v>5</v>
      </c>
      <c r="D41" s="300">
        <v>320</v>
      </c>
      <c r="E41" s="300">
        <v>0</v>
      </c>
      <c r="F41" s="300">
        <f>C41*D41 + E41</f>
        <v>1600</v>
      </c>
      <c r="G41" s="304">
        <v>42257</v>
      </c>
      <c r="H41" s="305">
        <v>5</v>
      </c>
      <c r="I41" s="300">
        <v>303.60000000000002</v>
      </c>
      <c r="J41" s="300">
        <v>0.03</v>
      </c>
      <c r="K41" s="300">
        <f t="shared" ref="K41:K48" si="9">H41*I41-J41</f>
        <v>1517.97</v>
      </c>
      <c r="L41" s="299" t="s">
        <v>80</v>
      </c>
      <c r="M41" s="299"/>
      <c r="W41" s="143">
        <v>42403</v>
      </c>
      <c r="X41" s="12">
        <v>267.58</v>
      </c>
      <c r="Y41" s="12">
        <v>270.74</v>
      </c>
      <c r="Z41" s="12">
        <v>261</v>
      </c>
      <c r="AA41" s="12">
        <v>270.43</v>
      </c>
      <c r="AB41" s="105">
        <v>2085800</v>
      </c>
      <c r="AC41" s="12">
        <v>270.43</v>
      </c>
      <c r="AD41" s="2">
        <f t="shared" si="0"/>
        <v>9.7400000000000091</v>
      </c>
      <c r="AE41" s="148">
        <f t="shared" si="1"/>
        <v>1.6424866571450147E-2</v>
      </c>
    </row>
    <row r="42" spans="1:31" ht="20.25" thickBot="1" x14ac:dyDescent="0.35">
      <c r="A42" s="306"/>
      <c r="B42" s="304">
        <v>42247</v>
      </c>
      <c r="C42" s="299">
        <v>5</v>
      </c>
      <c r="D42" s="300">
        <v>298.7</v>
      </c>
      <c r="E42" s="300">
        <v>0</v>
      </c>
      <c r="F42" s="300">
        <f>C42*D42 + E42</f>
        <v>1493.5</v>
      </c>
      <c r="G42" s="304">
        <v>42290</v>
      </c>
      <c r="H42" s="305">
        <v>5</v>
      </c>
      <c r="I42" s="300">
        <v>280.2</v>
      </c>
      <c r="J42" s="300">
        <v>0.03</v>
      </c>
      <c r="K42" s="300">
        <f t="shared" si="9"/>
        <v>1400.97</v>
      </c>
      <c r="L42" s="299"/>
      <c r="M42" s="299"/>
      <c r="O42" s="420" t="s">
        <v>78</v>
      </c>
      <c r="P42" s="420"/>
      <c r="T42" s="122" t="s">
        <v>116</v>
      </c>
      <c r="U42" s="11"/>
      <c r="W42" s="143">
        <v>42402</v>
      </c>
      <c r="X42" s="12">
        <v>267.74</v>
      </c>
      <c r="Y42" s="12">
        <v>271.2</v>
      </c>
      <c r="Z42" s="12">
        <v>265.16000000000003</v>
      </c>
      <c r="AA42" s="12">
        <v>266.06</v>
      </c>
      <c r="AB42" s="105">
        <v>1920200</v>
      </c>
      <c r="AC42" s="12">
        <v>266.06</v>
      </c>
      <c r="AD42" s="2">
        <f t="shared" si="0"/>
        <v>6.0399999999999636</v>
      </c>
      <c r="AE42" s="148">
        <f t="shared" si="1"/>
        <v>-2.7025050283415619E-2</v>
      </c>
    </row>
    <row r="43" spans="1:31" ht="15.75" thickTop="1" x14ac:dyDescent="0.25">
      <c r="A43" s="299"/>
      <c r="B43" s="304">
        <v>42271</v>
      </c>
      <c r="C43" s="299">
        <v>10</v>
      </c>
      <c r="D43" s="300">
        <v>297</v>
      </c>
      <c r="E43" s="300">
        <v>0</v>
      </c>
      <c r="F43" s="300">
        <f>C43*D43 + E43</f>
        <v>2970</v>
      </c>
      <c r="G43" s="304">
        <v>42303</v>
      </c>
      <c r="H43" s="305">
        <v>10</v>
      </c>
      <c r="I43" s="300">
        <v>290</v>
      </c>
      <c r="J43" s="300">
        <v>0.05</v>
      </c>
      <c r="K43" s="300">
        <f t="shared" si="9"/>
        <v>2899.95</v>
      </c>
      <c r="L43" s="299"/>
      <c r="M43" s="299"/>
      <c r="O43" s="93">
        <v>1.1000000000000001</v>
      </c>
      <c r="P43" s="93">
        <f>O43*$Q$4</f>
        <v>286.59400000000005</v>
      </c>
      <c r="Q43" s="2"/>
      <c r="T43" s="199" t="s">
        <v>101</v>
      </c>
      <c r="U43" s="199">
        <v>260.32</v>
      </c>
      <c r="W43" s="143">
        <v>42401</v>
      </c>
      <c r="X43" s="12">
        <v>270.33999999999997</v>
      </c>
      <c r="Y43" s="12">
        <v>275.83</v>
      </c>
      <c r="Z43" s="12">
        <v>269.58</v>
      </c>
      <c r="AA43" s="12">
        <v>273.45</v>
      </c>
      <c r="AB43" s="105">
        <v>1842500</v>
      </c>
      <c r="AC43" s="12">
        <v>273.45</v>
      </c>
      <c r="AD43" s="2">
        <f t="shared" si="0"/>
        <v>6.25</v>
      </c>
      <c r="AE43" s="148">
        <f t="shared" si="1"/>
        <v>1.4282575258184327E-3</v>
      </c>
    </row>
    <row r="44" spans="1:31" x14ac:dyDescent="0.25">
      <c r="A44" s="299"/>
      <c r="B44" s="304">
        <v>42285</v>
      </c>
      <c r="C44" s="299">
        <v>15</v>
      </c>
      <c r="D44" s="300">
        <v>283</v>
      </c>
      <c r="E44" s="300">
        <v>0</v>
      </c>
      <c r="F44" s="300">
        <f t="shared" ref="F44:F53" si="10">C44*D44 + E44</f>
        <v>4245</v>
      </c>
      <c r="G44" s="304">
        <v>42307</v>
      </c>
      <c r="H44" s="305">
        <v>10</v>
      </c>
      <c r="I44" s="300">
        <v>289.35000000000002</v>
      </c>
      <c r="J44" s="300">
        <v>7</v>
      </c>
      <c r="K44" s="300">
        <f t="shared" si="9"/>
        <v>2886.5</v>
      </c>
      <c r="L44" s="299"/>
      <c r="M44" s="299"/>
      <c r="O44" s="93">
        <v>1.0900000000000001</v>
      </c>
      <c r="P44" s="93">
        <f t="shared" ref="P44:P63" si="11">O44*$Q$4</f>
        <v>283.98860000000002</v>
      </c>
      <c r="Q44" s="2"/>
      <c r="T44" s="199" t="s">
        <v>102</v>
      </c>
      <c r="U44" s="199" t="s">
        <v>134</v>
      </c>
      <c r="W44" s="143">
        <v>42398</v>
      </c>
      <c r="X44" s="12">
        <v>268.42</v>
      </c>
      <c r="Y44" s="12">
        <v>273.89999999999998</v>
      </c>
      <c r="Z44" s="12">
        <v>265.7</v>
      </c>
      <c r="AA44" s="12">
        <v>273.06</v>
      </c>
      <c r="AB44" s="105">
        <v>3067900</v>
      </c>
      <c r="AC44" s="12">
        <v>273.06</v>
      </c>
      <c r="AD44" s="2">
        <f t="shared" si="0"/>
        <v>8.1999999999999886</v>
      </c>
      <c r="AE44" s="148">
        <f t="shared" si="1"/>
        <v>2.6695743720860365E-2</v>
      </c>
    </row>
    <row r="45" spans="1:31" x14ac:dyDescent="0.25">
      <c r="A45" s="299"/>
      <c r="B45" s="412">
        <v>42286</v>
      </c>
      <c r="C45" s="299">
        <v>5</v>
      </c>
      <c r="D45" s="300">
        <v>278.5</v>
      </c>
      <c r="E45" s="300">
        <v>0</v>
      </c>
      <c r="F45" s="300">
        <f t="shared" si="10"/>
        <v>1392.5</v>
      </c>
      <c r="G45" s="304">
        <v>42313</v>
      </c>
      <c r="H45" s="305">
        <v>10</v>
      </c>
      <c r="I45" s="300">
        <v>300</v>
      </c>
      <c r="J45" s="300">
        <v>0.06</v>
      </c>
      <c r="K45" s="300">
        <f t="shared" si="9"/>
        <v>2999.94</v>
      </c>
      <c r="L45" s="299"/>
      <c r="M45" s="299"/>
      <c r="O45" s="93">
        <v>1.08</v>
      </c>
      <c r="P45" s="93">
        <f t="shared" si="11"/>
        <v>281.38320000000004</v>
      </c>
      <c r="Q45" s="2"/>
      <c r="T45" s="199" t="s">
        <v>103</v>
      </c>
      <c r="U45" s="199" t="s">
        <v>378</v>
      </c>
      <c r="W45" s="143">
        <v>42397</v>
      </c>
      <c r="X45" s="12">
        <v>275.77</v>
      </c>
      <c r="Y45" s="12">
        <v>276.97000000000003</v>
      </c>
      <c r="Z45" s="12">
        <v>261.7</v>
      </c>
      <c r="AA45" s="12">
        <v>265.95999999999998</v>
      </c>
      <c r="AB45" s="105">
        <v>3054900</v>
      </c>
      <c r="AC45" s="12">
        <v>265.95999999999998</v>
      </c>
      <c r="AD45" s="2">
        <f t="shared" si="0"/>
        <v>15.270000000000039</v>
      </c>
      <c r="AE45" s="148">
        <f t="shared" si="1"/>
        <v>-2.6714484373856484E-2</v>
      </c>
    </row>
    <row r="46" spans="1:31" x14ac:dyDescent="0.25">
      <c r="A46" s="299"/>
      <c r="B46" s="412"/>
      <c r="C46" s="299">
        <v>5</v>
      </c>
      <c r="D46" s="300">
        <v>278.5</v>
      </c>
      <c r="E46" s="300">
        <v>0</v>
      </c>
      <c r="F46" s="300">
        <f t="shared" si="10"/>
        <v>1392.5</v>
      </c>
      <c r="G46" s="304">
        <v>42331</v>
      </c>
      <c r="H46" s="305">
        <v>40</v>
      </c>
      <c r="I46" s="300">
        <v>287.99</v>
      </c>
      <c r="J46" s="300">
        <v>0.21</v>
      </c>
      <c r="K46" s="300">
        <f t="shared" si="9"/>
        <v>11519.390000000001</v>
      </c>
      <c r="L46" s="299"/>
      <c r="M46" s="299"/>
      <c r="O46" s="93">
        <v>1.07</v>
      </c>
      <c r="P46" s="93">
        <f t="shared" si="11"/>
        <v>278.77780000000001</v>
      </c>
      <c r="Q46" s="2"/>
      <c r="T46" s="199" t="s">
        <v>104</v>
      </c>
      <c r="U46" s="199" t="s">
        <v>379</v>
      </c>
      <c r="W46" s="143">
        <v>42396</v>
      </c>
      <c r="X46" s="12">
        <v>275.05</v>
      </c>
      <c r="Y46" s="12">
        <v>285.27999999999997</v>
      </c>
      <c r="Z46" s="12">
        <v>270.33999999999997</v>
      </c>
      <c r="AA46" s="12">
        <v>273.26</v>
      </c>
      <c r="AB46" s="105">
        <v>5140100</v>
      </c>
      <c r="AC46" s="12">
        <v>273.26</v>
      </c>
      <c r="AD46" s="2">
        <f t="shared" si="0"/>
        <v>14.939999999999998</v>
      </c>
      <c r="AE46" s="148">
        <f t="shared" si="1"/>
        <v>5.1525762881440729E-2</v>
      </c>
    </row>
    <row r="47" spans="1:31" x14ac:dyDescent="0.25">
      <c r="A47" s="299"/>
      <c r="B47" s="304">
        <v>42286</v>
      </c>
      <c r="C47" s="299">
        <v>10</v>
      </c>
      <c r="D47" s="300">
        <v>274</v>
      </c>
      <c r="E47" s="300">
        <v>0</v>
      </c>
      <c r="F47" s="300">
        <f t="shared" si="10"/>
        <v>2740</v>
      </c>
      <c r="G47" s="304">
        <v>42347</v>
      </c>
      <c r="H47" s="305">
        <v>35</v>
      </c>
      <c r="I47" s="300">
        <v>282.99</v>
      </c>
      <c r="J47" s="300">
        <v>0.18</v>
      </c>
      <c r="K47" s="300">
        <f t="shared" si="9"/>
        <v>9904.4699999999993</v>
      </c>
      <c r="L47" s="299"/>
      <c r="M47" s="299"/>
      <c r="O47" s="93">
        <v>1.06</v>
      </c>
      <c r="P47" s="93">
        <f t="shared" si="11"/>
        <v>276.17240000000004</v>
      </c>
      <c r="Q47" s="2"/>
      <c r="T47" s="199" t="s">
        <v>105</v>
      </c>
      <c r="U47" s="199">
        <v>349.89</v>
      </c>
      <c r="W47" s="143">
        <v>42395</v>
      </c>
      <c r="X47" s="12">
        <v>262.76</v>
      </c>
      <c r="Y47" s="12">
        <v>264.48</v>
      </c>
      <c r="Z47" s="12">
        <v>257.77999999999997</v>
      </c>
      <c r="AA47" s="12">
        <v>259.87</v>
      </c>
      <c r="AB47" s="105">
        <v>2105800</v>
      </c>
      <c r="AC47" s="12">
        <v>259.87</v>
      </c>
      <c r="AD47" s="2">
        <f t="shared" si="0"/>
        <v>6.7000000000000455</v>
      </c>
      <c r="AE47" s="148">
        <f t="shared" si="1"/>
        <v>-8.5082029759634414E-3</v>
      </c>
    </row>
    <row r="48" spans="1:31" x14ac:dyDescent="0.25">
      <c r="A48" s="299"/>
      <c r="B48" s="304">
        <v>42286</v>
      </c>
      <c r="C48" s="299">
        <v>10</v>
      </c>
      <c r="D48" s="300">
        <v>269.8</v>
      </c>
      <c r="E48" s="300">
        <v>0</v>
      </c>
      <c r="F48" s="300">
        <f t="shared" si="10"/>
        <v>2698</v>
      </c>
      <c r="G48" s="304">
        <v>42359</v>
      </c>
      <c r="H48" s="305">
        <v>25</v>
      </c>
      <c r="I48" s="300">
        <v>295</v>
      </c>
      <c r="J48" s="300">
        <v>0.14000000000000001</v>
      </c>
      <c r="K48" s="300">
        <f t="shared" si="9"/>
        <v>7374.86</v>
      </c>
      <c r="L48" s="299"/>
      <c r="M48" s="299"/>
      <c r="O48" s="93">
        <v>1.05</v>
      </c>
      <c r="P48" s="93">
        <f t="shared" si="11"/>
        <v>273.56700000000001</v>
      </c>
      <c r="Q48" s="2"/>
      <c r="T48" s="199" t="s">
        <v>106</v>
      </c>
      <c r="U48" s="199">
        <v>0.52827500000000005</v>
      </c>
      <c r="W48" s="143">
        <v>42394</v>
      </c>
      <c r="X48" s="12">
        <v>269.45999999999998</v>
      </c>
      <c r="Y48" s="12">
        <v>271.20999999999998</v>
      </c>
      <c r="Z48" s="12">
        <v>261.3</v>
      </c>
      <c r="AA48" s="12">
        <v>262.10000000000002</v>
      </c>
      <c r="AB48" s="105">
        <v>1775100</v>
      </c>
      <c r="AC48" s="12">
        <v>262.10000000000002</v>
      </c>
      <c r="AD48" s="2">
        <f t="shared" si="0"/>
        <v>9.9099999999999682</v>
      </c>
      <c r="AE48" s="148">
        <f t="shared" si="1"/>
        <v>-2.5360702067529384E-2</v>
      </c>
    </row>
    <row r="49" spans="1:31" x14ac:dyDescent="0.25">
      <c r="A49" s="299"/>
      <c r="B49" s="304">
        <v>42292</v>
      </c>
      <c r="C49" s="299">
        <v>25</v>
      </c>
      <c r="D49" s="300">
        <v>268.5</v>
      </c>
      <c r="E49" s="300">
        <v>0</v>
      </c>
      <c r="F49" s="300">
        <f t="shared" si="10"/>
        <v>6712.5</v>
      </c>
      <c r="G49" s="304"/>
      <c r="H49" s="299"/>
      <c r="I49" s="299"/>
      <c r="J49" s="299"/>
      <c r="K49" s="300"/>
      <c r="L49" s="299"/>
      <c r="M49" s="299"/>
      <c r="O49" s="93">
        <v>1.04</v>
      </c>
      <c r="P49" s="93">
        <f t="shared" si="11"/>
        <v>270.96160000000003</v>
      </c>
      <c r="Q49" s="2"/>
      <c r="T49" s="199" t="s">
        <v>107</v>
      </c>
      <c r="U49" s="199" t="s">
        <v>274</v>
      </c>
      <c r="W49" s="143">
        <v>42391</v>
      </c>
      <c r="X49" s="12">
        <v>266.36</v>
      </c>
      <c r="Y49" s="12">
        <v>269.48</v>
      </c>
      <c r="Z49" s="12">
        <v>264.62</v>
      </c>
      <c r="AA49" s="12">
        <v>268.92</v>
      </c>
      <c r="AB49" s="105">
        <v>2110000</v>
      </c>
      <c r="AC49" s="12">
        <v>268.92</v>
      </c>
      <c r="AD49" s="2">
        <f t="shared" si="0"/>
        <v>4.8600000000000136</v>
      </c>
      <c r="AE49" s="148">
        <f t="shared" si="1"/>
        <v>2.6098901098901228E-2</v>
      </c>
    </row>
    <row r="50" spans="1:31" x14ac:dyDescent="0.25">
      <c r="A50" s="299"/>
      <c r="B50" s="304">
        <v>42293</v>
      </c>
      <c r="C50" s="299">
        <v>10</v>
      </c>
      <c r="D50" s="300">
        <v>262.25</v>
      </c>
      <c r="E50" s="300">
        <v>0</v>
      </c>
      <c r="F50" s="300">
        <f t="shared" si="10"/>
        <v>2622.5</v>
      </c>
      <c r="G50" s="304"/>
      <c r="H50" s="299"/>
      <c r="I50" s="299"/>
      <c r="J50" s="299"/>
      <c r="K50" s="300"/>
      <c r="L50" s="299"/>
      <c r="M50" s="299"/>
      <c r="O50" s="93">
        <v>1.03</v>
      </c>
      <c r="P50" s="93">
        <f t="shared" si="11"/>
        <v>268.3562</v>
      </c>
      <c r="Q50" s="2"/>
      <c r="T50" s="199"/>
      <c r="U50" s="199"/>
      <c r="W50" s="143">
        <v>42390</v>
      </c>
      <c r="X50" s="12">
        <v>269.67</v>
      </c>
      <c r="Y50" s="12">
        <v>271.05</v>
      </c>
      <c r="Z50" s="12">
        <v>261.02</v>
      </c>
      <c r="AA50" s="12">
        <v>262.08</v>
      </c>
      <c r="AB50" s="105">
        <v>2529400</v>
      </c>
      <c r="AC50" s="12">
        <v>262.08</v>
      </c>
      <c r="AD50" s="2">
        <f t="shared" si="0"/>
        <v>10.03000000000003</v>
      </c>
      <c r="AE50" s="148">
        <f t="shared" si="1"/>
        <v>-2.6990904028216245E-2</v>
      </c>
    </row>
    <row r="51" spans="1:31" x14ac:dyDescent="0.25">
      <c r="A51" s="299"/>
      <c r="B51" s="304">
        <v>42293</v>
      </c>
      <c r="C51" s="299">
        <v>10</v>
      </c>
      <c r="D51" s="300">
        <v>255.4</v>
      </c>
      <c r="E51" s="300">
        <v>0</v>
      </c>
      <c r="F51" s="300">
        <f t="shared" si="10"/>
        <v>2554</v>
      </c>
      <c r="G51" s="304"/>
      <c r="H51" s="299"/>
      <c r="I51" s="299"/>
      <c r="J51" s="299"/>
      <c r="K51" s="300"/>
      <c r="L51" s="299"/>
      <c r="M51" s="299"/>
      <c r="O51" s="93">
        <v>1.02</v>
      </c>
      <c r="P51" s="93">
        <f t="shared" si="11"/>
        <v>265.75080000000003</v>
      </c>
      <c r="Q51" s="2"/>
      <c r="T51" s="199" t="s">
        <v>108</v>
      </c>
      <c r="U51" s="199" t="s">
        <v>302</v>
      </c>
      <c r="W51" s="143">
        <v>42389</v>
      </c>
      <c r="X51" s="12">
        <v>263.25</v>
      </c>
      <c r="Y51" s="12">
        <v>272.77999999999997</v>
      </c>
      <c r="Z51" s="12">
        <v>257.66000000000003</v>
      </c>
      <c r="AA51" s="12">
        <v>269.35000000000002</v>
      </c>
      <c r="AB51" s="105">
        <v>2367400</v>
      </c>
      <c r="AC51" s="12">
        <v>269.35000000000002</v>
      </c>
      <c r="AD51" s="2">
        <f t="shared" si="0"/>
        <v>15.119999999999948</v>
      </c>
      <c r="AE51" s="148">
        <f t="shared" si="1"/>
        <v>-1.8528812303131303E-3</v>
      </c>
    </row>
    <row r="52" spans="1:31" x14ac:dyDescent="0.25">
      <c r="A52" s="299"/>
      <c r="B52" s="304">
        <v>42314</v>
      </c>
      <c r="C52" s="299">
        <v>10</v>
      </c>
      <c r="D52" s="300">
        <v>298.81</v>
      </c>
      <c r="E52" s="300">
        <v>0</v>
      </c>
      <c r="F52" s="300">
        <f t="shared" si="10"/>
        <v>2988.1</v>
      </c>
      <c r="G52" s="304"/>
      <c r="H52" s="299"/>
      <c r="I52" s="300"/>
      <c r="J52" s="299"/>
      <c r="K52" s="300"/>
      <c r="L52" s="299"/>
      <c r="M52" s="299"/>
      <c r="O52" s="93">
        <v>1.01</v>
      </c>
      <c r="P52" s="93">
        <f t="shared" si="11"/>
        <v>263.1454</v>
      </c>
      <c r="Q52" s="2"/>
      <c r="T52" s="199" t="s">
        <v>109</v>
      </c>
      <c r="U52" s="199" t="s">
        <v>298</v>
      </c>
      <c r="W52" s="143">
        <v>42388</v>
      </c>
      <c r="X52" s="12">
        <v>276.98</v>
      </c>
      <c r="Y52" s="12">
        <v>276.99</v>
      </c>
      <c r="Z52" s="12">
        <v>264.72000000000003</v>
      </c>
      <c r="AA52" s="12">
        <v>269.85000000000002</v>
      </c>
      <c r="AB52" s="105">
        <v>2187900</v>
      </c>
      <c r="AC52" s="12">
        <v>269.85000000000002</v>
      </c>
      <c r="AD52" s="2">
        <f t="shared" si="0"/>
        <v>12.269999999999982</v>
      </c>
      <c r="AE52" s="148">
        <f t="shared" si="1"/>
        <v>-1.2731862583689857E-2</v>
      </c>
    </row>
    <row r="53" spans="1:31" x14ac:dyDescent="0.25">
      <c r="A53" s="299"/>
      <c r="B53" s="304">
        <v>42341</v>
      </c>
      <c r="C53" s="299">
        <v>20</v>
      </c>
      <c r="D53" s="300">
        <v>286.08999999999997</v>
      </c>
      <c r="E53" s="300">
        <v>0</v>
      </c>
      <c r="F53" s="300">
        <f t="shared" si="10"/>
        <v>5721.7999999999993</v>
      </c>
      <c r="G53" s="304"/>
      <c r="H53" s="299"/>
      <c r="I53" s="299"/>
      <c r="J53" s="299"/>
      <c r="K53" s="300"/>
      <c r="L53" s="299"/>
      <c r="M53" s="299"/>
      <c r="O53" s="93">
        <v>1</v>
      </c>
      <c r="P53" s="93">
        <f t="shared" si="11"/>
        <v>260.54000000000002</v>
      </c>
      <c r="Q53" s="2"/>
      <c r="T53" s="199" t="s">
        <v>110</v>
      </c>
      <c r="U53" s="199">
        <v>57</v>
      </c>
      <c r="W53" s="143">
        <v>42384</v>
      </c>
      <c r="X53" s="12">
        <v>271.01</v>
      </c>
      <c r="Y53" s="12">
        <v>279.89</v>
      </c>
      <c r="Z53" s="12">
        <v>269.25</v>
      </c>
      <c r="AA53" s="12">
        <v>273.33</v>
      </c>
      <c r="AB53" s="105">
        <v>2568900</v>
      </c>
      <c r="AC53" s="12">
        <v>273.33</v>
      </c>
      <c r="AD53" s="2">
        <f t="shared" si="0"/>
        <v>10.639999999999986</v>
      </c>
      <c r="AE53" s="148">
        <f t="shared" si="1"/>
        <v>-2.5804612039776242E-2</v>
      </c>
    </row>
    <row r="54" spans="1:31" x14ac:dyDescent="0.25">
      <c r="A54" s="299"/>
      <c r="B54" s="304"/>
      <c r="C54" s="299"/>
      <c r="D54" s="300"/>
      <c r="E54" s="300"/>
      <c r="F54" s="300"/>
      <c r="G54" s="304"/>
      <c r="H54" s="299"/>
      <c r="I54" s="299"/>
      <c r="J54" s="299"/>
      <c r="K54" s="300"/>
      <c r="L54" s="299"/>
      <c r="M54" s="299"/>
      <c r="O54" s="93">
        <v>0.99</v>
      </c>
      <c r="P54" s="93">
        <f t="shared" si="11"/>
        <v>257.93460000000005</v>
      </c>
      <c r="Q54" s="2"/>
      <c r="T54" s="199" t="s">
        <v>113</v>
      </c>
      <c r="U54" s="200">
        <v>1947510</v>
      </c>
      <c r="W54" s="143">
        <v>42383</v>
      </c>
      <c r="X54" s="12">
        <v>268.57</v>
      </c>
      <c r="Y54" s="12">
        <v>283.3</v>
      </c>
      <c r="Z54" s="12">
        <v>265.37</v>
      </c>
      <c r="AA54" s="12">
        <v>280.57</v>
      </c>
      <c r="AB54" s="105">
        <v>2391600</v>
      </c>
      <c r="AC54" s="12">
        <v>280.57</v>
      </c>
      <c r="AD54" s="2">
        <f t="shared" si="0"/>
        <v>17.930000000000007</v>
      </c>
      <c r="AE54" s="148">
        <f t="shared" si="1"/>
        <v>4.9840972871842748E-2</v>
      </c>
    </row>
    <row r="55" spans="1:31" x14ac:dyDescent="0.25">
      <c r="A55" s="299"/>
      <c r="B55" s="299"/>
      <c r="C55" s="299"/>
      <c r="D55" s="300"/>
      <c r="E55" s="300"/>
      <c r="F55" s="300"/>
      <c r="G55" s="304"/>
      <c r="H55" s="299"/>
      <c r="I55" s="299"/>
      <c r="J55" s="299"/>
      <c r="K55" s="300"/>
      <c r="L55" s="299"/>
      <c r="M55" s="299"/>
      <c r="O55" s="93">
        <v>0.98</v>
      </c>
      <c r="P55" s="93">
        <f t="shared" si="11"/>
        <v>255.32920000000001</v>
      </c>
      <c r="Q55" s="2"/>
      <c r="T55" s="199" t="s">
        <v>111</v>
      </c>
      <c r="U55" s="199" t="s">
        <v>380</v>
      </c>
      <c r="W55" s="143">
        <v>42382</v>
      </c>
      <c r="X55" s="12">
        <v>279.42</v>
      </c>
      <c r="Y55" s="12">
        <v>281.99</v>
      </c>
      <c r="Z55" s="12">
        <v>267</v>
      </c>
      <c r="AA55" s="12">
        <v>267.25</v>
      </c>
      <c r="AB55" s="105">
        <v>2061700</v>
      </c>
      <c r="AC55" s="12">
        <v>267.25</v>
      </c>
      <c r="AD55" s="2">
        <f t="shared" si="0"/>
        <v>14.990000000000009</v>
      </c>
      <c r="AE55" s="148">
        <f t="shared" si="1"/>
        <v>-4.0980371048193298E-2</v>
      </c>
    </row>
    <row r="56" spans="1:31" x14ac:dyDescent="0.25">
      <c r="A56" s="299"/>
      <c r="B56" s="299"/>
      <c r="C56" s="299"/>
      <c r="D56" s="300"/>
      <c r="E56" s="300"/>
      <c r="F56" s="300"/>
      <c r="G56" s="304"/>
      <c r="H56" s="299"/>
      <c r="I56" s="299"/>
      <c r="J56" s="299"/>
      <c r="K56" s="300"/>
      <c r="L56" s="299"/>
      <c r="M56" s="299"/>
      <c r="O56" s="93">
        <v>0.97</v>
      </c>
      <c r="P56" s="93">
        <f t="shared" si="11"/>
        <v>252.72380000000001</v>
      </c>
      <c r="T56" s="199" t="s">
        <v>114</v>
      </c>
      <c r="U56" s="199">
        <v>16.97</v>
      </c>
      <c r="W56" s="143">
        <v>42381</v>
      </c>
      <c r="X56" s="12">
        <v>281.18</v>
      </c>
      <c r="Y56" s="12">
        <v>285.56</v>
      </c>
      <c r="Z56" s="12">
        <v>271</v>
      </c>
      <c r="AA56" s="12">
        <v>278.67</v>
      </c>
      <c r="AB56" s="105">
        <v>1824200</v>
      </c>
      <c r="AC56" s="12">
        <v>278.67</v>
      </c>
      <c r="AD56" s="2">
        <f t="shared" si="0"/>
        <v>14.560000000000002</v>
      </c>
      <c r="AE56" s="148">
        <f t="shared" si="1"/>
        <v>4.667193221798982E-4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250.11840000000001</v>
      </c>
      <c r="T57" s="199" t="s">
        <v>115</v>
      </c>
      <c r="U57" s="199">
        <v>15.34</v>
      </c>
      <c r="W57" s="143">
        <v>42380</v>
      </c>
      <c r="X57" s="12">
        <v>280.58999999999997</v>
      </c>
      <c r="Y57" s="12">
        <v>283.95</v>
      </c>
      <c r="Z57" s="12">
        <v>271.66000000000003</v>
      </c>
      <c r="AA57" s="12">
        <v>278.54000000000002</v>
      </c>
      <c r="AB57" s="105">
        <v>2104500</v>
      </c>
      <c r="AC57" s="12">
        <v>278.54000000000002</v>
      </c>
      <c r="AD57" s="2">
        <f t="shared" si="0"/>
        <v>12.289999999999964</v>
      </c>
      <c r="AE57" s="148">
        <f t="shared" si="1"/>
        <v>-7.3060337146725329E-3</v>
      </c>
    </row>
    <row r="58" spans="1:31" x14ac:dyDescent="0.25">
      <c r="O58" s="93">
        <v>0.95</v>
      </c>
      <c r="P58" s="93">
        <f t="shared" si="11"/>
        <v>247.51300000000001</v>
      </c>
      <c r="T58" s="199" t="s">
        <v>112</v>
      </c>
      <c r="U58" s="199" t="s">
        <v>127</v>
      </c>
      <c r="W58" s="143">
        <v>42377</v>
      </c>
      <c r="X58" s="12">
        <v>284.64999999999998</v>
      </c>
      <c r="Y58" s="12">
        <v>288.11</v>
      </c>
      <c r="Z58" s="12">
        <v>280</v>
      </c>
      <c r="AA58" s="12">
        <v>280.58999999999997</v>
      </c>
      <c r="AB58" s="105">
        <v>1803900</v>
      </c>
      <c r="AC58" s="12">
        <v>280.58999999999997</v>
      </c>
      <c r="AD58" s="2">
        <f t="shared" si="0"/>
        <v>8.1100000000000136</v>
      </c>
      <c r="AE58" s="148">
        <f t="shared" si="1"/>
        <v>-1.2041829513045332E-2</v>
      </c>
    </row>
    <row r="59" spans="1:31" x14ac:dyDescent="0.25">
      <c r="O59" s="93">
        <v>0.94</v>
      </c>
      <c r="P59" s="93">
        <f t="shared" si="11"/>
        <v>244.9076</v>
      </c>
      <c r="W59" s="143">
        <v>42376</v>
      </c>
      <c r="X59" s="12">
        <v>286.52</v>
      </c>
      <c r="Y59" s="12">
        <v>289.99</v>
      </c>
      <c r="Z59" s="12">
        <v>283.02999999999997</v>
      </c>
      <c r="AA59" s="12">
        <v>284.01</v>
      </c>
      <c r="AB59" s="105">
        <v>1806700</v>
      </c>
      <c r="AC59" s="12">
        <v>284.01</v>
      </c>
      <c r="AD59" s="2">
        <f t="shared" si="0"/>
        <v>6.9600000000000364</v>
      </c>
      <c r="AE59" s="148">
        <f t="shared" si="1"/>
        <v>-3.2926995369109258E-2</v>
      </c>
    </row>
    <row r="60" spans="1:31" x14ac:dyDescent="0.25">
      <c r="B60" s="307" t="s">
        <v>117</v>
      </c>
      <c r="C60" s="307" t="s">
        <v>167</v>
      </c>
      <c r="D60" s="308" t="s">
        <v>166</v>
      </c>
      <c r="E60" s="309" t="s">
        <v>168</v>
      </c>
      <c r="F60" s="310" t="s">
        <v>65</v>
      </c>
      <c r="G60" s="311" t="s">
        <v>172</v>
      </c>
      <c r="H60" s="310" t="s">
        <v>90</v>
      </c>
      <c r="O60" s="93">
        <v>0.93</v>
      </c>
      <c r="P60" s="93">
        <f t="shared" si="11"/>
        <v>242.30220000000003</v>
      </c>
      <c r="W60" s="143">
        <v>42375</v>
      </c>
      <c r="X60" s="12">
        <v>292.60000000000002</v>
      </c>
      <c r="Y60" s="12">
        <v>296.58</v>
      </c>
      <c r="Z60" s="12">
        <v>291.01</v>
      </c>
      <c r="AA60" s="12">
        <v>293.68</v>
      </c>
      <c r="AB60" s="105">
        <v>1535800</v>
      </c>
      <c r="AC60" s="12">
        <v>293.68</v>
      </c>
      <c r="AD60" s="2">
        <f t="shared" si="0"/>
        <v>5.5699999999999932</v>
      </c>
      <c r="AE60" s="148">
        <f t="shared" si="1"/>
        <v>-1.0178631614425337E-2</v>
      </c>
    </row>
    <row r="61" spans="1:31" x14ac:dyDescent="0.25">
      <c r="B61" s="304">
        <v>42304</v>
      </c>
      <c r="C61" s="299">
        <v>80</v>
      </c>
      <c r="D61" s="300">
        <v>271.44</v>
      </c>
      <c r="E61" s="300">
        <v>293.69</v>
      </c>
      <c r="F61" s="300">
        <v>1780.09</v>
      </c>
      <c r="G61" s="300">
        <f>IF(C61=0, 0,D61*C61)</f>
        <v>21715.200000000001</v>
      </c>
      <c r="H61" s="312">
        <f>IF(C61=0, D61, (E61-D61)/D61)</f>
        <v>8.1970232832301801E-2</v>
      </c>
      <c r="O61" s="93">
        <v>0.92</v>
      </c>
      <c r="P61" s="93">
        <f t="shared" si="11"/>
        <v>239.69680000000002</v>
      </c>
      <c r="W61" s="143">
        <v>42374</v>
      </c>
      <c r="X61" s="12">
        <v>295.38</v>
      </c>
      <c r="Y61" s="12">
        <v>298.64</v>
      </c>
      <c r="Z61" s="12">
        <v>293.56</v>
      </c>
      <c r="AA61" s="12">
        <v>296.7</v>
      </c>
      <c r="AB61" s="105">
        <v>1261600</v>
      </c>
      <c r="AC61" s="12">
        <v>296.7</v>
      </c>
      <c r="AD61" s="2">
        <f t="shared" si="0"/>
        <v>5.0799999999999841</v>
      </c>
      <c r="AE61" s="148">
        <f t="shared" si="1"/>
        <v>7.0599416197134612E-3</v>
      </c>
    </row>
    <row r="62" spans="1:31" x14ac:dyDescent="0.25">
      <c r="B62" s="304">
        <v>42310</v>
      </c>
      <c r="C62" s="299">
        <v>70</v>
      </c>
      <c r="D62" s="300">
        <v>267.36</v>
      </c>
      <c r="E62" s="300">
        <v>303.08</v>
      </c>
      <c r="F62" s="300">
        <v>2500.4299999999998</v>
      </c>
      <c r="G62" s="300">
        <f t="shared" ref="G62:G66" si="12">IF(C62=0, 0,D62*C62)</f>
        <v>18715.2</v>
      </c>
      <c r="H62" s="312">
        <f t="shared" ref="H62:H66" si="13">IF(C62=0, D62, (E62-D62)/D62)</f>
        <v>0.1336026331538</v>
      </c>
      <c r="O62" s="93">
        <v>0.91</v>
      </c>
      <c r="P62" s="93">
        <f t="shared" si="11"/>
        <v>237.09140000000002</v>
      </c>
      <c r="W62" s="143">
        <v>42373</v>
      </c>
      <c r="X62" s="12">
        <v>300.33999999999997</v>
      </c>
      <c r="Y62" s="12">
        <v>301.02</v>
      </c>
      <c r="Z62" s="12">
        <v>291.39999999999998</v>
      </c>
      <c r="AA62" s="12">
        <v>294.62</v>
      </c>
      <c r="AB62" s="105">
        <v>2440200</v>
      </c>
      <c r="AC62" s="12">
        <v>294.62</v>
      </c>
      <c r="AD62" s="2">
        <f t="shared" si="0"/>
        <v>9.6200000000000045</v>
      </c>
      <c r="AE62" s="148">
        <f t="shared" si="1"/>
        <v>-3.8289538110004906E-2</v>
      </c>
    </row>
    <row r="63" spans="1:31" x14ac:dyDescent="0.25">
      <c r="B63" s="304">
        <v>42314</v>
      </c>
      <c r="C63" s="299">
        <v>80</v>
      </c>
      <c r="D63" s="300">
        <v>271.29000000000002</v>
      </c>
      <c r="E63" s="300">
        <v>299.14</v>
      </c>
      <c r="F63" s="300">
        <v>2227.9299999999998</v>
      </c>
      <c r="G63" s="300">
        <f t="shared" si="12"/>
        <v>21703.200000000001</v>
      </c>
      <c r="H63" s="312">
        <f t="shared" si="13"/>
        <v>0.10265767260127526</v>
      </c>
      <c r="O63" s="93">
        <v>0.9</v>
      </c>
      <c r="P63" s="93">
        <f t="shared" si="11"/>
        <v>234.48600000000002</v>
      </c>
      <c r="W63" s="143">
        <v>42369</v>
      </c>
      <c r="X63" s="12">
        <v>306.10000000000002</v>
      </c>
      <c r="Y63" s="12">
        <v>309.33</v>
      </c>
      <c r="Z63" s="12">
        <v>306.10000000000002</v>
      </c>
      <c r="AA63" s="12">
        <v>306.35000000000002</v>
      </c>
      <c r="AB63" s="105">
        <v>1044200</v>
      </c>
      <c r="AC63" s="12">
        <v>306.35000000000002</v>
      </c>
      <c r="AD63" s="2">
        <f t="shared" si="0"/>
        <v>3.2299999999999613</v>
      </c>
      <c r="AE63" s="148">
        <f t="shared" si="1"/>
        <v>-6.45391450995636E-3</v>
      </c>
    </row>
    <row r="64" spans="1:31" x14ac:dyDescent="0.25">
      <c r="B64" s="304">
        <v>42326</v>
      </c>
      <c r="C64" s="299">
        <v>40</v>
      </c>
      <c r="D64" s="300">
        <v>254.6</v>
      </c>
      <c r="E64" s="300">
        <v>291.98</v>
      </c>
      <c r="F64" s="300">
        <v>1495.32</v>
      </c>
      <c r="G64" s="300">
        <f t="shared" si="12"/>
        <v>10184</v>
      </c>
      <c r="H64" s="312">
        <f t="shared" si="13"/>
        <v>0.14681853888452484</v>
      </c>
      <c r="W64" s="143">
        <v>42368</v>
      </c>
      <c r="X64" s="12">
        <v>309.98</v>
      </c>
      <c r="Y64" s="12">
        <v>310.29000000000002</v>
      </c>
      <c r="Z64" s="12">
        <v>307</v>
      </c>
      <c r="AA64" s="12">
        <v>308.33999999999997</v>
      </c>
      <c r="AB64" s="105">
        <v>800600</v>
      </c>
      <c r="AC64" s="12">
        <v>308.33999999999997</v>
      </c>
      <c r="AD64" s="2">
        <f t="shared" si="0"/>
        <v>3.2900000000000205</v>
      </c>
      <c r="AE64" s="148">
        <f t="shared" si="1"/>
        <v>-4.2948945651823944E-3</v>
      </c>
    </row>
    <row r="65" spans="2:31" x14ac:dyDescent="0.25">
      <c r="B65" s="304">
        <v>42338</v>
      </c>
      <c r="C65" s="299">
        <v>60</v>
      </c>
      <c r="D65" s="300">
        <v>265.08999999999997</v>
      </c>
      <c r="E65" s="300">
        <v>286.86</v>
      </c>
      <c r="F65" s="300">
        <v>1305.92</v>
      </c>
      <c r="G65" s="300">
        <f t="shared" si="12"/>
        <v>15905.399999999998</v>
      </c>
      <c r="H65" s="312">
        <f t="shared" si="13"/>
        <v>8.2123052548191328E-2</v>
      </c>
      <c r="W65" s="143">
        <v>42367</v>
      </c>
      <c r="X65" s="12">
        <v>304.99</v>
      </c>
      <c r="Y65" s="12">
        <v>311.64999999999998</v>
      </c>
      <c r="Z65" s="12">
        <v>304.77</v>
      </c>
      <c r="AA65" s="12">
        <v>309.67</v>
      </c>
      <c r="AB65" s="105">
        <v>1198000</v>
      </c>
      <c r="AC65" s="12">
        <v>309.67</v>
      </c>
      <c r="AD65" s="2">
        <f t="shared" si="0"/>
        <v>6.8799999999999955</v>
      </c>
      <c r="AE65" s="148">
        <f t="shared" si="1"/>
        <v>1.9187730384413015E-2</v>
      </c>
    </row>
    <row r="66" spans="2:31" x14ac:dyDescent="0.25">
      <c r="B66" s="304">
        <v>42342</v>
      </c>
      <c r="C66" s="299">
        <v>25</v>
      </c>
      <c r="D66" s="300">
        <v>240.05</v>
      </c>
      <c r="E66" s="300">
        <v>284.45</v>
      </c>
      <c r="F66" s="300">
        <v>1110</v>
      </c>
      <c r="G66" s="300">
        <f t="shared" si="12"/>
        <v>6001.25</v>
      </c>
      <c r="H66" s="312">
        <f t="shared" si="13"/>
        <v>0.18496146636117466</v>
      </c>
      <c r="W66" s="143">
        <v>42366</v>
      </c>
      <c r="X66" s="12">
        <v>302.02999999999997</v>
      </c>
      <c r="Y66" s="12">
        <v>304.98</v>
      </c>
      <c r="Z66" s="12">
        <v>301.5</v>
      </c>
      <c r="AA66" s="12">
        <v>303.83999999999997</v>
      </c>
      <c r="AB66" s="105">
        <v>845400</v>
      </c>
      <c r="AC66" s="12">
        <v>303.83999999999997</v>
      </c>
      <c r="AD66" s="2">
        <f t="shared" si="0"/>
        <v>3.4800000000000182</v>
      </c>
      <c r="AE66" s="148">
        <f t="shared" si="1"/>
        <v>5.1275265473549325E-3</v>
      </c>
    </row>
    <row r="67" spans="2:31" x14ac:dyDescent="0.25">
      <c r="B67" s="304">
        <v>42355</v>
      </c>
      <c r="C67" s="299">
        <v>0</v>
      </c>
      <c r="D67" s="300">
        <v>0</v>
      </c>
      <c r="E67" s="300">
        <v>297.17</v>
      </c>
      <c r="F67" s="300">
        <v>1373.65</v>
      </c>
      <c r="G67" s="300"/>
      <c r="H67" s="312"/>
      <c r="W67" s="143">
        <v>42362</v>
      </c>
      <c r="X67" s="12">
        <v>300.29000000000002</v>
      </c>
      <c r="Y67" s="12">
        <v>303.87</v>
      </c>
      <c r="Z67" s="12">
        <v>299.5</v>
      </c>
      <c r="AA67" s="12">
        <v>302.29000000000002</v>
      </c>
      <c r="AB67" s="105">
        <v>537100</v>
      </c>
      <c r="AC67" s="12">
        <v>302.29000000000002</v>
      </c>
      <c r="AD67" s="2">
        <f t="shared" ref="AD67:AD68" si="14">Y67-Z67</f>
        <v>4.3700000000000045</v>
      </c>
      <c r="AE67" s="148" t="e">
        <f t="shared" ref="AE67:AE68" si="15">AC67/AC68-1</f>
        <v>#DIV/0!</v>
      </c>
    </row>
    <row r="68" spans="2:31" x14ac:dyDescent="0.25">
      <c r="B68" s="304"/>
      <c r="C68" s="299"/>
      <c r="D68" s="300"/>
      <c r="E68" s="300"/>
      <c r="F68" s="300"/>
      <c r="G68" s="300"/>
      <c r="H68" s="312"/>
      <c r="W68" s="12" t="s">
        <v>125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9"/>
      <c r="C69" s="299"/>
      <c r="D69" s="300"/>
      <c r="E69" s="300"/>
      <c r="F69" s="300"/>
      <c r="G69" s="300"/>
      <c r="H69" s="312"/>
    </row>
    <row r="70" spans="2:31" x14ac:dyDescent="0.25">
      <c r="B70" s="299"/>
      <c r="C70" s="299"/>
      <c r="D70" s="300"/>
      <c r="E70" s="300"/>
      <c r="F70" s="300"/>
      <c r="G70" s="300"/>
      <c r="H70" s="312"/>
    </row>
  </sheetData>
  <mergeCells count="3">
    <mergeCell ref="O42:P42"/>
    <mergeCell ref="B6:B7"/>
    <mergeCell ref="B3:B4"/>
  </mergeCells>
  <conditionalFormatting sqref="Q7 N19 Q10 F25:F35">
    <cfRule type="expression" dxfId="21" priority="34">
      <formula>F7&gt;0</formula>
    </cfRule>
    <cfRule type="expression" dxfId="20" priority="35">
      <formula>F7&lt;0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9" priority="23">
      <formula>H25&gt;0</formula>
    </cfRule>
    <cfRule type="expression" dxfId="18" priority="24">
      <formula>H25&lt;0</formula>
    </cfRule>
  </conditionalFormatting>
  <conditionalFormatting sqref="M39">
    <cfRule type="expression" dxfId="17" priority="21">
      <formula>M39&gt;0</formula>
    </cfRule>
    <cfRule type="expression" dxfId="16" priority="22">
      <formula>M39&lt;0</formula>
    </cfRule>
  </conditionalFormatting>
  <conditionalFormatting sqref="F61:F70">
    <cfRule type="expression" dxfId="15" priority="19">
      <formula>F61&gt;0</formula>
    </cfRule>
    <cfRule type="expression" dxfId="14" priority="20">
      <formula>F61&lt;0</formula>
    </cfRule>
  </conditionalFormatting>
  <conditionalFormatting sqref="H61:H67">
    <cfRule type="expression" dxfId="13" priority="17">
      <formula>H61&gt;0</formula>
    </cfRule>
    <cfRule type="expression" dxfId="12" priority="18">
      <formula>H61&lt;0</formula>
    </cfRule>
  </conditionalFormatting>
  <conditionalFormatting sqref="F21:F24">
    <cfRule type="expression" dxfId="11" priority="15">
      <formula>F21&gt;0</formula>
    </cfRule>
    <cfRule type="expression" dxfId="10" priority="16">
      <formula>F21&lt;0</formula>
    </cfRule>
  </conditionalFormatting>
  <conditionalFormatting sqref="H21:H24">
    <cfRule type="expression" dxfId="9" priority="13">
      <formula>H21&gt;0</formula>
    </cfRule>
    <cfRule type="expression" dxfId="8" priority="14">
      <formula>H21&lt;0</formula>
    </cfRule>
  </conditionalFormatting>
  <conditionalFormatting sqref="I25:I28">
    <cfRule type="expression" dxfId="7" priority="7">
      <formula>I25&gt;0</formula>
    </cfRule>
    <cfRule type="expression" dxfId="6" priority="8">
      <formula>I25&lt;0</formula>
    </cfRule>
  </conditionalFormatting>
  <conditionalFormatting sqref="I21:I24">
    <cfRule type="expression" dxfId="5" priority="5">
      <formula>I21&gt;0</formula>
    </cfRule>
    <cfRule type="expression" dxfId="4" priority="6">
      <formula>I21&lt;0</formula>
    </cfRule>
  </conditionalFormatting>
  <conditionalFormatting sqref="H29">
    <cfRule type="expression" dxfId="3" priority="3">
      <formula>H29&gt;0</formula>
    </cfRule>
    <cfRule type="expression" dxfId="2" priority="4">
      <formula>H29&lt;0</formula>
    </cfRule>
  </conditionalFormatting>
  <conditionalFormatting sqref="H30">
    <cfRule type="expression" dxfId="1" priority="1">
      <formula>H30&gt;0</formula>
    </cfRule>
    <cfRule type="expression" dxfId="0" priority="2">
      <formula>H30&lt;0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2016-04-02T03:42:03Z</dcterms:modified>
</cp:coreProperties>
</file>